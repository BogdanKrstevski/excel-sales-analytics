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gdan\Documents\ExcelFolder\"/>
    </mc:Choice>
  </mc:AlternateContent>
  <xr:revisionPtr revIDLastSave="0" documentId="8_{6D1DD8CF-7D91-43CE-9556-BF6D5EF68EA4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ales_RAW(BEFORE)" sheetId="1" r:id="rId1"/>
    <sheet name="PivotChartRepCommission" sheetId="13" r:id="rId2"/>
    <sheet name="PivotChartDepartmentProfit" sheetId="14" r:id="rId3"/>
    <sheet name="PivotChartTrend" sheetId="15" r:id="rId4"/>
    <sheet name="Sales_RAW(AFTER)" sheetId="6" r:id="rId5"/>
    <sheet name="Pivotby" sheetId="7" r:id="rId6"/>
    <sheet name="Product_List" sheetId="2" r:id="rId7"/>
    <sheet name="Employees" sheetId="3" r:id="rId8"/>
    <sheet name="Exchange_Rates" sheetId="4" r:id="rId9"/>
  </sheets>
  <definedNames>
    <definedName name="_xlnm._FilterDatabase" localSheetId="4" hidden="1">'Sales_RAW(AFTER)'!$A$4:$AZ$342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6" i="6" l="1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40" i="6"/>
  <c r="AM41" i="6"/>
  <c r="AM42" i="6"/>
  <c r="AM43" i="6"/>
  <c r="AM44" i="6"/>
  <c r="AM45" i="6"/>
  <c r="AM46" i="6"/>
  <c r="AM47" i="6"/>
  <c r="AM48" i="6"/>
  <c r="AM49" i="6"/>
  <c r="AM50" i="6"/>
  <c r="AM51" i="6"/>
  <c r="AM52" i="6"/>
  <c r="AM53" i="6"/>
  <c r="AM54" i="6"/>
  <c r="AM55" i="6"/>
  <c r="AM56" i="6"/>
  <c r="AM57" i="6"/>
  <c r="AM58" i="6"/>
  <c r="AM59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79" i="6"/>
  <c r="AM80" i="6"/>
  <c r="AM81" i="6"/>
  <c r="AM82" i="6"/>
  <c r="AM83" i="6"/>
  <c r="AM84" i="6"/>
  <c r="AM85" i="6"/>
  <c r="AM86" i="6"/>
  <c r="AM87" i="6"/>
  <c r="AM88" i="6"/>
  <c r="AM89" i="6"/>
  <c r="AM90" i="6"/>
  <c r="AM91" i="6"/>
  <c r="AM92" i="6"/>
  <c r="AM93" i="6"/>
  <c r="AM94" i="6"/>
  <c r="AM95" i="6"/>
  <c r="AM96" i="6"/>
  <c r="AM97" i="6"/>
  <c r="AM98" i="6"/>
  <c r="AM99" i="6"/>
  <c r="AM100" i="6"/>
  <c r="AM101" i="6"/>
  <c r="AM102" i="6"/>
  <c r="AM103" i="6"/>
  <c r="AM104" i="6"/>
  <c r="AM105" i="6"/>
  <c r="AM106" i="6"/>
  <c r="AM107" i="6"/>
  <c r="AM108" i="6"/>
  <c r="AM109" i="6"/>
  <c r="AM110" i="6"/>
  <c r="AM111" i="6"/>
  <c r="AM112" i="6"/>
  <c r="AM113" i="6"/>
  <c r="AM114" i="6"/>
  <c r="AM115" i="6"/>
  <c r="AM116" i="6"/>
  <c r="AM117" i="6"/>
  <c r="AM118" i="6"/>
  <c r="AM119" i="6"/>
  <c r="AM120" i="6"/>
  <c r="AM121" i="6"/>
  <c r="AM122" i="6"/>
  <c r="AM123" i="6"/>
  <c r="AM124" i="6"/>
  <c r="AM125" i="6"/>
  <c r="AM126" i="6"/>
  <c r="AM127" i="6"/>
  <c r="AM128" i="6"/>
  <c r="AM129" i="6"/>
  <c r="AM130" i="6"/>
  <c r="AM131" i="6"/>
  <c r="AM132" i="6"/>
  <c r="AM133" i="6"/>
  <c r="AM134" i="6"/>
  <c r="AM135" i="6"/>
  <c r="AM136" i="6"/>
  <c r="AM137" i="6"/>
  <c r="AM138" i="6"/>
  <c r="AM139" i="6"/>
  <c r="AM140" i="6"/>
  <c r="AM141" i="6"/>
  <c r="AM142" i="6"/>
  <c r="AM143" i="6"/>
  <c r="AM144" i="6"/>
  <c r="AM145" i="6"/>
  <c r="AM146" i="6"/>
  <c r="AM147" i="6"/>
  <c r="AM148" i="6"/>
  <c r="AM149" i="6"/>
  <c r="AM150" i="6"/>
  <c r="AM151" i="6"/>
  <c r="AM152" i="6"/>
  <c r="AM153" i="6"/>
  <c r="AM154" i="6"/>
  <c r="AM155" i="6"/>
  <c r="AM156" i="6"/>
  <c r="AM157" i="6"/>
  <c r="AM158" i="6"/>
  <c r="AM159" i="6"/>
  <c r="AM160" i="6"/>
  <c r="AM161" i="6"/>
  <c r="AM162" i="6"/>
  <c r="AM163" i="6"/>
  <c r="AM164" i="6"/>
  <c r="AM165" i="6"/>
  <c r="AM166" i="6"/>
  <c r="AM167" i="6"/>
  <c r="AM168" i="6"/>
  <c r="AM169" i="6"/>
  <c r="AM170" i="6"/>
  <c r="AM171" i="6"/>
  <c r="AM172" i="6"/>
  <c r="AM173" i="6"/>
  <c r="AM174" i="6"/>
  <c r="AM175" i="6"/>
  <c r="AM176" i="6"/>
  <c r="AM177" i="6"/>
  <c r="AM178" i="6"/>
  <c r="AM179" i="6"/>
  <c r="AM180" i="6"/>
  <c r="AM181" i="6"/>
  <c r="AM182" i="6"/>
  <c r="AM183" i="6"/>
  <c r="AM184" i="6"/>
  <c r="AM185" i="6"/>
  <c r="AM186" i="6"/>
  <c r="AM187" i="6"/>
  <c r="AM188" i="6"/>
  <c r="AM189" i="6"/>
  <c r="AM190" i="6"/>
  <c r="AM191" i="6"/>
  <c r="AM192" i="6"/>
  <c r="AM193" i="6"/>
  <c r="AM194" i="6"/>
  <c r="AM195" i="6"/>
  <c r="AM196" i="6"/>
  <c r="AM197" i="6"/>
  <c r="AM198" i="6"/>
  <c r="AM199" i="6"/>
  <c r="AM200" i="6"/>
  <c r="AM201" i="6"/>
  <c r="AM202" i="6"/>
  <c r="AM203" i="6"/>
  <c r="AM204" i="6"/>
  <c r="AM205" i="6"/>
  <c r="AM206" i="6"/>
  <c r="AM207" i="6"/>
  <c r="AM208" i="6"/>
  <c r="AM209" i="6"/>
  <c r="AM210" i="6"/>
  <c r="AM211" i="6"/>
  <c r="AM212" i="6"/>
  <c r="AM213" i="6"/>
  <c r="AM214" i="6"/>
  <c r="AM215" i="6"/>
  <c r="AM216" i="6"/>
  <c r="AM217" i="6"/>
  <c r="AM218" i="6"/>
  <c r="AM219" i="6"/>
  <c r="AM220" i="6"/>
  <c r="AM221" i="6"/>
  <c r="AM222" i="6"/>
  <c r="AM223" i="6"/>
  <c r="AM224" i="6"/>
  <c r="AM225" i="6"/>
  <c r="AM226" i="6"/>
  <c r="AM227" i="6"/>
  <c r="AM228" i="6"/>
  <c r="AM229" i="6"/>
  <c r="AM230" i="6"/>
  <c r="AM231" i="6"/>
  <c r="AM232" i="6"/>
  <c r="AM233" i="6"/>
  <c r="AM234" i="6"/>
  <c r="AM235" i="6"/>
  <c r="AM236" i="6"/>
  <c r="AM237" i="6"/>
  <c r="AM238" i="6"/>
  <c r="AM239" i="6"/>
  <c r="AM240" i="6"/>
  <c r="AM241" i="6"/>
  <c r="AM242" i="6"/>
  <c r="AM243" i="6"/>
  <c r="AM244" i="6"/>
  <c r="AM245" i="6"/>
  <c r="AM246" i="6"/>
  <c r="AM247" i="6"/>
  <c r="AM248" i="6"/>
  <c r="AM249" i="6"/>
  <c r="AM250" i="6"/>
  <c r="AM251" i="6"/>
  <c r="AM252" i="6"/>
  <c r="AM253" i="6"/>
  <c r="AM254" i="6"/>
  <c r="AM255" i="6"/>
  <c r="AM256" i="6"/>
  <c r="AM257" i="6"/>
  <c r="AM258" i="6"/>
  <c r="AM259" i="6"/>
  <c r="AM260" i="6"/>
  <c r="AM261" i="6"/>
  <c r="AM262" i="6"/>
  <c r="AM263" i="6"/>
  <c r="AM264" i="6"/>
  <c r="AM265" i="6"/>
  <c r="AM266" i="6"/>
  <c r="AM267" i="6"/>
  <c r="AM268" i="6"/>
  <c r="AM269" i="6"/>
  <c r="AM270" i="6"/>
  <c r="AM271" i="6"/>
  <c r="AM272" i="6"/>
  <c r="AM273" i="6"/>
  <c r="AM274" i="6"/>
  <c r="AM275" i="6"/>
  <c r="AM276" i="6"/>
  <c r="AM277" i="6"/>
  <c r="AM278" i="6"/>
  <c r="AM279" i="6"/>
  <c r="AM280" i="6"/>
  <c r="AM281" i="6"/>
  <c r="AM282" i="6"/>
  <c r="AM283" i="6"/>
  <c r="AM284" i="6"/>
  <c r="AM285" i="6"/>
  <c r="AM286" i="6"/>
  <c r="AM287" i="6"/>
  <c r="AM288" i="6"/>
  <c r="AM289" i="6"/>
  <c r="AM290" i="6"/>
  <c r="AM291" i="6"/>
  <c r="AM292" i="6"/>
  <c r="AM293" i="6"/>
  <c r="AM294" i="6"/>
  <c r="AM295" i="6"/>
  <c r="AM296" i="6"/>
  <c r="AM297" i="6"/>
  <c r="AM298" i="6"/>
  <c r="AM299" i="6"/>
  <c r="AM300" i="6"/>
  <c r="AM301" i="6"/>
  <c r="AM302" i="6"/>
  <c r="AM303" i="6"/>
  <c r="AM304" i="6"/>
  <c r="AM305" i="6"/>
  <c r="AM306" i="6"/>
  <c r="AM307" i="6"/>
  <c r="AM308" i="6"/>
  <c r="AM309" i="6"/>
  <c r="AM310" i="6"/>
  <c r="AM311" i="6"/>
  <c r="AM312" i="6"/>
  <c r="AM313" i="6"/>
  <c r="AM314" i="6"/>
  <c r="AM315" i="6"/>
  <c r="AM316" i="6"/>
  <c r="AM317" i="6"/>
  <c r="AM318" i="6"/>
  <c r="AM319" i="6"/>
  <c r="AM320" i="6"/>
  <c r="AM321" i="6"/>
  <c r="AM322" i="6"/>
  <c r="AM323" i="6"/>
  <c r="AM324" i="6"/>
  <c r="AM325" i="6"/>
  <c r="AM326" i="6"/>
  <c r="AM327" i="6"/>
  <c r="AM328" i="6"/>
  <c r="AM329" i="6"/>
  <c r="AM330" i="6"/>
  <c r="AM331" i="6"/>
  <c r="AM332" i="6"/>
  <c r="AM333" i="6"/>
  <c r="AM334" i="6"/>
  <c r="AM335" i="6"/>
  <c r="AM336" i="6"/>
  <c r="AM337" i="6"/>
  <c r="AM338" i="6"/>
  <c r="AM339" i="6"/>
  <c r="AM340" i="6"/>
  <c r="AM341" i="6"/>
  <c r="AM342" i="6"/>
  <c r="AM5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207" i="6"/>
  <c r="AL208" i="6"/>
  <c r="AL209" i="6"/>
  <c r="AL210" i="6"/>
  <c r="AL211" i="6"/>
  <c r="AL212" i="6"/>
  <c r="AL213" i="6"/>
  <c r="AL214" i="6"/>
  <c r="AL215" i="6"/>
  <c r="AL216" i="6"/>
  <c r="AL217" i="6"/>
  <c r="AL218" i="6"/>
  <c r="AL219" i="6"/>
  <c r="AL220" i="6"/>
  <c r="AL221" i="6"/>
  <c r="AL222" i="6"/>
  <c r="AL223" i="6"/>
  <c r="AL224" i="6"/>
  <c r="AL225" i="6"/>
  <c r="AL226" i="6"/>
  <c r="AL227" i="6"/>
  <c r="AL228" i="6"/>
  <c r="AL229" i="6"/>
  <c r="AL230" i="6"/>
  <c r="AL231" i="6"/>
  <c r="AL232" i="6"/>
  <c r="AL233" i="6"/>
  <c r="AL234" i="6"/>
  <c r="AL235" i="6"/>
  <c r="AL236" i="6"/>
  <c r="AL237" i="6"/>
  <c r="AL238" i="6"/>
  <c r="AL239" i="6"/>
  <c r="AL240" i="6"/>
  <c r="AL241" i="6"/>
  <c r="AL242" i="6"/>
  <c r="AL243" i="6"/>
  <c r="AL244" i="6"/>
  <c r="AL245" i="6"/>
  <c r="AL246" i="6"/>
  <c r="AL247" i="6"/>
  <c r="AL248" i="6"/>
  <c r="AL249" i="6"/>
  <c r="AL250" i="6"/>
  <c r="AL251" i="6"/>
  <c r="AL252" i="6"/>
  <c r="AL253" i="6"/>
  <c r="AL254" i="6"/>
  <c r="AL255" i="6"/>
  <c r="AL256" i="6"/>
  <c r="AL257" i="6"/>
  <c r="AL258" i="6"/>
  <c r="AL259" i="6"/>
  <c r="AL260" i="6"/>
  <c r="AL261" i="6"/>
  <c r="AL262" i="6"/>
  <c r="AL263" i="6"/>
  <c r="AL264" i="6"/>
  <c r="AL265" i="6"/>
  <c r="AL266" i="6"/>
  <c r="AL267" i="6"/>
  <c r="AL268" i="6"/>
  <c r="AL269" i="6"/>
  <c r="AL270" i="6"/>
  <c r="AL271" i="6"/>
  <c r="AL272" i="6"/>
  <c r="AL273" i="6"/>
  <c r="AL274" i="6"/>
  <c r="AL275" i="6"/>
  <c r="AL276" i="6"/>
  <c r="AL277" i="6"/>
  <c r="AL278" i="6"/>
  <c r="AL279" i="6"/>
  <c r="AL280" i="6"/>
  <c r="AL281" i="6"/>
  <c r="AL282" i="6"/>
  <c r="AL283" i="6"/>
  <c r="AL284" i="6"/>
  <c r="AL285" i="6"/>
  <c r="AL286" i="6"/>
  <c r="AL287" i="6"/>
  <c r="AL288" i="6"/>
  <c r="AL289" i="6"/>
  <c r="AL290" i="6"/>
  <c r="AL291" i="6"/>
  <c r="AL292" i="6"/>
  <c r="AL293" i="6"/>
  <c r="AL294" i="6"/>
  <c r="AL295" i="6"/>
  <c r="AL296" i="6"/>
  <c r="AL297" i="6"/>
  <c r="AL298" i="6"/>
  <c r="AL299" i="6"/>
  <c r="AL300" i="6"/>
  <c r="AL301" i="6"/>
  <c r="AL302" i="6"/>
  <c r="AL303" i="6"/>
  <c r="AL304" i="6"/>
  <c r="AL305" i="6"/>
  <c r="AL306" i="6"/>
  <c r="AL307" i="6"/>
  <c r="AL308" i="6"/>
  <c r="AL309" i="6"/>
  <c r="AL310" i="6"/>
  <c r="AL311" i="6"/>
  <c r="AL312" i="6"/>
  <c r="AL313" i="6"/>
  <c r="AL314" i="6"/>
  <c r="AL315" i="6"/>
  <c r="AL316" i="6"/>
  <c r="AL317" i="6"/>
  <c r="AL318" i="6"/>
  <c r="AL319" i="6"/>
  <c r="AL320" i="6"/>
  <c r="AL321" i="6"/>
  <c r="AL322" i="6"/>
  <c r="AL323" i="6"/>
  <c r="AL324" i="6"/>
  <c r="AL325" i="6"/>
  <c r="AL326" i="6"/>
  <c r="AL327" i="6"/>
  <c r="AL328" i="6"/>
  <c r="AL329" i="6"/>
  <c r="AL330" i="6"/>
  <c r="AL331" i="6"/>
  <c r="AL332" i="6"/>
  <c r="AL333" i="6"/>
  <c r="AL334" i="6"/>
  <c r="AL335" i="6"/>
  <c r="AL336" i="6"/>
  <c r="AL337" i="6"/>
  <c r="AL338" i="6"/>
  <c r="AL339" i="6"/>
  <c r="AL340" i="6"/>
  <c r="AL341" i="6"/>
  <c r="AL342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5" i="6"/>
  <c r="L316" i="6" a="1"/>
  <c r="AX5" i="6"/>
  <c r="AY5" i="6" s="1"/>
  <c r="AX6" i="6"/>
  <c r="AY6" i="6" s="1"/>
  <c r="AX7" i="6"/>
  <c r="AY7" i="6"/>
  <c r="AX8" i="6"/>
  <c r="AY8" i="6" s="1"/>
  <c r="AX9" i="6"/>
  <c r="AY9" i="6" s="1"/>
  <c r="AX10" i="6"/>
  <c r="AY10" i="6" s="1"/>
  <c r="AX11" i="6"/>
  <c r="AY11" i="6"/>
  <c r="AX12" i="6"/>
  <c r="AY12" i="6" s="1"/>
  <c r="AX13" i="6"/>
  <c r="AY13" i="6" s="1"/>
  <c r="AX14" i="6"/>
  <c r="AY14" i="6" s="1"/>
  <c r="AX15" i="6"/>
  <c r="AY15" i="6"/>
  <c r="AX16" i="6"/>
  <c r="AY16" i="6"/>
  <c r="AX17" i="6"/>
  <c r="AY17" i="6" s="1"/>
  <c r="AX18" i="6"/>
  <c r="AY18" i="6" s="1"/>
  <c r="AX19" i="6"/>
  <c r="AY19" i="6" s="1"/>
  <c r="AX20" i="6"/>
  <c r="AY20" i="6" s="1"/>
  <c r="AX21" i="6"/>
  <c r="AY21" i="6" s="1"/>
  <c r="AX22" i="6"/>
  <c r="AY22" i="6" s="1"/>
  <c r="AX23" i="6"/>
  <c r="AY23" i="6"/>
  <c r="AX24" i="6"/>
  <c r="AY24" i="6"/>
  <c r="AX25" i="6"/>
  <c r="AY25" i="6" s="1"/>
  <c r="AA25" i="6" a="1"/>
  <c r="AA26" i="6" a="1"/>
  <c r="AA27" i="6" a="1"/>
  <c r="AA28" i="6" a="1"/>
  <c r="AA29" i="6" a="1"/>
  <c r="AA30" i="6" a="1"/>
  <c r="AA31" i="6" a="1"/>
  <c r="AA32" i="6" a="1"/>
  <c r="AA33" i="6" a="1"/>
  <c r="AA34" i="6" a="1"/>
  <c r="AA35" i="6" a="1"/>
  <c r="AA36" i="6" a="1"/>
  <c r="AA37" i="6" a="1"/>
  <c r="AA38" i="6" a="1"/>
  <c r="AA39" i="6" a="1"/>
  <c r="AA40" i="6" a="1"/>
  <c r="AA41" i="6" a="1"/>
  <c r="AA42" i="6" a="1"/>
  <c r="AA43" i="6" a="1"/>
  <c r="AA44" i="6" a="1"/>
  <c r="AA45" i="6" a="1"/>
  <c r="AA46" i="6" a="1"/>
  <c r="AA47" i="6" a="1"/>
  <c r="AA48" i="6" a="1"/>
  <c r="AA49" i="6" a="1"/>
  <c r="AA50" i="6" a="1"/>
  <c r="AA51" i="6" a="1"/>
  <c r="AA52" i="6" a="1"/>
  <c r="AA53" i="6" a="1"/>
  <c r="AA54" i="6" a="1"/>
  <c r="AA55" i="6" a="1"/>
  <c r="AA56" i="6" a="1"/>
  <c r="AA57" i="6" a="1"/>
  <c r="AA58" i="6" a="1"/>
  <c r="AA59" i="6" a="1"/>
  <c r="AA60" i="6" a="1"/>
  <c r="AA61" i="6" a="1"/>
  <c r="AA62" i="6" a="1"/>
  <c r="AA63" i="6" a="1"/>
  <c r="AA64" i="6" a="1"/>
  <c r="AA65" i="6" a="1"/>
  <c r="AA66" i="6" a="1"/>
  <c r="AA67" i="6" a="1"/>
  <c r="AA68" i="6" a="1"/>
  <c r="AA69" i="6" a="1"/>
  <c r="AA70" i="6" a="1"/>
  <c r="AA71" i="6" a="1"/>
  <c r="AA72" i="6" a="1"/>
  <c r="AA73" i="6" a="1"/>
  <c r="AA74" i="6" a="1"/>
  <c r="AA75" i="6" a="1"/>
  <c r="AA76" i="6" a="1"/>
  <c r="AA77" i="6" a="1"/>
  <c r="AA78" i="6" a="1"/>
  <c r="AA79" i="6" a="1"/>
  <c r="AA80" i="6" a="1"/>
  <c r="AA81" i="6" a="1"/>
  <c r="AA82" i="6" a="1"/>
  <c r="AA83" i="6" a="1"/>
  <c r="AA84" i="6" a="1"/>
  <c r="AA85" i="6" a="1"/>
  <c r="AA86" i="6" a="1"/>
  <c r="AA87" i="6" a="1"/>
  <c r="AA88" i="6" a="1"/>
  <c r="AA89" i="6" a="1"/>
  <c r="AA90" i="6" a="1"/>
  <c r="AA91" i="6" a="1"/>
  <c r="AA92" i="6" a="1"/>
  <c r="AA93" i="6" a="1"/>
  <c r="AA94" i="6" a="1"/>
  <c r="AA95" i="6" a="1"/>
  <c r="AA96" i="6" a="1"/>
  <c r="AA97" i="6" a="1"/>
  <c r="AA98" i="6" a="1"/>
  <c r="AA99" i="6" a="1"/>
  <c r="AA100" i="6" a="1"/>
  <c r="AA101" i="6" a="1"/>
  <c r="AA102" i="6" a="1"/>
  <c r="AA103" i="6" a="1"/>
  <c r="AA104" i="6" a="1"/>
  <c r="AA105" i="6" a="1"/>
  <c r="AA106" i="6" a="1"/>
  <c r="AA107" i="6" a="1"/>
  <c r="AA108" i="6" a="1"/>
  <c r="AA109" i="6" a="1"/>
  <c r="AA110" i="6" a="1"/>
  <c r="AA111" i="6" a="1"/>
  <c r="AA112" i="6" a="1"/>
  <c r="AA113" i="6" a="1"/>
  <c r="AA114" i="6" a="1"/>
  <c r="AA115" i="6" a="1"/>
  <c r="AA116" i="6" a="1"/>
  <c r="AA117" i="6" a="1"/>
  <c r="AA118" i="6" a="1"/>
  <c r="AA119" i="6" a="1"/>
  <c r="AA120" i="6" a="1"/>
  <c r="AA121" i="6" a="1"/>
  <c r="AA122" i="6" a="1"/>
  <c r="AA123" i="6" a="1"/>
  <c r="AA124" i="6" a="1"/>
  <c r="AA125" i="6" a="1"/>
  <c r="AA126" i="6" a="1"/>
  <c r="AA127" i="6" a="1"/>
  <c r="AA128" i="6" a="1"/>
  <c r="AA129" i="6" a="1"/>
  <c r="AA130" i="6" a="1"/>
  <c r="AA131" i="6" a="1"/>
  <c r="AA132" i="6" a="1"/>
  <c r="AA133" i="6" a="1"/>
  <c r="AA134" i="6" a="1"/>
  <c r="AA135" i="6" a="1"/>
  <c r="AA136" i="6" a="1"/>
  <c r="AA137" i="6" a="1"/>
  <c r="AA138" i="6" a="1"/>
  <c r="AA139" i="6" a="1"/>
  <c r="AA140" i="6" a="1"/>
  <c r="AA141" i="6" a="1"/>
  <c r="AA142" i="6" a="1"/>
  <c r="AA143" i="6" a="1"/>
  <c r="AA144" i="6" a="1"/>
  <c r="AA145" i="6" a="1"/>
  <c r="AA146" i="6" a="1"/>
  <c r="AA147" i="6" a="1"/>
  <c r="AA148" i="6" a="1"/>
  <c r="AA149" i="6" a="1"/>
  <c r="AA150" i="6" a="1"/>
  <c r="AA151" i="6" a="1"/>
  <c r="AA152" i="6" a="1"/>
  <c r="AA153" i="6" a="1"/>
  <c r="AA154" i="6" a="1"/>
  <c r="AA155" i="6" a="1"/>
  <c r="AA156" i="6" a="1"/>
  <c r="AA157" i="6" a="1"/>
  <c r="AA158" i="6" a="1"/>
  <c r="AA159" i="6" a="1"/>
  <c r="AA160" i="6" a="1"/>
  <c r="AA161" i="6" a="1"/>
  <c r="AA162" i="6" a="1"/>
  <c r="AA163" i="6" a="1"/>
  <c r="AA164" i="6" a="1"/>
  <c r="AA165" i="6" a="1"/>
  <c r="AA166" i="6" a="1"/>
  <c r="AA167" i="6" a="1"/>
  <c r="AA168" i="6" a="1"/>
  <c r="AA169" i="6" a="1"/>
  <c r="AA170" i="6" a="1"/>
  <c r="AA171" i="6" a="1"/>
  <c r="AA172" i="6" a="1"/>
  <c r="AA173" i="6" a="1"/>
  <c r="AA174" i="6" a="1"/>
  <c r="AA175" i="6" a="1"/>
  <c r="AA176" i="6" a="1"/>
  <c r="AA177" i="6" a="1"/>
  <c r="AA178" i="6" a="1"/>
  <c r="AA179" i="6" a="1"/>
  <c r="AA180" i="6" a="1"/>
  <c r="AA181" i="6" a="1"/>
  <c r="AA182" i="6" a="1"/>
  <c r="AA183" i="6" a="1"/>
  <c r="AA184" i="6" a="1"/>
  <c r="AA185" i="6" a="1"/>
  <c r="AA186" i="6" a="1"/>
  <c r="AA187" i="6" a="1"/>
  <c r="AA188" i="6" a="1"/>
  <c r="AA189" i="6" a="1"/>
  <c r="AA190" i="6" a="1"/>
  <c r="AA191" i="6" a="1"/>
  <c r="AA192" i="6" a="1"/>
  <c r="AA193" i="6" a="1"/>
  <c r="AA194" i="6" a="1"/>
  <c r="AA195" i="6" a="1"/>
  <c r="AA196" i="6" a="1"/>
  <c r="AA197" i="6" a="1"/>
  <c r="AA198" i="6" a="1"/>
  <c r="AA199" i="6" a="1"/>
  <c r="AA200" i="6" a="1"/>
  <c r="AA201" i="6" a="1"/>
  <c r="AA202" i="6" a="1"/>
  <c r="AA203" i="6" a="1"/>
  <c r="AA204" i="6" a="1"/>
  <c r="AA205" i="6" a="1"/>
  <c r="AA206" i="6" a="1"/>
  <c r="AA207" i="6" a="1"/>
  <c r="AA208" i="6" a="1"/>
  <c r="AA209" i="6" a="1"/>
  <c r="AA210" i="6" a="1"/>
  <c r="AA211" i="6" a="1"/>
  <c r="AA212" i="6" a="1"/>
  <c r="AA213" i="6" a="1"/>
  <c r="AA214" i="6" a="1"/>
  <c r="AA215" i="6" a="1"/>
  <c r="AA216" i="6" a="1"/>
  <c r="AA217" i="6" a="1"/>
  <c r="AA218" i="6" a="1"/>
  <c r="AA219" i="6" a="1"/>
  <c r="AA220" i="6" a="1"/>
  <c r="AA221" i="6" a="1"/>
  <c r="AA222" i="6" a="1"/>
  <c r="AA223" i="6" a="1"/>
  <c r="AA224" i="6" a="1"/>
  <c r="AA225" i="6" a="1"/>
  <c r="AA226" i="6" a="1"/>
  <c r="AA227" i="6" a="1"/>
  <c r="AA228" i="6" a="1"/>
  <c r="AA229" i="6" a="1"/>
  <c r="AA230" i="6" a="1"/>
  <c r="AA231" i="6" a="1"/>
  <c r="AA232" i="6" a="1"/>
  <c r="AA233" i="6" a="1"/>
  <c r="AA234" i="6" a="1"/>
  <c r="AA235" i="6" a="1"/>
  <c r="AA236" i="6" a="1"/>
  <c r="AA237" i="6" a="1"/>
  <c r="AA238" i="6" a="1"/>
  <c r="AA239" i="6" a="1"/>
  <c r="AA240" i="6" a="1"/>
  <c r="AA241" i="6" a="1"/>
  <c r="AA242" i="6" a="1"/>
  <c r="AA243" i="6" a="1"/>
  <c r="AA244" i="6" a="1"/>
  <c r="AA245" i="6" a="1"/>
  <c r="AA246" i="6" a="1"/>
  <c r="AA247" i="6" a="1"/>
  <c r="AA248" i="6" a="1"/>
  <c r="AA249" i="6" a="1"/>
  <c r="AA250" i="6" a="1"/>
  <c r="AA251" i="6" a="1"/>
  <c r="AA252" i="6" a="1"/>
  <c r="AA253" i="6" a="1"/>
  <c r="AA254" i="6" a="1"/>
  <c r="AA255" i="6" a="1"/>
  <c r="AA256" i="6" a="1"/>
  <c r="AA257" i="6" a="1"/>
  <c r="AA258" i="6" a="1"/>
  <c r="AA259" i="6" a="1"/>
  <c r="AA260" i="6" a="1"/>
  <c r="AA261" i="6" a="1"/>
  <c r="AA262" i="6" a="1"/>
  <c r="AA263" i="6" a="1"/>
  <c r="AA264" i="6" a="1"/>
  <c r="AA265" i="6" a="1"/>
  <c r="AA266" i="6" a="1"/>
  <c r="AA267" i="6" a="1"/>
  <c r="AA268" i="6" a="1"/>
  <c r="AA269" i="6" a="1"/>
  <c r="AA270" i="6" a="1"/>
  <c r="AA271" i="6" a="1"/>
  <c r="AA272" i="6" a="1"/>
  <c r="AA273" i="6" a="1"/>
  <c r="AA274" i="6" a="1"/>
  <c r="AA275" i="6" a="1"/>
  <c r="AA276" i="6" a="1"/>
  <c r="AA277" i="6" a="1"/>
  <c r="AA278" i="6" a="1"/>
  <c r="AA279" i="6" a="1"/>
  <c r="AA280" i="6" a="1"/>
  <c r="AA281" i="6" a="1"/>
  <c r="AA282" i="6" a="1"/>
  <c r="AA283" i="6" a="1"/>
  <c r="AA284" i="6" a="1"/>
  <c r="AA285" i="6" a="1"/>
  <c r="AA286" i="6" a="1"/>
  <c r="AA287" i="6" a="1"/>
  <c r="AA288" i="6" a="1"/>
  <c r="AA289" i="6" a="1"/>
  <c r="AA290" i="6" a="1"/>
  <c r="AA291" i="6" a="1"/>
  <c r="AA292" i="6" a="1"/>
  <c r="AA293" i="6" a="1"/>
  <c r="AA294" i="6" a="1"/>
  <c r="AA295" i="6" a="1"/>
  <c r="AA296" i="6" a="1"/>
  <c r="AA297" i="6" a="1"/>
  <c r="AA298" i="6" a="1"/>
  <c r="AA299" i="6" a="1"/>
  <c r="AA300" i="6" a="1"/>
  <c r="AA301" i="6" a="1"/>
  <c r="AA302" i="6" a="1"/>
  <c r="AA303" i="6" a="1"/>
  <c r="AA304" i="6" a="1"/>
  <c r="AA305" i="6" a="1"/>
  <c r="AA306" i="6" a="1"/>
  <c r="AA307" i="6" a="1"/>
  <c r="AA308" i="6" a="1"/>
  <c r="AA309" i="6" a="1"/>
  <c r="AA310" i="6" a="1"/>
  <c r="AA311" i="6" a="1"/>
  <c r="AA312" i="6" a="1"/>
  <c r="AA313" i="6" a="1"/>
  <c r="AA314" i="6" a="1"/>
  <c r="AA315" i="6" a="1"/>
  <c r="AA316" i="6" a="1"/>
  <c r="AA317" i="6" a="1"/>
  <c r="AA318" i="6" a="1"/>
  <c r="AA319" i="6" a="1"/>
  <c r="AA320" i="6" a="1"/>
  <c r="AA321" i="6" a="1"/>
  <c r="AA322" i="6" a="1"/>
  <c r="AA323" i="6" a="1"/>
  <c r="AA324" i="6" a="1"/>
  <c r="AA325" i="6" a="1"/>
  <c r="AA326" i="6" a="1"/>
  <c r="AA327" i="6" a="1"/>
  <c r="AA328" i="6" a="1"/>
  <c r="AA329" i="6" a="1"/>
  <c r="AA330" i="6" a="1"/>
  <c r="AA331" i="6" a="1"/>
  <c r="AA332" i="6" a="1"/>
  <c r="AA333" i="6" a="1"/>
  <c r="AA334" i="6" a="1"/>
  <c r="AA335" i="6" a="1"/>
  <c r="AA336" i="6" a="1"/>
  <c r="AA337" i="6" a="1"/>
  <c r="AA338" i="6" a="1"/>
  <c r="AA339" i="6" a="1"/>
  <c r="AA340" i="6" a="1"/>
  <c r="AA341" i="6" a="1"/>
  <c r="AA342" i="6" a="1"/>
  <c r="AA6" i="6" a="1"/>
  <c r="AA7" i="6" a="1"/>
  <c r="AA8" i="6" a="1"/>
  <c r="AA9" i="6" a="1"/>
  <c r="AA10" i="6" a="1"/>
  <c r="AA11" i="6" a="1"/>
  <c r="AA12" i="6" a="1"/>
  <c r="AA13" i="6" a="1"/>
  <c r="AA14" i="6" a="1"/>
  <c r="AA15" i="6" a="1"/>
  <c r="AA16" i="6" a="1"/>
  <c r="AA17" i="6" a="1"/>
  <c r="AA18" i="6" a="1"/>
  <c r="AA19" i="6" a="1"/>
  <c r="AA20" i="6" a="1"/>
  <c r="AA21" i="6" a="1"/>
  <c r="AA22" i="6" a="1"/>
  <c r="AA23" i="6" a="1"/>
  <c r="AA24" i="6" a="1"/>
  <c r="AA5" i="6" a="1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AD138" i="6"/>
  <c r="AD139" i="6"/>
  <c r="AD140" i="6"/>
  <c r="AD141" i="6"/>
  <c r="AD142" i="6"/>
  <c r="AD143" i="6"/>
  <c r="AD144" i="6"/>
  <c r="AD145" i="6"/>
  <c r="AD146" i="6"/>
  <c r="AD147" i="6"/>
  <c r="AD148" i="6"/>
  <c r="AD149" i="6"/>
  <c r="AD150" i="6"/>
  <c r="AD151" i="6"/>
  <c r="AD152" i="6"/>
  <c r="AD153" i="6"/>
  <c r="AD154" i="6"/>
  <c r="AD155" i="6"/>
  <c r="AD156" i="6"/>
  <c r="AD157" i="6"/>
  <c r="AD158" i="6"/>
  <c r="AD159" i="6"/>
  <c r="AD160" i="6"/>
  <c r="AD161" i="6"/>
  <c r="AD162" i="6"/>
  <c r="AD163" i="6"/>
  <c r="AD164" i="6"/>
  <c r="AD165" i="6"/>
  <c r="AD166" i="6"/>
  <c r="AD167" i="6"/>
  <c r="AD168" i="6"/>
  <c r="AD169" i="6"/>
  <c r="AD170" i="6"/>
  <c r="AD171" i="6"/>
  <c r="AD172" i="6"/>
  <c r="AD173" i="6"/>
  <c r="AD174" i="6"/>
  <c r="AD175" i="6"/>
  <c r="AD176" i="6"/>
  <c r="AD177" i="6"/>
  <c r="AD178" i="6"/>
  <c r="AD179" i="6"/>
  <c r="AD180" i="6"/>
  <c r="AD181" i="6"/>
  <c r="AD182" i="6"/>
  <c r="AD183" i="6"/>
  <c r="AD184" i="6"/>
  <c r="AD185" i="6"/>
  <c r="AD186" i="6"/>
  <c r="AD187" i="6"/>
  <c r="AD188" i="6"/>
  <c r="AD189" i="6"/>
  <c r="AD190" i="6"/>
  <c r="AD191" i="6"/>
  <c r="AD192" i="6"/>
  <c r="AD193" i="6"/>
  <c r="AD194" i="6"/>
  <c r="AD195" i="6"/>
  <c r="AD196" i="6"/>
  <c r="AD197" i="6"/>
  <c r="AD198" i="6"/>
  <c r="AD199" i="6"/>
  <c r="AD200" i="6"/>
  <c r="AD201" i="6"/>
  <c r="AD202" i="6"/>
  <c r="AD203" i="6"/>
  <c r="AD204" i="6"/>
  <c r="AD205" i="6"/>
  <c r="AD206" i="6"/>
  <c r="AD207" i="6"/>
  <c r="AD208" i="6"/>
  <c r="AD209" i="6"/>
  <c r="AD210" i="6"/>
  <c r="AD211" i="6"/>
  <c r="AD212" i="6"/>
  <c r="AD213" i="6"/>
  <c r="AD214" i="6"/>
  <c r="AD215" i="6"/>
  <c r="AD216" i="6"/>
  <c r="AD217" i="6"/>
  <c r="AD218" i="6"/>
  <c r="AD219" i="6"/>
  <c r="AD220" i="6"/>
  <c r="AD221" i="6"/>
  <c r="AD222" i="6"/>
  <c r="AD223" i="6"/>
  <c r="AD224" i="6"/>
  <c r="AD225" i="6"/>
  <c r="AD226" i="6"/>
  <c r="AD227" i="6"/>
  <c r="AD228" i="6"/>
  <c r="AD229" i="6"/>
  <c r="AD230" i="6"/>
  <c r="AD231" i="6"/>
  <c r="AD232" i="6"/>
  <c r="AD233" i="6"/>
  <c r="AD234" i="6"/>
  <c r="AD235" i="6"/>
  <c r="AD236" i="6"/>
  <c r="AD237" i="6"/>
  <c r="AD238" i="6"/>
  <c r="AD239" i="6"/>
  <c r="AD240" i="6"/>
  <c r="AD241" i="6"/>
  <c r="AD242" i="6"/>
  <c r="AD243" i="6"/>
  <c r="AD244" i="6"/>
  <c r="AD245" i="6"/>
  <c r="AD246" i="6"/>
  <c r="AD247" i="6"/>
  <c r="AD248" i="6"/>
  <c r="AD249" i="6"/>
  <c r="AD250" i="6"/>
  <c r="AD251" i="6"/>
  <c r="AD252" i="6"/>
  <c r="AD253" i="6"/>
  <c r="AD254" i="6"/>
  <c r="AD255" i="6"/>
  <c r="AD256" i="6"/>
  <c r="AD257" i="6"/>
  <c r="AD258" i="6"/>
  <c r="AD259" i="6"/>
  <c r="AD260" i="6"/>
  <c r="AD261" i="6"/>
  <c r="AD262" i="6"/>
  <c r="AD263" i="6"/>
  <c r="AD264" i="6"/>
  <c r="AD265" i="6"/>
  <c r="AD266" i="6"/>
  <c r="AD267" i="6"/>
  <c r="AD268" i="6"/>
  <c r="AD269" i="6"/>
  <c r="AD270" i="6"/>
  <c r="AD271" i="6"/>
  <c r="AD272" i="6"/>
  <c r="AD273" i="6"/>
  <c r="AD274" i="6"/>
  <c r="AD275" i="6"/>
  <c r="AD276" i="6"/>
  <c r="AD277" i="6"/>
  <c r="AD278" i="6"/>
  <c r="AD279" i="6"/>
  <c r="AD280" i="6"/>
  <c r="AD281" i="6"/>
  <c r="AD282" i="6"/>
  <c r="AD283" i="6"/>
  <c r="AD284" i="6"/>
  <c r="AD285" i="6"/>
  <c r="AD286" i="6"/>
  <c r="AD287" i="6"/>
  <c r="AD288" i="6"/>
  <c r="AD289" i="6"/>
  <c r="AD290" i="6"/>
  <c r="AD291" i="6"/>
  <c r="AD292" i="6"/>
  <c r="AD293" i="6"/>
  <c r="AD294" i="6"/>
  <c r="AD295" i="6"/>
  <c r="AD296" i="6"/>
  <c r="AD297" i="6"/>
  <c r="AD298" i="6"/>
  <c r="AD299" i="6"/>
  <c r="AD300" i="6"/>
  <c r="AD301" i="6"/>
  <c r="AD302" i="6"/>
  <c r="AD303" i="6"/>
  <c r="AD304" i="6"/>
  <c r="AD305" i="6"/>
  <c r="AD306" i="6"/>
  <c r="AD307" i="6"/>
  <c r="AD308" i="6"/>
  <c r="AD309" i="6"/>
  <c r="AD310" i="6"/>
  <c r="AD311" i="6"/>
  <c r="AD312" i="6"/>
  <c r="AD313" i="6"/>
  <c r="AD314" i="6"/>
  <c r="AD315" i="6"/>
  <c r="AD316" i="6"/>
  <c r="AD317" i="6"/>
  <c r="AD318" i="6"/>
  <c r="AD319" i="6"/>
  <c r="AD320" i="6"/>
  <c r="AD321" i="6"/>
  <c r="AD322" i="6"/>
  <c r="AD323" i="6"/>
  <c r="AD324" i="6"/>
  <c r="AD325" i="6"/>
  <c r="AD326" i="6"/>
  <c r="AD327" i="6"/>
  <c r="AD328" i="6"/>
  <c r="AD329" i="6"/>
  <c r="AD330" i="6"/>
  <c r="AD331" i="6"/>
  <c r="AD332" i="6"/>
  <c r="AD333" i="6"/>
  <c r="AD334" i="6"/>
  <c r="AD335" i="6"/>
  <c r="AD336" i="6"/>
  <c r="AD337" i="6"/>
  <c r="AD338" i="6"/>
  <c r="AD339" i="6"/>
  <c r="AD340" i="6"/>
  <c r="AD341" i="6"/>
  <c r="AD342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5" i="6"/>
  <c r="AH10" i="6" a="1"/>
  <c r="AH11" i="6" a="1"/>
  <c r="AH12" i="6" a="1"/>
  <c r="AH13" i="6" a="1"/>
  <c r="AH14" i="6" a="1"/>
  <c r="AH15" i="6" a="1"/>
  <c r="AH16" i="6" a="1"/>
  <c r="AH17" i="6" a="1"/>
  <c r="AH18" i="6" a="1"/>
  <c r="AH19" i="6" a="1"/>
  <c r="AH20" i="6" a="1"/>
  <c r="AH21" i="6" a="1"/>
  <c r="AH22" i="6" a="1"/>
  <c r="AH23" i="6" a="1"/>
  <c r="AH24" i="6" a="1"/>
  <c r="AH25" i="6" a="1"/>
  <c r="AH26" i="6" a="1"/>
  <c r="AH27" i="6" a="1"/>
  <c r="AH28" i="6" a="1"/>
  <c r="AH29" i="6" a="1"/>
  <c r="AH30" i="6" a="1"/>
  <c r="AH31" i="6" a="1"/>
  <c r="AH32" i="6" a="1"/>
  <c r="AH33" i="6" a="1"/>
  <c r="AH34" i="6" a="1"/>
  <c r="AH35" i="6" a="1"/>
  <c r="AH36" i="6" a="1"/>
  <c r="AH37" i="6" a="1"/>
  <c r="AH38" i="6" a="1"/>
  <c r="AH39" i="6" a="1"/>
  <c r="AH40" i="6" a="1"/>
  <c r="AH41" i="6" a="1"/>
  <c r="AH42" i="6" a="1"/>
  <c r="AH43" i="6" a="1"/>
  <c r="AH44" i="6" a="1"/>
  <c r="AH45" i="6" a="1"/>
  <c r="AH46" i="6" a="1"/>
  <c r="AH47" i="6" a="1"/>
  <c r="AH48" i="6" a="1"/>
  <c r="AH49" i="6" a="1"/>
  <c r="AH50" i="6" a="1"/>
  <c r="AH51" i="6" a="1"/>
  <c r="AH52" i="6" a="1"/>
  <c r="AH53" i="6" a="1"/>
  <c r="AH54" i="6" a="1"/>
  <c r="AH55" i="6" a="1"/>
  <c r="AH56" i="6" a="1"/>
  <c r="AH57" i="6" a="1"/>
  <c r="AH58" i="6" a="1"/>
  <c r="AH59" i="6" a="1"/>
  <c r="AH60" i="6" a="1"/>
  <c r="AH61" i="6" a="1"/>
  <c r="AH62" i="6" a="1"/>
  <c r="AH63" i="6" a="1"/>
  <c r="AH64" i="6" a="1"/>
  <c r="AH65" i="6" a="1"/>
  <c r="AH66" i="6" a="1"/>
  <c r="AH67" i="6" a="1"/>
  <c r="AH68" i="6" a="1"/>
  <c r="AH69" i="6" a="1"/>
  <c r="AH70" i="6" a="1"/>
  <c r="AH71" i="6" a="1"/>
  <c r="AH72" i="6" a="1"/>
  <c r="AH73" i="6" a="1"/>
  <c r="AH74" i="6" a="1"/>
  <c r="AH75" i="6" a="1"/>
  <c r="AH76" i="6" a="1"/>
  <c r="AH77" i="6" a="1"/>
  <c r="AH78" i="6" a="1"/>
  <c r="AH79" i="6" a="1"/>
  <c r="AH80" i="6" a="1"/>
  <c r="AH81" i="6" a="1"/>
  <c r="AH82" i="6" a="1"/>
  <c r="AH83" i="6" a="1"/>
  <c r="AH84" i="6" a="1"/>
  <c r="AH85" i="6" a="1"/>
  <c r="AH86" i="6" a="1"/>
  <c r="AH87" i="6" a="1"/>
  <c r="AH88" i="6" a="1"/>
  <c r="AH89" i="6" a="1"/>
  <c r="AH90" i="6" a="1"/>
  <c r="AH91" i="6" a="1"/>
  <c r="AH92" i="6" a="1"/>
  <c r="AH93" i="6" a="1"/>
  <c r="AH94" i="6" a="1"/>
  <c r="AH95" i="6" a="1"/>
  <c r="AH96" i="6" a="1"/>
  <c r="AH97" i="6" a="1"/>
  <c r="AH98" i="6" a="1"/>
  <c r="AH99" i="6" a="1"/>
  <c r="AH100" i="6" a="1"/>
  <c r="AH101" i="6" a="1"/>
  <c r="AH102" i="6" a="1"/>
  <c r="AH103" i="6" a="1"/>
  <c r="AH104" i="6" a="1"/>
  <c r="AH105" i="6" a="1"/>
  <c r="AH106" i="6" a="1"/>
  <c r="AH107" i="6" a="1"/>
  <c r="AH108" i="6" a="1"/>
  <c r="AH109" i="6" a="1"/>
  <c r="AH110" i="6" a="1"/>
  <c r="AH111" i="6" a="1"/>
  <c r="AH112" i="6" a="1"/>
  <c r="AH113" i="6" a="1"/>
  <c r="AH114" i="6" a="1"/>
  <c r="AH115" i="6" a="1"/>
  <c r="AH116" i="6" a="1"/>
  <c r="AH117" i="6" a="1"/>
  <c r="AH118" i="6" a="1"/>
  <c r="AH119" i="6" a="1"/>
  <c r="AH120" i="6" a="1"/>
  <c r="AH121" i="6" a="1"/>
  <c r="AH122" i="6" a="1"/>
  <c r="AH123" i="6" a="1"/>
  <c r="AH124" i="6" a="1"/>
  <c r="AH125" i="6" a="1"/>
  <c r="AH126" i="6" a="1"/>
  <c r="AH127" i="6" a="1"/>
  <c r="AH128" i="6" a="1"/>
  <c r="AH129" i="6" a="1"/>
  <c r="AH130" i="6" a="1"/>
  <c r="AH131" i="6" a="1"/>
  <c r="AH132" i="6" a="1"/>
  <c r="AH133" i="6" a="1"/>
  <c r="AH134" i="6" a="1"/>
  <c r="AH135" i="6" a="1"/>
  <c r="AH136" i="6" a="1"/>
  <c r="AH137" i="6" a="1"/>
  <c r="AH138" i="6" a="1"/>
  <c r="AH139" i="6" a="1"/>
  <c r="AH140" i="6" a="1"/>
  <c r="AH141" i="6" a="1"/>
  <c r="AH142" i="6" a="1"/>
  <c r="AH143" i="6" a="1"/>
  <c r="AH144" i="6" a="1"/>
  <c r="AH145" i="6" a="1"/>
  <c r="AH146" i="6" a="1"/>
  <c r="AH147" i="6" a="1"/>
  <c r="AH148" i="6" a="1"/>
  <c r="AH149" i="6" a="1"/>
  <c r="AH150" i="6" a="1"/>
  <c r="AH151" i="6" a="1"/>
  <c r="AH152" i="6" a="1"/>
  <c r="AH153" i="6" a="1"/>
  <c r="AH154" i="6" a="1"/>
  <c r="AH155" i="6" a="1"/>
  <c r="AH156" i="6" a="1"/>
  <c r="AH157" i="6" a="1"/>
  <c r="AH158" i="6" a="1"/>
  <c r="AH159" i="6" a="1"/>
  <c r="AH160" i="6" a="1"/>
  <c r="AH161" i="6" a="1"/>
  <c r="AH162" i="6" a="1"/>
  <c r="AH163" i="6" a="1"/>
  <c r="AH164" i="6" a="1"/>
  <c r="AH165" i="6" a="1"/>
  <c r="AH166" i="6" a="1"/>
  <c r="AH167" i="6" a="1"/>
  <c r="AH168" i="6" a="1"/>
  <c r="AH169" i="6" a="1"/>
  <c r="AH170" i="6" a="1"/>
  <c r="AH171" i="6" a="1"/>
  <c r="AH172" i="6" a="1"/>
  <c r="AH173" i="6" a="1"/>
  <c r="AH174" i="6" a="1"/>
  <c r="AH175" i="6" a="1"/>
  <c r="AH176" i="6" a="1"/>
  <c r="AH177" i="6" a="1"/>
  <c r="AH178" i="6" a="1"/>
  <c r="AH179" i="6" a="1"/>
  <c r="AH180" i="6" a="1"/>
  <c r="AH181" i="6" a="1"/>
  <c r="AH182" i="6" a="1"/>
  <c r="AH183" i="6" a="1"/>
  <c r="AH184" i="6" a="1"/>
  <c r="AH185" i="6" a="1"/>
  <c r="AH186" i="6" a="1"/>
  <c r="AH187" i="6" a="1"/>
  <c r="AH188" i="6" a="1"/>
  <c r="AH189" i="6" a="1"/>
  <c r="AH190" i="6" a="1"/>
  <c r="AH191" i="6" a="1"/>
  <c r="AH192" i="6" a="1"/>
  <c r="AH193" i="6" a="1"/>
  <c r="AH194" i="6" a="1"/>
  <c r="AH195" i="6" a="1"/>
  <c r="AH196" i="6" a="1"/>
  <c r="AH197" i="6" a="1"/>
  <c r="AH198" i="6" a="1"/>
  <c r="AH199" i="6" a="1"/>
  <c r="AH200" i="6" a="1"/>
  <c r="AH201" i="6" a="1"/>
  <c r="AH202" i="6" a="1"/>
  <c r="AH203" i="6" a="1"/>
  <c r="AH204" i="6" a="1"/>
  <c r="AH205" i="6" a="1"/>
  <c r="AH206" i="6" a="1"/>
  <c r="AH207" i="6" a="1"/>
  <c r="AH208" i="6" a="1"/>
  <c r="AH209" i="6" a="1"/>
  <c r="AH210" i="6" a="1"/>
  <c r="AH211" i="6" a="1"/>
  <c r="AH212" i="6" a="1"/>
  <c r="AH213" i="6" a="1"/>
  <c r="AH214" i="6" a="1"/>
  <c r="AH215" i="6" a="1"/>
  <c r="AH216" i="6" a="1"/>
  <c r="AH217" i="6" a="1"/>
  <c r="AH218" i="6" a="1"/>
  <c r="AH219" i="6" a="1"/>
  <c r="AH220" i="6" a="1"/>
  <c r="AH221" i="6" a="1"/>
  <c r="AH222" i="6" a="1"/>
  <c r="AH223" i="6" a="1"/>
  <c r="AH224" i="6" a="1"/>
  <c r="AH225" i="6" a="1"/>
  <c r="AH226" i="6" a="1"/>
  <c r="AH227" i="6" a="1"/>
  <c r="AH228" i="6" a="1"/>
  <c r="AH229" i="6" a="1"/>
  <c r="AH230" i="6" a="1"/>
  <c r="AH231" i="6" a="1"/>
  <c r="AH232" i="6" a="1"/>
  <c r="AH233" i="6" a="1"/>
  <c r="AH234" i="6" a="1"/>
  <c r="AH235" i="6" a="1"/>
  <c r="AH236" i="6" a="1"/>
  <c r="AH237" i="6" a="1"/>
  <c r="AH238" i="6" a="1"/>
  <c r="AH239" i="6" a="1"/>
  <c r="AH240" i="6" a="1"/>
  <c r="AH241" i="6" a="1"/>
  <c r="AH242" i="6" a="1"/>
  <c r="AH243" i="6" a="1"/>
  <c r="AH244" i="6" a="1"/>
  <c r="AH245" i="6" a="1"/>
  <c r="AH246" i="6" a="1"/>
  <c r="AH247" i="6" a="1"/>
  <c r="AH248" i="6" a="1"/>
  <c r="AH249" i="6" a="1"/>
  <c r="AH250" i="6" a="1"/>
  <c r="AH251" i="6" a="1"/>
  <c r="AH252" i="6" a="1"/>
  <c r="AH253" i="6" a="1"/>
  <c r="AH254" i="6" a="1"/>
  <c r="AH255" i="6" a="1"/>
  <c r="AH256" i="6" a="1"/>
  <c r="AH257" i="6" a="1"/>
  <c r="AH258" i="6" a="1"/>
  <c r="AH259" i="6" a="1"/>
  <c r="AH260" i="6" a="1"/>
  <c r="AH261" i="6" a="1"/>
  <c r="AH262" i="6" a="1"/>
  <c r="AH263" i="6" a="1"/>
  <c r="AH264" i="6" a="1"/>
  <c r="AH265" i="6" a="1"/>
  <c r="AH266" i="6" a="1"/>
  <c r="AH267" i="6" a="1"/>
  <c r="AH268" i="6" a="1"/>
  <c r="AH269" i="6" a="1"/>
  <c r="AH270" i="6" a="1"/>
  <c r="AH271" i="6" a="1"/>
  <c r="AH272" i="6" a="1"/>
  <c r="AH273" i="6" a="1"/>
  <c r="AH274" i="6" a="1"/>
  <c r="AH275" i="6" a="1"/>
  <c r="AH276" i="6" a="1"/>
  <c r="AH277" i="6" a="1"/>
  <c r="AH278" i="6" a="1"/>
  <c r="AH279" i="6" a="1"/>
  <c r="AH280" i="6" a="1"/>
  <c r="AH281" i="6" a="1"/>
  <c r="AH282" i="6" a="1"/>
  <c r="AH283" i="6" a="1"/>
  <c r="AH284" i="6" a="1"/>
  <c r="AH285" i="6" a="1"/>
  <c r="AH286" i="6" a="1"/>
  <c r="AH287" i="6" a="1"/>
  <c r="AH288" i="6" a="1"/>
  <c r="AH289" i="6" a="1"/>
  <c r="AH290" i="6" a="1"/>
  <c r="AH291" i="6" a="1"/>
  <c r="AH292" i="6" a="1"/>
  <c r="AH293" i="6" a="1"/>
  <c r="AH294" i="6" a="1"/>
  <c r="AH295" i="6" a="1"/>
  <c r="AH296" i="6" a="1"/>
  <c r="AH297" i="6" a="1"/>
  <c r="AH298" i="6" a="1"/>
  <c r="AH299" i="6" a="1"/>
  <c r="AH300" i="6" a="1"/>
  <c r="AH301" i="6" a="1"/>
  <c r="AH302" i="6" a="1"/>
  <c r="AH303" i="6" a="1"/>
  <c r="AH304" i="6" a="1"/>
  <c r="AH305" i="6" a="1"/>
  <c r="AH306" i="6" a="1"/>
  <c r="AH307" i="6" a="1"/>
  <c r="AH308" i="6" a="1"/>
  <c r="AH309" i="6" a="1"/>
  <c r="AH310" i="6" a="1"/>
  <c r="AH311" i="6" a="1"/>
  <c r="AH312" i="6" a="1"/>
  <c r="AH313" i="6" a="1"/>
  <c r="AH314" i="6" a="1"/>
  <c r="AH315" i="6" a="1"/>
  <c r="AH316" i="6" a="1"/>
  <c r="AH317" i="6" a="1"/>
  <c r="AH318" i="6" a="1"/>
  <c r="AH319" i="6" a="1"/>
  <c r="AH320" i="6" a="1"/>
  <c r="AH321" i="6" a="1"/>
  <c r="AH322" i="6" a="1"/>
  <c r="AH323" i="6" a="1"/>
  <c r="AH324" i="6" a="1"/>
  <c r="AH325" i="6" a="1"/>
  <c r="AH326" i="6" a="1"/>
  <c r="AH327" i="6" a="1"/>
  <c r="AH328" i="6" a="1"/>
  <c r="AH329" i="6" a="1"/>
  <c r="AH330" i="6" a="1"/>
  <c r="AH331" i="6" a="1"/>
  <c r="AH332" i="6" a="1"/>
  <c r="AH333" i="6" a="1"/>
  <c r="AH334" i="6" a="1"/>
  <c r="AH335" i="6" a="1"/>
  <c r="AH336" i="6" a="1"/>
  <c r="AH337" i="6" a="1"/>
  <c r="AH338" i="6" a="1"/>
  <c r="AH339" i="6" a="1"/>
  <c r="AH340" i="6" a="1"/>
  <c r="AH341" i="6" a="1"/>
  <c r="AH342" i="6" a="1"/>
  <c r="AH6" i="6" a="1"/>
  <c r="AH7" i="6" a="1"/>
  <c r="AH8" i="6" a="1"/>
  <c r="AH9" i="6" a="1"/>
  <c r="AH5" i="6" a="1"/>
  <c r="AR22" i="6" a="1"/>
  <c r="AR23" i="6" a="1"/>
  <c r="AR24" i="6" a="1"/>
  <c r="AR25" i="6" a="1"/>
  <c r="AR26" i="6" a="1"/>
  <c r="AR27" i="6" a="1"/>
  <c r="AR28" i="6" a="1"/>
  <c r="AR29" i="6" a="1"/>
  <c r="AR30" i="6" a="1"/>
  <c r="AR31" i="6" a="1"/>
  <c r="AR32" i="6" a="1"/>
  <c r="AR33" i="6" a="1"/>
  <c r="AR34" i="6" a="1"/>
  <c r="AR35" i="6" a="1"/>
  <c r="AR36" i="6" a="1"/>
  <c r="AR37" i="6" a="1"/>
  <c r="AR38" i="6" a="1"/>
  <c r="AR39" i="6" a="1"/>
  <c r="AR40" i="6" a="1"/>
  <c r="AR41" i="6" a="1"/>
  <c r="AR42" i="6" a="1"/>
  <c r="AR43" i="6" a="1"/>
  <c r="AR44" i="6" a="1"/>
  <c r="AR45" i="6" a="1"/>
  <c r="AR46" i="6" a="1"/>
  <c r="AR47" i="6" a="1"/>
  <c r="AR48" i="6" a="1"/>
  <c r="AR49" i="6" a="1"/>
  <c r="AR50" i="6" a="1"/>
  <c r="AR51" i="6" a="1"/>
  <c r="AR52" i="6" a="1"/>
  <c r="AR53" i="6" a="1"/>
  <c r="AR54" i="6" a="1"/>
  <c r="AR55" i="6" a="1"/>
  <c r="AR56" i="6" a="1"/>
  <c r="AR57" i="6" a="1"/>
  <c r="AR58" i="6" a="1"/>
  <c r="AR59" i="6" a="1"/>
  <c r="AR60" i="6" a="1"/>
  <c r="AR61" i="6" a="1"/>
  <c r="AR62" i="6" a="1"/>
  <c r="AR63" i="6" a="1"/>
  <c r="AR64" i="6" a="1"/>
  <c r="AR65" i="6" a="1"/>
  <c r="AR66" i="6" a="1"/>
  <c r="AR67" i="6" a="1"/>
  <c r="AR68" i="6" a="1"/>
  <c r="AR69" i="6" a="1"/>
  <c r="AR70" i="6" a="1"/>
  <c r="AR71" i="6" a="1"/>
  <c r="AR72" i="6" a="1"/>
  <c r="AR73" i="6" a="1"/>
  <c r="AR74" i="6" a="1"/>
  <c r="AR75" i="6" a="1"/>
  <c r="AR76" i="6" a="1"/>
  <c r="AR77" i="6" a="1"/>
  <c r="AR78" i="6" a="1"/>
  <c r="AR79" i="6" a="1"/>
  <c r="AR80" i="6" a="1"/>
  <c r="AR81" i="6" a="1"/>
  <c r="AR82" i="6" a="1"/>
  <c r="AR83" i="6" a="1"/>
  <c r="AR84" i="6" a="1"/>
  <c r="AR85" i="6" a="1"/>
  <c r="AR86" i="6" a="1"/>
  <c r="AR87" i="6" a="1"/>
  <c r="AR88" i="6" a="1"/>
  <c r="AR89" i="6" a="1"/>
  <c r="AR90" i="6" a="1"/>
  <c r="AR91" i="6" a="1"/>
  <c r="AR92" i="6" a="1"/>
  <c r="AR93" i="6" a="1"/>
  <c r="AR94" i="6" a="1"/>
  <c r="AR95" i="6" a="1"/>
  <c r="AR96" i="6" a="1"/>
  <c r="AR97" i="6" a="1"/>
  <c r="AR98" i="6" a="1"/>
  <c r="AR99" i="6" a="1"/>
  <c r="AR100" i="6" a="1"/>
  <c r="AR101" i="6" a="1"/>
  <c r="AR102" i="6" a="1"/>
  <c r="AR103" i="6" a="1"/>
  <c r="AR104" i="6" a="1"/>
  <c r="AR105" i="6" a="1"/>
  <c r="AR106" i="6" a="1"/>
  <c r="AR107" i="6" a="1"/>
  <c r="AR108" i="6" a="1"/>
  <c r="AR109" i="6" a="1"/>
  <c r="AR110" i="6" a="1"/>
  <c r="AR111" i="6" a="1"/>
  <c r="AR112" i="6" a="1"/>
  <c r="AR113" i="6" a="1"/>
  <c r="AR114" i="6" a="1"/>
  <c r="AR115" i="6" a="1"/>
  <c r="AR116" i="6" a="1"/>
  <c r="AR117" i="6" a="1"/>
  <c r="AR118" i="6" a="1"/>
  <c r="AR119" i="6" a="1"/>
  <c r="AR120" i="6" a="1"/>
  <c r="AR121" i="6" a="1"/>
  <c r="AR122" i="6" a="1"/>
  <c r="AR123" i="6" a="1"/>
  <c r="AR124" i="6" a="1"/>
  <c r="AR125" i="6" a="1"/>
  <c r="AR126" i="6" a="1"/>
  <c r="AR127" i="6" a="1"/>
  <c r="AR128" i="6" a="1"/>
  <c r="AR129" i="6" a="1"/>
  <c r="AR130" i="6" a="1"/>
  <c r="AR131" i="6" a="1"/>
  <c r="AR132" i="6" a="1"/>
  <c r="AR133" i="6" a="1"/>
  <c r="AR134" i="6" a="1"/>
  <c r="AR135" i="6" a="1"/>
  <c r="AR136" i="6" a="1"/>
  <c r="AR137" i="6" a="1"/>
  <c r="AR138" i="6" a="1"/>
  <c r="AR139" i="6" a="1"/>
  <c r="AR140" i="6" a="1"/>
  <c r="AR141" i="6" a="1"/>
  <c r="AR142" i="6" a="1"/>
  <c r="AR143" i="6" a="1"/>
  <c r="AR144" i="6" a="1"/>
  <c r="AR145" i="6" a="1"/>
  <c r="AR146" i="6" a="1"/>
  <c r="AR147" i="6" a="1"/>
  <c r="AR148" i="6" a="1"/>
  <c r="AR149" i="6" a="1"/>
  <c r="AR150" i="6" a="1"/>
  <c r="AR151" i="6" a="1"/>
  <c r="AR152" i="6" a="1"/>
  <c r="AR153" i="6" a="1"/>
  <c r="AR154" i="6" a="1"/>
  <c r="AR155" i="6" a="1"/>
  <c r="AR156" i="6" a="1"/>
  <c r="AR157" i="6" a="1"/>
  <c r="AR158" i="6" a="1"/>
  <c r="AR159" i="6" a="1"/>
  <c r="AR160" i="6" a="1"/>
  <c r="AR161" i="6" a="1"/>
  <c r="AR162" i="6" a="1"/>
  <c r="AR163" i="6" a="1"/>
  <c r="AR164" i="6" a="1"/>
  <c r="AR165" i="6" a="1"/>
  <c r="AR166" i="6" a="1"/>
  <c r="AR167" i="6" a="1"/>
  <c r="AR168" i="6" a="1"/>
  <c r="AR169" i="6" a="1"/>
  <c r="AR170" i="6" a="1"/>
  <c r="AR171" i="6" a="1"/>
  <c r="AR172" i="6" a="1"/>
  <c r="AR173" i="6" a="1"/>
  <c r="AR174" i="6" a="1"/>
  <c r="AR175" i="6" a="1"/>
  <c r="AR176" i="6" a="1"/>
  <c r="AR177" i="6" a="1"/>
  <c r="AR178" i="6" a="1"/>
  <c r="AR179" i="6" a="1"/>
  <c r="AR180" i="6" a="1"/>
  <c r="AR181" i="6" a="1"/>
  <c r="AR182" i="6" a="1"/>
  <c r="AR183" i="6" a="1"/>
  <c r="AR184" i="6" a="1"/>
  <c r="AR185" i="6" a="1"/>
  <c r="AR186" i="6" a="1"/>
  <c r="AR187" i="6" a="1"/>
  <c r="AR188" i="6" a="1"/>
  <c r="AR189" i="6" a="1"/>
  <c r="AR190" i="6" a="1"/>
  <c r="AR191" i="6" a="1"/>
  <c r="AR192" i="6" a="1"/>
  <c r="AR193" i="6" a="1"/>
  <c r="AR194" i="6" a="1"/>
  <c r="AR195" i="6" a="1"/>
  <c r="AR196" i="6" a="1"/>
  <c r="AR197" i="6" a="1"/>
  <c r="AR198" i="6" a="1"/>
  <c r="AR199" i="6" a="1"/>
  <c r="AR200" i="6" a="1"/>
  <c r="AR201" i="6" a="1"/>
  <c r="AR202" i="6" a="1"/>
  <c r="AR203" i="6" a="1"/>
  <c r="AR204" i="6" a="1"/>
  <c r="AR205" i="6" a="1"/>
  <c r="AR206" i="6" a="1"/>
  <c r="AR207" i="6" a="1"/>
  <c r="AR208" i="6" a="1"/>
  <c r="AR209" i="6" a="1"/>
  <c r="AR210" i="6" a="1"/>
  <c r="AR211" i="6" a="1"/>
  <c r="AR212" i="6" a="1"/>
  <c r="AR213" i="6" a="1"/>
  <c r="AR214" i="6" a="1"/>
  <c r="AR215" i="6" a="1"/>
  <c r="AR216" i="6" a="1"/>
  <c r="AR217" i="6" a="1"/>
  <c r="AR218" i="6" a="1"/>
  <c r="AR219" i="6" a="1"/>
  <c r="AR220" i="6" a="1"/>
  <c r="AR221" i="6" a="1"/>
  <c r="AR222" i="6" a="1"/>
  <c r="AR223" i="6" a="1"/>
  <c r="AR224" i="6" a="1"/>
  <c r="AR225" i="6" a="1"/>
  <c r="AR226" i="6" a="1"/>
  <c r="AR227" i="6" a="1"/>
  <c r="AR228" i="6" a="1"/>
  <c r="AR229" i="6" a="1"/>
  <c r="AR230" i="6" a="1"/>
  <c r="AR231" i="6" a="1"/>
  <c r="AR232" i="6" a="1"/>
  <c r="AR233" i="6" a="1"/>
  <c r="AR234" i="6" a="1"/>
  <c r="AR235" i="6" a="1"/>
  <c r="AR236" i="6" a="1"/>
  <c r="AR237" i="6" a="1"/>
  <c r="AR238" i="6" a="1"/>
  <c r="AR239" i="6" a="1"/>
  <c r="AR240" i="6" a="1"/>
  <c r="AR241" i="6" a="1"/>
  <c r="AR242" i="6" a="1"/>
  <c r="AR243" i="6" a="1"/>
  <c r="AR244" i="6" a="1"/>
  <c r="AR245" i="6" a="1"/>
  <c r="AR246" i="6" a="1"/>
  <c r="AR247" i="6" a="1"/>
  <c r="AR248" i="6" a="1"/>
  <c r="AR249" i="6" a="1"/>
  <c r="AR250" i="6" a="1"/>
  <c r="AR251" i="6" a="1"/>
  <c r="AR252" i="6" a="1"/>
  <c r="AR253" i="6" a="1"/>
  <c r="AR254" i="6" a="1"/>
  <c r="AR255" i="6" a="1"/>
  <c r="AR256" i="6" a="1"/>
  <c r="AR257" i="6" a="1"/>
  <c r="AR258" i="6" a="1"/>
  <c r="AR259" i="6" a="1"/>
  <c r="AR260" i="6" a="1"/>
  <c r="AR261" i="6" a="1"/>
  <c r="AR262" i="6" a="1"/>
  <c r="AR263" i="6" a="1"/>
  <c r="AR264" i="6" a="1"/>
  <c r="AR265" i="6" a="1"/>
  <c r="AR266" i="6" a="1"/>
  <c r="AR267" i="6" a="1"/>
  <c r="AR268" i="6" a="1"/>
  <c r="AR269" i="6" a="1"/>
  <c r="AR270" i="6" a="1"/>
  <c r="AR271" i="6" a="1"/>
  <c r="AR272" i="6" a="1"/>
  <c r="AR273" i="6" a="1"/>
  <c r="AR274" i="6" a="1"/>
  <c r="AR275" i="6" a="1"/>
  <c r="AR276" i="6" a="1"/>
  <c r="AR277" i="6" a="1"/>
  <c r="AR278" i="6" a="1"/>
  <c r="AR279" i="6" a="1"/>
  <c r="AR280" i="6" a="1"/>
  <c r="AR281" i="6" a="1"/>
  <c r="AR282" i="6" a="1"/>
  <c r="AR283" i="6" a="1"/>
  <c r="AR284" i="6" a="1"/>
  <c r="AR285" i="6" a="1"/>
  <c r="AR286" i="6" a="1"/>
  <c r="AR287" i="6" a="1"/>
  <c r="AR288" i="6" a="1"/>
  <c r="AR289" i="6" a="1"/>
  <c r="AR290" i="6" a="1"/>
  <c r="AR291" i="6" a="1"/>
  <c r="AR292" i="6" a="1"/>
  <c r="AR293" i="6" a="1"/>
  <c r="AR294" i="6" a="1"/>
  <c r="AR295" i="6" a="1"/>
  <c r="AR296" i="6" a="1"/>
  <c r="AR297" i="6" a="1"/>
  <c r="AR298" i="6" a="1"/>
  <c r="AR299" i="6" a="1"/>
  <c r="AR300" i="6" a="1"/>
  <c r="AR301" i="6" a="1"/>
  <c r="AR302" i="6" a="1"/>
  <c r="AR303" i="6" a="1"/>
  <c r="AR304" i="6" a="1"/>
  <c r="AR305" i="6" a="1"/>
  <c r="AR306" i="6" a="1"/>
  <c r="AR307" i="6" a="1"/>
  <c r="AR308" i="6" a="1"/>
  <c r="AR309" i="6" a="1"/>
  <c r="AR310" i="6" a="1"/>
  <c r="AR311" i="6" a="1"/>
  <c r="AR312" i="6" a="1"/>
  <c r="AR313" i="6" a="1"/>
  <c r="AR315" i="6" a="1"/>
  <c r="AR316" i="6" a="1"/>
  <c r="AR317" i="6" a="1"/>
  <c r="AR318" i="6" a="1"/>
  <c r="AR319" i="6" a="1"/>
  <c r="AR320" i="6" a="1"/>
  <c r="AR321" i="6" a="1"/>
  <c r="AR322" i="6" a="1"/>
  <c r="AR323" i="6" a="1"/>
  <c r="AR324" i="6" a="1"/>
  <c r="AR325" i="6" a="1"/>
  <c r="AR326" i="6" a="1"/>
  <c r="AR327" i="6" a="1"/>
  <c r="AR328" i="6" a="1"/>
  <c r="AR329" i="6" a="1"/>
  <c r="AR330" i="6" a="1"/>
  <c r="AR331" i="6" a="1"/>
  <c r="AR332" i="6" a="1"/>
  <c r="AR333" i="6" a="1"/>
  <c r="AR334" i="6" a="1"/>
  <c r="AR335" i="6" a="1"/>
  <c r="AR336" i="6" a="1"/>
  <c r="AR337" i="6" a="1"/>
  <c r="AR338" i="6" a="1"/>
  <c r="AR339" i="6" a="1"/>
  <c r="AR340" i="6" a="1"/>
  <c r="AR341" i="6" a="1"/>
  <c r="AR6" i="6" a="1"/>
  <c r="AR8" i="6" a="1"/>
  <c r="AR9" i="6" a="1"/>
  <c r="AR10" i="6" a="1"/>
  <c r="AR11" i="6" a="1"/>
  <c r="AR12" i="6" a="1"/>
  <c r="AR13" i="6" a="1"/>
  <c r="AR14" i="6" a="1"/>
  <c r="AR15" i="6" a="1"/>
  <c r="AR16" i="6" a="1"/>
  <c r="AR17" i="6" a="1"/>
  <c r="AR18" i="6" a="1"/>
  <c r="AR19" i="6" a="1"/>
  <c r="AR21" i="6" a="1"/>
  <c r="AR5" i="6" a="1"/>
  <c r="AP25" i="6"/>
  <c r="AP26" i="6"/>
  <c r="AP27" i="6"/>
  <c r="AP28" i="6"/>
  <c r="AP29" i="6"/>
  <c r="AP30" i="6"/>
  <c r="AP31" i="6"/>
  <c r="AP32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P58" i="6"/>
  <c r="AP59" i="6"/>
  <c r="AP60" i="6"/>
  <c r="AP61" i="6"/>
  <c r="AP62" i="6"/>
  <c r="AP63" i="6"/>
  <c r="AP64" i="6"/>
  <c r="AP65" i="6"/>
  <c r="AP66" i="6"/>
  <c r="AP67" i="6"/>
  <c r="AP68" i="6"/>
  <c r="AP69" i="6"/>
  <c r="AP70" i="6"/>
  <c r="AP71" i="6"/>
  <c r="AP72" i="6"/>
  <c r="AP73" i="6"/>
  <c r="AP74" i="6"/>
  <c r="AP75" i="6"/>
  <c r="AP76" i="6"/>
  <c r="AP77" i="6"/>
  <c r="AP78" i="6"/>
  <c r="AP79" i="6"/>
  <c r="AP80" i="6"/>
  <c r="AP81" i="6"/>
  <c r="AP82" i="6"/>
  <c r="AP83" i="6"/>
  <c r="AP84" i="6"/>
  <c r="AP85" i="6"/>
  <c r="AP86" i="6"/>
  <c r="AP87" i="6"/>
  <c r="AP88" i="6"/>
  <c r="AP89" i="6"/>
  <c r="AP90" i="6"/>
  <c r="AP91" i="6"/>
  <c r="AP92" i="6"/>
  <c r="AP93" i="6"/>
  <c r="AP94" i="6"/>
  <c r="AP95" i="6"/>
  <c r="AP96" i="6"/>
  <c r="AP97" i="6"/>
  <c r="AP98" i="6"/>
  <c r="AP99" i="6"/>
  <c r="AP100" i="6"/>
  <c r="AP101" i="6"/>
  <c r="AP102" i="6"/>
  <c r="AP103" i="6"/>
  <c r="AP104" i="6"/>
  <c r="AP105" i="6"/>
  <c r="AP106" i="6"/>
  <c r="AP107" i="6"/>
  <c r="AP108" i="6"/>
  <c r="AP109" i="6"/>
  <c r="AP110" i="6"/>
  <c r="AP111" i="6"/>
  <c r="AP112" i="6"/>
  <c r="AP113" i="6"/>
  <c r="AP114" i="6"/>
  <c r="AP115" i="6"/>
  <c r="AP116" i="6"/>
  <c r="AP117" i="6"/>
  <c r="AP118" i="6"/>
  <c r="AP119" i="6"/>
  <c r="AP120" i="6"/>
  <c r="AP121" i="6"/>
  <c r="AP122" i="6"/>
  <c r="AP123" i="6"/>
  <c r="AP124" i="6"/>
  <c r="AP125" i="6"/>
  <c r="AP126" i="6"/>
  <c r="AP127" i="6"/>
  <c r="AP128" i="6"/>
  <c r="AP129" i="6"/>
  <c r="AP130" i="6"/>
  <c r="AP131" i="6"/>
  <c r="AP132" i="6"/>
  <c r="AP133" i="6"/>
  <c r="AP134" i="6"/>
  <c r="AP135" i="6"/>
  <c r="AP136" i="6"/>
  <c r="AP137" i="6"/>
  <c r="AP138" i="6"/>
  <c r="AP139" i="6"/>
  <c r="AP140" i="6"/>
  <c r="AP141" i="6"/>
  <c r="AP142" i="6"/>
  <c r="AP143" i="6"/>
  <c r="AP144" i="6"/>
  <c r="AP145" i="6"/>
  <c r="AP146" i="6"/>
  <c r="AP147" i="6"/>
  <c r="AP148" i="6"/>
  <c r="AP149" i="6"/>
  <c r="AP150" i="6"/>
  <c r="AP151" i="6"/>
  <c r="AP152" i="6"/>
  <c r="AP153" i="6"/>
  <c r="AP154" i="6"/>
  <c r="AP155" i="6"/>
  <c r="AP156" i="6"/>
  <c r="AP157" i="6"/>
  <c r="AP158" i="6"/>
  <c r="AP159" i="6"/>
  <c r="AP160" i="6"/>
  <c r="AP161" i="6"/>
  <c r="AP162" i="6"/>
  <c r="AP163" i="6"/>
  <c r="AP164" i="6"/>
  <c r="AP165" i="6"/>
  <c r="AP166" i="6"/>
  <c r="AP167" i="6"/>
  <c r="AP168" i="6"/>
  <c r="AP169" i="6"/>
  <c r="AP170" i="6"/>
  <c r="AP171" i="6"/>
  <c r="AP172" i="6"/>
  <c r="AP173" i="6"/>
  <c r="AP174" i="6"/>
  <c r="AP175" i="6"/>
  <c r="AP176" i="6"/>
  <c r="AP177" i="6"/>
  <c r="AP178" i="6"/>
  <c r="AP179" i="6"/>
  <c r="AP180" i="6"/>
  <c r="AP181" i="6"/>
  <c r="AP182" i="6"/>
  <c r="AP183" i="6"/>
  <c r="AP184" i="6"/>
  <c r="AP185" i="6"/>
  <c r="AP186" i="6"/>
  <c r="AP187" i="6"/>
  <c r="AP188" i="6"/>
  <c r="AP189" i="6"/>
  <c r="AP190" i="6"/>
  <c r="AP191" i="6"/>
  <c r="AP192" i="6"/>
  <c r="AP193" i="6"/>
  <c r="AP194" i="6"/>
  <c r="AP195" i="6"/>
  <c r="AP196" i="6"/>
  <c r="AP197" i="6"/>
  <c r="AP198" i="6"/>
  <c r="AP199" i="6"/>
  <c r="AP200" i="6"/>
  <c r="AP201" i="6"/>
  <c r="AP202" i="6"/>
  <c r="AP203" i="6"/>
  <c r="AP204" i="6"/>
  <c r="AP205" i="6"/>
  <c r="AP206" i="6"/>
  <c r="AP207" i="6"/>
  <c r="AP208" i="6"/>
  <c r="AP209" i="6"/>
  <c r="AP210" i="6"/>
  <c r="AP211" i="6"/>
  <c r="AP212" i="6"/>
  <c r="AP213" i="6"/>
  <c r="AP214" i="6"/>
  <c r="AP215" i="6"/>
  <c r="AP216" i="6"/>
  <c r="AP217" i="6"/>
  <c r="AP218" i="6"/>
  <c r="AP219" i="6"/>
  <c r="AP220" i="6"/>
  <c r="AP221" i="6"/>
  <c r="AP222" i="6"/>
  <c r="AP223" i="6"/>
  <c r="AP224" i="6"/>
  <c r="AP225" i="6"/>
  <c r="AP226" i="6"/>
  <c r="AP227" i="6"/>
  <c r="AP228" i="6"/>
  <c r="AP229" i="6"/>
  <c r="AP230" i="6"/>
  <c r="AP231" i="6"/>
  <c r="AP232" i="6"/>
  <c r="AP233" i="6"/>
  <c r="AP234" i="6"/>
  <c r="AP235" i="6"/>
  <c r="AP236" i="6"/>
  <c r="AP237" i="6"/>
  <c r="AP238" i="6"/>
  <c r="AP239" i="6"/>
  <c r="AP240" i="6"/>
  <c r="AP241" i="6"/>
  <c r="AP242" i="6"/>
  <c r="AP243" i="6"/>
  <c r="AP244" i="6"/>
  <c r="AP245" i="6"/>
  <c r="AP246" i="6"/>
  <c r="AP247" i="6"/>
  <c r="AP248" i="6"/>
  <c r="AP249" i="6"/>
  <c r="AP250" i="6"/>
  <c r="AP251" i="6"/>
  <c r="AP252" i="6"/>
  <c r="AP253" i="6"/>
  <c r="AP254" i="6"/>
  <c r="AP255" i="6"/>
  <c r="AP256" i="6"/>
  <c r="AP257" i="6"/>
  <c r="AP258" i="6"/>
  <c r="AP259" i="6"/>
  <c r="AP260" i="6"/>
  <c r="AP261" i="6"/>
  <c r="AP262" i="6"/>
  <c r="AP263" i="6"/>
  <c r="AP264" i="6"/>
  <c r="AP265" i="6"/>
  <c r="AP266" i="6"/>
  <c r="AP267" i="6"/>
  <c r="AP268" i="6"/>
  <c r="AP269" i="6"/>
  <c r="AP270" i="6"/>
  <c r="AP271" i="6"/>
  <c r="AP272" i="6"/>
  <c r="AP273" i="6"/>
  <c r="AP274" i="6"/>
  <c r="AP275" i="6"/>
  <c r="AP276" i="6"/>
  <c r="AP277" i="6"/>
  <c r="AP278" i="6"/>
  <c r="AP279" i="6"/>
  <c r="AP280" i="6"/>
  <c r="AP281" i="6"/>
  <c r="AP282" i="6"/>
  <c r="AP283" i="6"/>
  <c r="AP284" i="6"/>
  <c r="AP285" i="6"/>
  <c r="AP286" i="6"/>
  <c r="AP287" i="6"/>
  <c r="AP288" i="6"/>
  <c r="AP289" i="6"/>
  <c r="AP290" i="6"/>
  <c r="AP291" i="6"/>
  <c r="AP292" i="6"/>
  <c r="AP293" i="6"/>
  <c r="AP294" i="6"/>
  <c r="AP295" i="6"/>
  <c r="AP296" i="6"/>
  <c r="AP297" i="6"/>
  <c r="AP298" i="6"/>
  <c r="AP299" i="6"/>
  <c r="AP300" i="6"/>
  <c r="AP301" i="6"/>
  <c r="AP302" i="6"/>
  <c r="AP303" i="6"/>
  <c r="AP304" i="6"/>
  <c r="AP305" i="6"/>
  <c r="AP306" i="6"/>
  <c r="AP307" i="6"/>
  <c r="AP308" i="6"/>
  <c r="AP309" i="6"/>
  <c r="AP310" i="6"/>
  <c r="AP311" i="6"/>
  <c r="AP312" i="6"/>
  <c r="AP313" i="6"/>
  <c r="AP314" i="6"/>
  <c r="AP315" i="6"/>
  <c r="AP316" i="6"/>
  <c r="AP317" i="6"/>
  <c r="AP318" i="6"/>
  <c r="AP319" i="6"/>
  <c r="AP320" i="6"/>
  <c r="AP321" i="6"/>
  <c r="AP322" i="6"/>
  <c r="AP323" i="6"/>
  <c r="AP324" i="6"/>
  <c r="AP325" i="6"/>
  <c r="AP326" i="6"/>
  <c r="AP327" i="6"/>
  <c r="AP328" i="6"/>
  <c r="AP329" i="6"/>
  <c r="AP330" i="6"/>
  <c r="AP331" i="6"/>
  <c r="AP332" i="6"/>
  <c r="AP333" i="6"/>
  <c r="AP334" i="6"/>
  <c r="AP335" i="6"/>
  <c r="AP336" i="6"/>
  <c r="AP337" i="6"/>
  <c r="AP338" i="6"/>
  <c r="AP339" i="6"/>
  <c r="AP340" i="6"/>
  <c r="AP341" i="6"/>
  <c r="AP342" i="6"/>
  <c r="AP24" i="6"/>
  <c r="AP23" i="6"/>
  <c r="AP22" i="6"/>
  <c r="AP21" i="6"/>
  <c r="AP20" i="6"/>
  <c r="AP19" i="6"/>
  <c r="AP18" i="6"/>
  <c r="AP17" i="6"/>
  <c r="AP16" i="6"/>
  <c r="AP15" i="6"/>
  <c r="AP14" i="6"/>
  <c r="AP13" i="6"/>
  <c r="AP12" i="6"/>
  <c r="AP11" i="6"/>
  <c r="AP10" i="6"/>
  <c r="AP9" i="6"/>
  <c r="AP8" i="6"/>
  <c r="AP7" i="6"/>
  <c r="AP6" i="6"/>
  <c r="AP5" i="6"/>
  <c r="B31" i="6"/>
  <c r="B26" i="6"/>
  <c r="B23" i="6"/>
  <c r="B58" i="6"/>
  <c r="B54" i="6"/>
  <c r="B92" i="6"/>
  <c r="B84" i="6"/>
  <c r="B81" i="6"/>
  <c r="B76" i="6"/>
  <c r="B67" i="6"/>
  <c r="B65" i="6"/>
  <c r="B125" i="6"/>
  <c r="B119" i="6"/>
  <c r="B110" i="6"/>
  <c r="B104" i="6"/>
  <c r="B99" i="6"/>
  <c r="B160" i="6"/>
  <c r="B158" i="6"/>
  <c r="B135" i="6"/>
  <c r="B133" i="6"/>
  <c r="B199" i="6"/>
  <c r="B198" i="6"/>
  <c r="B195" i="6"/>
  <c r="B189" i="6"/>
  <c r="B188" i="6"/>
  <c r="B181" i="6"/>
  <c r="B164" i="6"/>
  <c r="B243" i="6"/>
  <c r="B237" i="6"/>
  <c r="B235" i="6"/>
  <c r="B225" i="6"/>
  <c r="B216" i="6"/>
  <c r="B209" i="6"/>
  <c r="B276" i="6"/>
  <c r="B268" i="6"/>
  <c r="B263" i="6"/>
  <c r="B261" i="6"/>
  <c r="B260" i="6"/>
  <c r="B258" i="6"/>
  <c r="B255" i="6"/>
  <c r="B253" i="6"/>
  <c r="B252" i="6"/>
  <c r="B300" i="6"/>
  <c r="B295" i="6"/>
  <c r="B294" i="6"/>
  <c r="B317" i="6"/>
  <c r="B320" i="6"/>
  <c r="B330" i="6"/>
  <c r="B332" i="6"/>
  <c r="B341" i="6"/>
  <c r="C18" i="6"/>
  <c r="C19" i="6"/>
  <c r="C23" i="6"/>
  <c r="C30" i="6"/>
  <c r="C34" i="6"/>
  <c r="C36" i="6"/>
  <c r="C40" i="6"/>
  <c r="C46" i="6"/>
  <c r="C47" i="6"/>
  <c r="C48" i="6"/>
  <c r="C59" i="6"/>
  <c r="C64" i="6"/>
  <c r="C77" i="6"/>
  <c r="C87" i="6"/>
  <c r="C90" i="6"/>
  <c r="C91" i="6"/>
  <c r="C93" i="6"/>
  <c r="C112" i="6"/>
  <c r="C115" i="6"/>
  <c r="C117" i="6"/>
  <c r="C124" i="6"/>
  <c r="C126" i="6"/>
  <c r="C127" i="6"/>
  <c r="C129" i="6"/>
  <c r="C132" i="6"/>
  <c r="C133" i="6"/>
  <c r="C136" i="6"/>
  <c r="C139" i="6"/>
  <c r="C153" i="6"/>
  <c r="C155" i="6"/>
  <c r="C159" i="6"/>
  <c r="C162" i="6"/>
  <c r="C167" i="6"/>
  <c r="C172" i="6"/>
  <c r="C179" i="6"/>
  <c r="C185" i="6"/>
  <c r="C193" i="6"/>
  <c r="C199" i="6"/>
  <c r="C200" i="6"/>
  <c r="C201" i="6"/>
  <c r="C204" i="6"/>
  <c r="C207" i="6"/>
  <c r="C210" i="6"/>
  <c r="C218" i="6"/>
  <c r="C220" i="6"/>
  <c r="C222" i="6"/>
  <c r="C234" i="6"/>
  <c r="C238" i="6"/>
  <c r="C245" i="6"/>
  <c r="C262" i="6"/>
  <c r="C263" i="6"/>
  <c r="C264" i="6"/>
  <c r="C267" i="6"/>
  <c r="C270" i="6"/>
  <c r="C278" i="6"/>
  <c r="C280" i="6"/>
  <c r="C289" i="6"/>
  <c r="C292" i="6"/>
  <c r="C294" i="6"/>
  <c r="C300" i="6"/>
  <c r="C304" i="6"/>
  <c r="C306" i="6"/>
  <c r="C308" i="6"/>
  <c r="C311" i="6"/>
  <c r="C329" i="6"/>
  <c r="C335" i="6"/>
  <c r="C337" i="6"/>
  <c r="D5" i="6"/>
  <c r="D6" i="6"/>
  <c r="E6" i="6" s="1"/>
  <c r="F6" i="6" s="1"/>
  <c r="D7" i="6"/>
  <c r="E7" i="6" s="1"/>
  <c r="F7" i="6" s="1"/>
  <c r="D8" i="6"/>
  <c r="E8" i="6" s="1"/>
  <c r="F8" i="6" s="1"/>
  <c r="D9" i="6"/>
  <c r="E9" i="6" s="1"/>
  <c r="F9" i="6" s="1"/>
  <c r="D10" i="6"/>
  <c r="E10" i="6" s="1"/>
  <c r="F10" i="6" s="1"/>
  <c r="D11" i="6"/>
  <c r="E11" i="6" s="1"/>
  <c r="F11" i="6" s="1"/>
  <c r="D12" i="6"/>
  <c r="E12" i="6" s="1"/>
  <c r="F12" i="6" s="1"/>
  <c r="D13" i="6"/>
  <c r="E13" i="6" s="1"/>
  <c r="F13" i="6" s="1"/>
  <c r="D14" i="6"/>
  <c r="E14" i="6" s="1"/>
  <c r="F14" i="6" s="1"/>
  <c r="D15" i="6"/>
  <c r="E15" i="6" s="1"/>
  <c r="D16" i="6"/>
  <c r="E16" i="6" s="1"/>
  <c r="D17" i="6"/>
  <c r="E17" i="6" s="1"/>
  <c r="D18" i="6"/>
  <c r="E18" i="6" s="1"/>
  <c r="F18" i="6" s="1"/>
  <c r="D19" i="6"/>
  <c r="E19" i="6" s="1"/>
  <c r="F19" i="6" s="1"/>
  <c r="D20" i="6"/>
  <c r="E20" i="6" s="1"/>
  <c r="D21" i="6"/>
  <c r="E21" i="6" s="1"/>
  <c r="D22" i="6"/>
  <c r="E22" i="6" s="1"/>
  <c r="D23" i="6"/>
  <c r="E23" i="6" s="1"/>
  <c r="F23" i="6" s="1"/>
  <c r="D24" i="6"/>
  <c r="E24" i="6" s="1"/>
  <c r="D25" i="6"/>
  <c r="E25" i="6" s="1"/>
  <c r="D26" i="6"/>
  <c r="E26" i="6" s="1"/>
  <c r="D27" i="6"/>
  <c r="E27" i="6" s="1"/>
  <c r="D28" i="6"/>
  <c r="E28" i="6" s="1"/>
  <c r="D29" i="6"/>
  <c r="E29" i="6" s="1"/>
  <c r="D30" i="6"/>
  <c r="E30" i="6" s="1"/>
  <c r="F30" i="6" s="1"/>
  <c r="D31" i="6"/>
  <c r="E31" i="6" s="1"/>
  <c r="D32" i="6"/>
  <c r="E32" i="6" s="1"/>
  <c r="D33" i="6"/>
  <c r="E33" i="6" s="1"/>
  <c r="D34" i="6"/>
  <c r="E34" i="6" s="1"/>
  <c r="F34" i="6" s="1"/>
  <c r="D35" i="6"/>
  <c r="E35" i="6" s="1"/>
  <c r="D36" i="6"/>
  <c r="E36" i="6" s="1"/>
  <c r="F36" i="6" s="1"/>
  <c r="D37" i="6"/>
  <c r="E37" i="6" s="1"/>
  <c r="D38" i="6"/>
  <c r="E38" i="6" s="1"/>
  <c r="D39" i="6"/>
  <c r="E39" i="6" s="1"/>
  <c r="D40" i="6"/>
  <c r="E40" i="6" s="1"/>
  <c r="F40" i="6" s="1"/>
  <c r="D41" i="6"/>
  <c r="E41" i="6" s="1"/>
  <c r="D42" i="6"/>
  <c r="E42" i="6" s="1"/>
  <c r="D43" i="6"/>
  <c r="E43" i="6" s="1"/>
  <c r="D44" i="6"/>
  <c r="E44" i="6" s="1"/>
  <c r="D45" i="6"/>
  <c r="E45" i="6" s="1"/>
  <c r="D46" i="6"/>
  <c r="E46" i="6" s="1"/>
  <c r="F46" i="6" s="1"/>
  <c r="D47" i="6"/>
  <c r="E47" i="6" s="1"/>
  <c r="F47" i="6" s="1"/>
  <c r="D48" i="6"/>
  <c r="E48" i="6" s="1"/>
  <c r="F48" i="6" s="1"/>
  <c r="D49" i="6"/>
  <c r="E49" i="6" s="1"/>
  <c r="D50" i="6"/>
  <c r="E50" i="6" s="1"/>
  <c r="D51" i="6"/>
  <c r="E51" i="6" s="1"/>
  <c r="D52" i="6"/>
  <c r="E52" i="6" s="1"/>
  <c r="D53" i="6"/>
  <c r="E53" i="6" s="1"/>
  <c r="D54" i="6"/>
  <c r="E54" i="6" s="1"/>
  <c r="D55" i="6"/>
  <c r="E55" i="6" s="1"/>
  <c r="D56" i="6"/>
  <c r="E56" i="6" s="1"/>
  <c r="D57" i="6"/>
  <c r="E57" i="6" s="1"/>
  <c r="D58" i="6"/>
  <c r="E58" i="6" s="1"/>
  <c r="D59" i="6"/>
  <c r="E59" i="6" s="1"/>
  <c r="F59" i="6" s="1"/>
  <c r="D60" i="6"/>
  <c r="E60" i="6" s="1"/>
  <c r="D61" i="6"/>
  <c r="E61" i="6" s="1"/>
  <c r="D62" i="6"/>
  <c r="E62" i="6" s="1"/>
  <c r="D63" i="6"/>
  <c r="E63" i="6" s="1"/>
  <c r="D64" i="6"/>
  <c r="E64" i="6" s="1"/>
  <c r="F64" i="6" s="1"/>
  <c r="D65" i="6"/>
  <c r="E65" i="6" s="1"/>
  <c r="D66" i="6"/>
  <c r="E66" i="6" s="1"/>
  <c r="D67" i="6"/>
  <c r="E67" i="6" s="1"/>
  <c r="D68" i="6"/>
  <c r="E68" i="6" s="1"/>
  <c r="D69" i="6"/>
  <c r="E69" i="6" s="1"/>
  <c r="D70" i="6"/>
  <c r="E70" i="6" s="1"/>
  <c r="D71" i="6"/>
  <c r="E71" i="6" s="1"/>
  <c r="D72" i="6"/>
  <c r="E72" i="6" s="1"/>
  <c r="D73" i="6"/>
  <c r="E73" i="6" s="1"/>
  <c r="D74" i="6"/>
  <c r="E74" i="6" s="1"/>
  <c r="D75" i="6"/>
  <c r="E75" i="6" s="1"/>
  <c r="D76" i="6"/>
  <c r="E76" i="6" s="1"/>
  <c r="D77" i="6"/>
  <c r="E77" i="6" s="1"/>
  <c r="F77" i="6" s="1"/>
  <c r="D78" i="6"/>
  <c r="E78" i="6" s="1"/>
  <c r="D79" i="6"/>
  <c r="E79" i="6" s="1"/>
  <c r="D80" i="6"/>
  <c r="E80" i="6" s="1"/>
  <c r="D81" i="6"/>
  <c r="E81" i="6" s="1"/>
  <c r="D82" i="6"/>
  <c r="E82" i="6" s="1"/>
  <c r="D83" i="6"/>
  <c r="E83" i="6" s="1"/>
  <c r="D84" i="6"/>
  <c r="E84" i="6" s="1"/>
  <c r="D85" i="6"/>
  <c r="E85" i="6" s="1"/>
  <c r="D86" i="6"/>
  <c r="E86" i="6" s="1"/>
  <c r="D87" i="6"/>
  <c r="E87" i="6" s="1"/>
  <c r="F87" i="6" s="1"/>
  <c r="D88" i="6"/>
  <c r="E88" i="6" s="1"/>
  <c r="D89" i="6"/>
  <c r="E89" i="6" s="1"/>
  <c r="D90" i="6"/>
  <c r="E90" i="6" s="1"/>
  <c r="F90" i="6" s="1"/>
  <c r="D91" i="6"/>
  <c r="E91" i="6" s="1"/>
  <c r="F91" i="6" s="1"/>
  <c r="D92" i="6"/>
  <c r="E92" i="6" s="1"/>
  <c r="D93" i="6"/>
  <c r="E93" i="6" s="1"/>
  <c r="F93" i="6" s="1"/>
  <c r="D94" i="6"/>
  <c r="E94" i="6" s="1"/>
  <c r="D95" i="6"/>
  <c r="E95" i="6" s="1"/>
  <c r="D96" i="6"/>
  <c r="E96" i="6" s="1"/>
  <c r="D97" i="6"/>
  <c r="E97" i="6" s="1"/>
  <c r="D98" i="6"/>
  <c r="E98" i="6" s="1"/>
  <c r="D99" i="6"/>
  <c r="E99" i="6" s="1"/>
  <c r="D100" i="6"/>
  <c r="E100" i="6" s="1"/>
  <c r="D101" i="6"/>
  <c r="E101" i="6" s="1"/>
  <c r="D102" i="6"/>
  <c r="E102" i="6" s="1"/>
  <c r="D103" i="6"/>
  <c r="E103" i="6" s="1"/>
  <c r="D104" i="6"/>
  <c r="E104" i="6" s="1"/>
  <c r="D105" i="6"/>
  <c r="E105" i="6" s="1"/>
  <c r="D106" i="6"/>
  <c r="E106" i="6" s="1"/>
  <c r="D107" i="6"/>
  <c r="E107" i="6" s="1"/>
  <c r="D108" i="6"/>
  <c r="E108" i="6" s="1"/>
  <c r="D109" i="6"/>
  <c r="E109" i="6" s="1"/>
  <c r="D110" i="6"/>
  <c r="E110" i="6" s="1"/>
  <c r="D111" i="6"/>
  <c r="E111" i="6" s="1"/>
  <c r="D112" i="6"/>
  <c r="E112" i="6" s="1"/>
  <c r="F112" i="6" s="1"/>
  <c r="D113" i="6"/>
  <c r="E113" i="6" s="1"/>
  <c r="D114" i="6"/>
  <c r="E114" i="6" s="1"/>
  <c r="D115" i="6"/>
  <c r="E115" i="6" s="1"/>
  <c r="F115" i="6" s="1"/>
  <c r="D116" i="6"/>
  <c r="E116" i="6" s="1"/>
  <c r="D117" i="6"/>
  <c r="E117" i="6" s="1"/>
  <c r="F117" i="6" s="1"/>
  <c r="D118" i="6"/>
  <c r="E118" i="6" s="1"/>
  <c r="D119" i="6"/>
  <c r="E119" i="6" s="1"/>
  <c r="D120" i="6"/>
  <c r="E120" i="6" s="1"/>
  <c r="D121" i="6"/>
  <c r="E121" i="6" s="1"/>
  <c r="D122" i="6"/>
  <c r="E122" i="6" s="1"/>
  <c r="D123" i="6"/>
  <c r="E123" i="6" s="1"/>
  <c r="D124" i="6"/>
  <c r="E124" i="6" s="1"/>
  <c r="F124" i="6" s="1"/>
  <c r="D125" i="6"/>
  <c r="E125" i="6" s="1"/>
  <c r="D126" i="6"/>
  <c r="E126" i="6" s="1"/>
  <c r="F126" i="6" s="1"/>
  <c r="D127" i="6"/>
  <c r="E127" i="6" s="1"/>
  <c r="F127" i="6" s="1"/>
  <c r="D128" i="6"/>
  <c r="E128" i="6" s="1"/>
  <c r="D129" i="6"/>
  <c r="E129" i="6" s="1"/>
  <c r="F129" i="6" s="1"/>
  <c r="D130" i="6"/>
  <c r="E130" i="6" s="1"/>
  <c r="D131" i="6"/>
  <c r="E131" i="6" s="1"/>
  <c r="D132" i="6"/>
  <c r="E132" i="6" s="1"/>
  <c r="F132" i="6" s="1"/>
  <c r="D133" i="6"/>
  <c r="E133" i="6" s="1"/>
  <c r="F133" i="6" s="1"/>
  <c r="D134" i="6"/>
  <c r="E134" i="6" s="1"/>
  <c r="D135" i="6"/>
  <c r="E135" i="6" s="1"/>
  <c r="D136" i="6"/>
  <c r="E136" i="6" s="1"/>
  <c r="F136" i="6" s="1"/>
  <c r="D137" i="6"/>
  <c r="E137" i="6" s="1"/>
  <c r="D138" i="6"/>
  <c r="E138" i="6" s="1"/>
  <c r="D139" i="6"/>
  <c r="E139" i="6" s="1"/>
  <c r="F139" i="6" s="1"/>
  <c r="D140" i="6"/>
  <c r="E140" i="6" s="1"/>
  <c r="D141" i="6"/>
  <c r="E141" i="6" s="1"/>
  <c r="D142" i="6"/>
  <c r="E142" i="6" s="1"/>
  <c r="D143" i="6"/>
  <c r="E143" i="6" s="1"/>
  <c r="D144" i="6"/>
  <c r="E144" i="6" s="1"/>
  <c r="D145" i="6"/>
  <c r="E145" i="6" s="1"/>
  <c r="D146" i="6"/>
  <c r="E146" i="6" s="1"/>
  <c r="D147" i="6"/>
  <c r="E147" i="6" s="1"/>
  <c r="D148" i="6"/>
  <c r="E148" i="6" s="1"/>
  <c r="D149" i="6"/>
  <c r="E149" i="6" s="1"/>
  <c r="D150" i="6"/>
  <c r="E150" i="6" s="1"/>
  <c r="D151" i="6"/>
  <c r="E151" i="6" s="1"/>
  <c r="D152" i="6"/>
  <c r="E152" i="6" s="1"/>
  <c r="D153" i="6"/>
  <c r="E153" i="6" s="1"/>
  <c r="F153" i="6" s="1"/>
  <c r="D154" i="6"/>
  <c r="E154" i="6" s="1"/>
  <c r="D155" i="6"/>
  <c r="E155" i="6" s="1"/>
  <c r="F155" i="6" s="1"/>
  <c r="D156" i="6"/>
  <c r="E156" i="6" s="1"/>
  <c r="D157" i="6"/>
  <c r="E157" i="6" s="1"/>
  <c r="D158" i="6"/>
  <c r="E158" i="6" s="1"/>
  <c r="D159" i="6"/>
  <c r="E159" i="6" s="1"/>
  <c r="F159" i="6" s="1"/>
  <c r="D160" i="6"/>
  <c r="E160" i="6" s="1"/>
  <c r="D161" i="6"/>
  <c r="E161" i="6" s="1"/>
  <c r="D162" i="6"/>
  <c r="E162" i="6" s="1"/>
  <c r="F162" i="6" s="1"/>
  <c r="D163" i="6"/>
  <c r="E163" i="6" s="1"/>
  <c r="D164" i="6"/>
  <c r="E164" i="6" s="1"/>
  <c r="D165" i="6"/>
  <c r="E165" i="6" s="1"/>
  <c r="D166" i="6"/>
  <c r="E166" i="6" s="1"/>
  <c r="D167" i="6"/>
  <c r="E167" i="6" s="1"/>
  <c r="F167" i="6" s="1"/>
  <c r="D168" i="6"/>
  <c r="E168" i="6" s="1"/>
  <c r="D169" i="6"/>
  <c r="E169" i="6" s="1"/>
  <c r="D170" i="6"/>
  <c r="E170" i="6" s="1"/>
  <c r="D171" i="6"/>
  <c r="E171" i="6" s="1"/>
  <c r="D172" i="6"/>
  <c r="E172" i="6" s="1"/>
  <c r="F172" i="6" s="1"/>
  <c r="D173" i="6"/>
  <c r="E173" i="6" s="1"/>
  <c r="D174" i="6"/>
  <c r="E174" i="6" s="1"/>
  <c r="D175" i="6"/>
  <c r="E175" i="6" s="1"/>
  <c r="D176" i="6"/>
  <c r="E176" i="6" s="1"/>
  <c r="D177" i="6"/>
  <c r="E177" i="6" s="1"/>
  <c r="D178" i="6"/>
  <c r="E178" i="6" s="1"/>
  <c r="D179" i="6"/>
  <c r="E179" i="6" s="1"/>
  <c r="F179" i="6" s="1"/>
  <c r="D180" i="6"/>
  <c r="E180" i="6" s="1"/>
  <c r="D181" i="6"/>
  <c r="E181" i="6" s="1"/>
  <c r="D182" i="6"/>
  <c r="E182" i="6" s="1"/>
  <c r="D183" i="6"/>
  <c r="E183" i="6" s="1"/>
  <c r="D184" i="6"/>
  <c r="E184" i="6" s="1"/>
  <c r="D185" i="6"/>
  <c r="E185" i="6" s="1"/>
  <c r="F185" i="6" s="1"/>
  <c r="D186" i="6"/>
  <c r="E186" i="6" s="1"/>
  <c r="D187" i="6"/>
  <c r="E187" i="6" s="1"/>
  <c r="D188" i="6"/>
  <c r="E188" i="6" s="1"/>
  <c r="D189" i="6"/>
  <c r="E189" i="6" s="1"/>
  <c r="D190" i="6"/>
  <c r="E190" i="6" s="1"/>
  <c r="D191" i="6"/>
  <c r="E191" i="6" s="1"/>
  <c r="D192" i="6"/>
  <c r="E192" i="6" s="1"/>
  <c r="D193" i="6"/>
  <c r="E193" i="6" s="1"/>
  <c r="F193" i="6" s="1"/>
  <c r="D194" i="6"/>
  <c r="E194" i="6" s="1"/>
  <c r="D195" i="6"/>
  <c r="E195" i="6" s="1"/>
  <c r="D196" i="6"/>
  <c r="E196" i="6" s="1"/>
  <c r="D197" i="6"/>
  <c r="E197" i="6" s="1"/>
  <c r="D198" i="6"/>
  <c r="E198" i="6" s="1"/>
  <c r="D199" i="6"/>
  <c r="E199" i="6" s="1"/>
  <c r="F199" i="6" s="1"/>
  <c r="D200" i="6"/>
  <c r="E200" i="6" s="1"/>
  <c r="F200" i="6" s="1"/>
  <c r="D201" i="6"/>
  <c r="E201" i="6" s="1"/>
  <c r="F201" i="6" s="1"/>
  <c r="D202" i="6"/>
  <c r="E202" i="6" s="1"/>
  <c r="D203" i="6"/>
  <c r="E203" i="6" s="1"/>
  <c r="D204" i="6"/>
  <c r="E204" i="6" s="1"/>
  <c r="F204" i="6" s="1"/>
  <c r="D205" i="6"/>
  <c r="E205" i="6" s="1"/>
  <c r="D206" i="6"/>
  <c r="E206" i="6" s="1"/>
  <c r="D207" i="6"/>
  <c r="E207" i="6" s="1"/>
  <c r="F207" i="6" s="1"/>
  <c r="D208" i="6"/>
  <c r="E208" i="6" s="1"/>
  <c r="D209" i="6"/>
  <c r="E209" i="6" s="1"/>
  <c r="D210" i="6"/>
  <c r="E210" i="6" s="1"/>
  <c r="F210" i="6" s="1"/>
  <c r="D211" i="6"/>
  <c r="E211" i="6" s="1"/>
  <c r="D212" i="6"/>
  <c r="E212" i="6" s="1"/>
  <c r="D213" i="6"/>
  <c r="E213" i="6" s="1"/>
  <c r="D214" i="6"/>
  <c r="E214" i="6" s="1"/>
  <c r="D215" i="6"/>
  <c r="E215" i="6" s="1"/>
  <c r="D216" i="6"/>
  <c r="E216" i="6" s="1"/>
  <c r="D217" i="6"/>
  <c r="E217" i="6" s="1"/>
  <c r="D218" i="6"/>
  <c r="E218" i="6" s="1"/>
  <c r="F218" i="6" s="1"/>
  <c r="D219" i="6"/>
  <c r="E219" i="6" s="1"/>
  <c r="D220" i="6"/>
  <c r="E220" i="6" s="1"/>
  <c r="F220" i="6" s="1"/>
  <c r="D221" i="6"/>
  <c r="E221" i="6" s="1"/>
  <c r="D222" i="6"/>
  <c r="E222" i="6" s="1"/>
  <c r="F222" i="6" s="1"/>
  <c r="D223" i="6"/>
  <c r="E223" i="6" s="1"/>
  <c r="D224" i="6"/>
  <c r="E224" i="6" s="1"/>
  <c r="D225" i="6"/>
  <c r="E225" i="6" s="1"/>
  <c r="D226" i="6"/>
  <c r="E226" i="6" s="1"/>
  <c r="D227" i="6"/>
  <c r="E227" i="6" s="1"/>
  <c r="D228" i="6"/>
  <c r="E228" i="6" s="1"/>
  <c r="D229" i="6"/>
  <c r="E229" i="6" s="1"/>
  <c r="D230" i="6"/>
  <c r="E230" i="6" s="1"/>
  <c r="D231" i="6"/>
  <c r="E231" i="6" s="1"/>
  <c r="D232" i="6"/>
  <c r="E232" i="6" s="1"/>
  <c r="D233" i="6"/>
  <c r="E233" i="6" s="1"/>
  <c r="D234" i="6"/>
  <c r="E234" i="6" s="1"/>
  <c r="F234" i="6" s="1"/>
  <c r="D235" i="6"/>
  <c r="E235" i="6" s="1"/>
  <c r="D236" i="6"/>
  <c r="E236" i="6" s="1"/>
  <c r="D237" i="6"/>
  <c r="E237" i="6" s="1"/>
  <c r="D238" i="6"/>
  <c r="E238" i="6" s="1"/>
  <c r="F238" i="6" s="1"/>
  <c r="D239" i="6"/>
  <c r="E239" i="6" s="1"/>
  <c r="D240" i="6"/>
  <c r="E240" i="6" s="1"/>
  <c r="D241" i="6"/>
  <c r="E241" i="6" s="1"/>
  <c r="D242" i="6"/>
  <c r="E242" i="6" s="1"/>
  <c r="D243" i="6"/>
  <c r="E243" i="6" s="1"/>
  <c r="D244" i="6"/>
  <c r="E244" i="6" s="1"/>
  <c r="D245" i="6"/>
  <c r="E245" i="6" s="1"/>
  <c r="F245" i="6" s="1"/>
  <c r="D246" i="6"/>
  <c r="E246" i="6" s="1"/>
  <c r="D247" i="6"/>
  <c r="E247" i="6" s="1"/>
  <c r="D248" i="6"/>
  <c r="E248" i="6" s="1"/>
  <c r="D249" i="6"/>
  <c r="E249" i="6" s="1"/>
  <c r="D250" i="6"/>
  <c r="E250" i="6" s="1"/>
  <c r="D251" i="6"/>
  <c r="E251" i="6" s="1"/>
  <c r="D252" i="6"/>
  <c r="E252" i="6" s="1"/>
  <c r="D253" i="6"/>
  <c r="E253" i="6" s="1"/>
  <c r="D254" i="6"/>
  <c r="E254" i="6" s="1"/>
  <c r="D255" i="6"/>
  <c r="E255" i="6" s="1"/>
  <c r="D256" i="6"/>
  <c r="E256" i="6" s="1"/>
  <c r="D257" i="6"/>
  <c r="E257" i="6" s="1"/>
  <c r="D258" i="6"/>
  <c r="E258" i="6" s="1"/>
  <c r="D259" i="6"/>
  <c r="E259" i="6" s="1"/>
  <c r="D260" i="6"/>
  <c r="E260" i="6" s="1"/>
  <c r="D261" i="6"/>
  <c r="E261" i="6" s="1"/>
  <c r="D262" i="6"/>
  <c r="E262" i="6" s="1"/>
  <c r="F262" i="6" s="1"/>
  <c r="D263" i="6"/>
  <c r="E263" i="6" s="1"/>
  <c r="F263" i="6" s="1"/>
  <c r="D264" i="6"/>
  <c r="E264" i="6" s="1"/>
  <c r="F264" i="6" s="1"/>
  <c r="D265" i="6"/>
  <c r="E265" i="6" s="1"/>
  <c r="D266" i="6"/>
  <c r="E266" i="6" s="1"/>
  <c r="D267" i="6"/>
  <c r="E267" i="6" s="1"/>
  <c r="F267" i="6" s="1"/>
  <c r="D268" i="6"/>
  <c r="E268" i="6" s="1"/>
  <c r="D269" i="6"/>
  <c r="E269" i="6" s="1"/>
  <c r="D270" i="6"/>
  <c r="E270" i="6" s="1"/>
  <c r="F270" i="6" s="1"/>
  <c r="D271" i="6"/>
  <c r="E271" i="6" s="1"/>
  <c r="D272" i="6"/>
  <c r="E272" i="6" s="1"/>
  <c r="D273" i="6"/>
  <c r="E273" i="6" s="1"/>
  <c r="D274" i="6"/>
  <c r="E274" i="6" s="1"/>
  <c r="D275" i="6"/>
  <c r="E275" i="6" s="1"/>
  <c r="D276" i="6"/>
  <c r="E276" i="6" s="1"/>
  <c r="D277" i="6"/>
  <c r="E277" i="6" s="1"/>
  <c r="D278" i="6"/>
  <c r="E278" i="6" s="1"/>
  <c r="F278" i="6" s="1"/>
  <c r="D279" i="6"/>
  <c r="E279" i="6" s="1"/>
  <c r="D280" i="6"/>
  <c r="E280" i="6" s="1"/>
  <c r="F280" i="6" s="1"/>
  <c r="D281" i="6"/>
  <c r="E281" i="6" s="1"/>
  <c r="D282" i="6"/>
  <c r="E282" i="6" s="1"/>
  <c r="D283" i="6"/>
  <c r="E283" i="6" s="1"/>
  <c r="D284" i="6"/>
  <c r="E284" i="6" s="1"/>
  <c r="D285" i="6"/>
  <c r="E285" i="6" s="1"/>
  <c r="D286" i="6"/>
  <c r="E286" i="6" s="1"/>
  <c r="D287" i="6"/>
  <c r="E287" i="6" s="1"/>
  <c r="D288" i="6"/>
  <c r="E288" i="6" s="1"/>
  <c r="D289" i="6"/>
  <c r="E289" i="6" s="1"/>
  <c r="F289" i="6" s="1"/>
  <c r="D290" i="6"/>
  <c r="E290" i="6" s="1"/>
  <c r="D291" i="6"/>
  <c r="E291" i="6" s="1"/>
  <c r="D292" i="6"/>
  <c r="E292" i="6" s="1"/>
  <c r="F292" i="6" s="1"/>
  <c r="D293" i="6"/>
  <c r="E293" i="6" s="1"/>
  <c r="D294" i="6"/>
  <c r="E294" i="6" s="1"/>
  <c r="F294" i="6" s="1"/>
  <c r="D295" i="6"/>
  <c r="E295" i="6" s="1"/>
  <c r="D296" i="6"/>
  <c r="E296" i="6" s="1"/>
  <c r="D297" i="6"/>
  <c r="E297" i="6" s="1"/>
  <c r="D298" i="6"/>
  <c r="E298" i="6" s="1"/>
  <c r="D299" i="6"/>
  <c r="E299" i="6" s="1"/>
  <c r="D300" i="6"/>
  <c r="E300" i="6" s="1"/>
  <c r="F300" i="6" s="1"/>
  <c r="D301" i="6"/>
  <c r="E301" i="6" s="1"/>
  <c r="D302" i="6"/>
  <c r="E302" i="6" s="1"/>
  <c r="D303" i="6"/>
  <c r="E303" i="6" s="1"/>
  <c r="D304" i="6"/>
  <c r="E304" i="6" s="1"/>
  <c r="F304" i="6" s="1"/>
  <c r="D305" i="6"/>
  <c r="E305" i="6" s="1"/>
  <c r="D306" i="6"/>
  <c r="E306" i="6" s="1"/>
  <c r="F306" i="6" s="1"/>
  <c r="D307" i="6"/>
  <c r="E307" i="6" s="1"/>
  <c r="D308" i="6"/>
  <c r="E308" i="6" s="1"/>
  <c r="F308" i="6" s="1"/>
  <c r="D309" i="6"/>
  <c r="E309" i="6" s="1"/>
  <c r="D310" i="6"/>
  <c r="E310" i="6" s="1"/>
  <c r="D311" i="6"/>
  <c r="E311" i="6" s="1"/>
  <c r="F311" i="6" s="1"/>
  <c r="D312" i="6"/>
  <c r="E312" i="6" s="1"/>
  <c r="D313" i="6"/>
  <c r="E313" i="6" s="1"/>
  <c r="D314" i="6"/>
  <c r="E314" i="6" s="1"/>
  <c r="D315" i="6"/>
  <c r="E315" i="6" s="1"/>
  <c r="D316" i="6"/>
  <c r="E316" i="6" s="1"/>
  <c r="D317" i="6"/>
  <c r="E317" i="6" s="1"/>
  <c r="D318" i="6"/>
  <c r="E318" i="6" s="1"/>
  <c r="D319" i="6"/>
  <c r="E319" i="6" s="1"/>
  <c r="D320" i="6"/>
  <c r="E320" i="6" s="1"/>
  <c r="D321" i="6"/>
  <c r="E321" i="6" s="1"/>
  <c r="D322" i="6"/>
  <c r="E322" i="6" s="1"/>
  <c r="D323" i="6"/>
  <c r="E323" i="6" s="1"/>
  <c r="D324" i="6"/>
  <c r="E324" i="6" s="1"/>
  <c r="D325" i="6"/>
  <c r="E325" i="6" s="1"/>
  <c r="D326" i="6"/>
  <c r="E326" i="6" s="1"/>
  <c r="D327" i="6"/>
  <c r="E327" i="6" s="1"/>
  <c r="D328" i="6"/>
  <c r="E328" i="6" s="1"/>
  <c r="D329" i="6"/>
  <c r="E329" i="6" s="1"/>
  <c r="F329" i="6" s="1"/>
  <c r="D330" i="6"/>
  <c r="E330" i="6" s="1"/>
  <c r="D331" i="6"/>
  <c r="E331" i="6" s="1"/>
  <c r="D332" i="6"/>
  <c r="E332" i="6" s="1"/>
  <c r="D333" i="6"/>
  <c r="E333" i="6" s="1"/>
  <c r="D334" i="6"/>
  <c r="E334" i="6" s="1"/>
  <c r="D335" i="6"/>
  <c r="E335" i="6" s="1"/>
  <c r="F335" i="6" s="1"/>
  <c r="D336" i="6"/>
  <c r="E336" i="6" s="1"/>
  <c r="D337" i="6"/>
  <c r="E337" i="6" s="1"/>
  <c r="F337" i="6" s="1"/>
  <c r="D338" i="6"/>
  <c r="E338" i="6" s="1"/>
  <c r="D339" i="6"/>
  <c r="E339" i="6" s="1"/>
  <c r="D340" i="6"/>
  <c r="E340" i="6" s="1"/>
  <c r="D341" i="6"/>
  <c r="E341" i="6" s="1"/>
  <c r="D342" i="6"/>
  <c r="E342" i="6" s="1"/>
  <c r="M6" i="6"/>
  <c r="N6" i="6" s="1"/>
  <c r="M7" i="6"/>
  <c r="N7" i="6" s="1"/>
  <c r="M8" i="6"/>
  <c r="N8" i="6" s="1"/>
  <c r="M9" i="6"/>
  <c r="N9" i="6" s="1"/>
  <c r="M10" i="6"/>
  <c r="N10" i="6" s="1"/>
  <c r="M11" i="6"/>
  <c r="N11" i="6" s="1"/>
  <c r="M12" i="6"/>
  <c r="N12" i="6" s="1"/>
  <c r="M13" i="6"/>
  <c r="N13" i="6" s="1"/>
  <c r="M14" i="6"/>
  <c r="N14" i="6" s="1"/>
  <c r="M15" i="6"/>
  <c r="N15" i="6" s="1"/>
  <c r="M16" i="6"/>
  <c r="N16" i="6" s="1"/>
  <c r="M17" i="6"/>
  <c r="N17" i="6" s="1"/>
  <c r="M18" i="6"/>
  <c r="N18" i="6" s="1"/>
  <c r="M19" i="6"/>
  <c r="N19" i="6" s="1"/>
  <c r="M20" i="6"/>
  <c r="N20" i="6" s="1"/>
  <c r="M21" i="6"/>
  <c r="N21" i="6" s="1"/>
  <c r="M22" i="6"/>
  <c r="N22" i="6" s="1"/>
  <c r="M23" i="6"/>
  <c r="N23" i="6" s="1"/>
  <c r="M24" i="6"/>
  <c r="N24" i="6" s="1"/>
  <c r="M25" i="6"/>
  <c r="N25" i="6" s="1"/>
  <c r="M26" i="6"/>
  <c r="N26" i="6" s="1"/>
  <c r="M27" i="6"/>
  <c r="N27" i="6" s="1"/>
  <c r="M28" i="6"/>
  <c r="N28" i="6" s="1"/>
  <c r="M29" i="6"/>
  <c r="N29" i="6" s="1"/>
  <c r="M30" i="6"/>
  <c r="N30" i="6" s="1"/>
  <c r="M31" i="6"/>
  <c r="N31" i="6" s="1"/>
  <c r="M32" i="6"/>
  <c r="N32" i="6" s="1"/>
  <c r="M33" i="6"/>
  <c r="N33" i="6" s="1"/>
  <c r="M34" i="6"/>
  <c r="N34" i="6" s="1"/>
  <c r="M35" i="6"/>
  <c r="N35" i="6" s="1"/>
  <c r="M36" i="6"/>
  <c r="N36" i="6" s="1"/>
  <c r="M37" i="6"/>
  <c r="N37" i="6" s="1"/>
  <c r="M38" i="6"/>
  <c r="N38" i="6" s="1"/>
  <c r="M39" i="6"/>
  <c r="N39" i="6" s="1"/>
  <c r="M40" i="6"/>
  <c r="N40" i="6" s="1"/>
  <c r="M41" i="6"/>
  <c r="N41" i="6" s="1"/>
  <c r="M42" i="6"/>
  <c r="N42" i="6" s="1"/>
  <c r="M43" i="6"/>
  <c r="N43" i="6" s="1"/>
  <c r="M44" i="6"/>
  <c r="N44" i="6" s="1"/>
  <c r="M45" i="6"/>
  <c r="N45" i="6" s="1"/>
  <c r="M46" i="6"/>
  <c r="N46" i="6" s="1"/>
  <c r="M47" i="6"/>
  <c r="N47" i="6" s="1"/>
  <c r="M48" i="6"/>
  <c r="N48" i="6" s="1"/>
  <c r="M49" i="6"/>
  <c r="N49" i="6" s="1"/>
  <c r="M50" i="6"/>
  <c r="N50" i="6" s="1"/>
  <c r="M51" i="6"/>
  <c r="N51" i="6" s="1"/>
  <c r="M52" i="6"/>
  <c r="N52" i="6" s="1"/>
  <c r="M53" i="6"/>
  <c r="N53" i="6" s="1"/>
  <c r="M54" i="6"/>
  <c r="N54" i="6" s="1"/>
  <c r="M55" i="6"/>
  <c r="N55" i="6" s="1"/>
  <c r="M56" i="6"/>
  <c r="N56" i="6" s="1"/>
  <c r="M57" i="6"/>
  <c r="N57" i="6" s="1"/>
  <c r="M58" i="6"/>
  <c r="N58" i="6" s="1"/>
  <c r="M59" i="6"/>
  <c r="N59" i="6" s="1"/>
  <c r="M60" i="6"/>
  <c r="N60" i="6" s="1"/>
  <c r="M61" i="6"/>
  <c r="N61" i="6" s="1"/>
  <c r="M62" i="6"/>
  <c r="N62" i="6" s="1"/>
  <c r="M63" i="6"/>
  <c r="N63" i="6" s="1"/>
  <c r="M64" i="6"/>
  <c r="N64" i="6" s="1"/>
  <c r="M65" i="6"/>
  <c r="N65" i="6" s="1"/>
  <c r="M66" i="6"/>
  <c r="N66" i="6" s="1"/>
  <c r="M67" i="6"/>
  <c r="N67" i="6" s="1"/>
  <c r="M68" i="6"/>
  <c r="N68" i="6" s="1"/>
  <c r="M69" i="6"/>
  <c r="N69" i="6" s="1"/>
  <c r="M70" i="6"/>
  <c r="N70" i="6" s="1"/>
  <c r="M71" i="6"/>
  <c r="N71" i="6" s="1"/>
  <c r="M72" i="6"/>
  <c r="N72" i="6" s="1"/>
  <c r="M73" i="6"/>
  <c r="N73" i="6" s="1"/>
  <c r="M74" i="6"/>
  <c r="N74" i="6" s="1"/>
  <c r="M75" i="6"/>
  <c r="N75" i="6" s="1"/>
  <c r="M76" i="6"/>
  <c r="N76" i="6" s="1"/>
  <c r="M77" i="6"/>
  <c r="N77" i="6" s="1"/>
  <c r="M78" i="6"/>
  <c r="N78" i="6" s="1"/>
  <c r="M79" i="6"/>
  <c r="N79" i="6" s="1"/>
  <c r="M80" i="6"/>
  <c r="N80" i="6" s="1"/>
  <c r="M81" i="6"/>
  <c r="N81" i="6" s="1"/>
  <c r="M82" i="6"/>
  <c r="N82" i="6" s="1"/>
  <c r="M83" i="6"/>
  <c r="N83" i="6" s="1"/>
  <c r="M84" i="6"/>
  <c r="N84" i="6" s="1"/>
  <c r="M85" i="6"/>
  <c r="N85" i="6" s="1"/>
  <c r="M86" i="6"/>
  <c r="N86" i="6" s="1"/>
  <c r="M87" i="6"/>
  <c r="N87" i="6" s="1"/>
  <c r="M88" i="6"/>
  <c r="N88" i="6" s="1"/>
  <c r="M89" i="6"/>
  <c r="N89" i="6" s="1"/>
  <c r="M90" i="6"/>
  <c r="N90" i="6" s="1"/>
  <c r="M91" i="6"/>
  <c r="N91" i="6" s="1"/>
  <c r="M92" i="6"/>
  <c r="N92" i="6" s="1"/>
  <c r="M93" i="6"/>
  <c r="N93" i="6" s="1"/>
  <c r="M94" i="6"/>
  <c r="N94" i="6" s="1"/>
  <c r="M95" i="6"/>
  <c r="N95" i="6" s="1"/>
  <c r="M96" i="6"/>
  <c r="N96" i="6" s="1"/>
  <c r="M97" i="6"/>
  <c r="N97" i="6" s="1"/>
  <c r="M98" i="6"/>
  <c r="N98" i="6" s="1"/>
  <c r="M99" i="6"/>
  <c r="N99" i="6" s="1"/>
  <c r="M100" i="6"/>
  <c r="N100" i="6" s="1"/>
  <c r="M101" i="6"/>
  <c r="N101" i="6" s="1"/>
  <c r="M102" i="6"/>
  <c r="N102" i="6" s="1"/>
  <c r="M103" i="6"/>
  <c r="N103" i="6" s="1"/>
  <c r="M104" i="6"/>
  <c r="N104" i="6" s="1"/>
  <c r="M105" i="6"/>
  <c r="N105" i="6" s="1"/>
  <c r="M106" i="6"/>
  <c r="N106" i="6" s="1"/>
  <c r="M107" i="6"/>
  <c r="N107" i="6" s="1"/>
  <c r="M108" i="6"/>
  <c r="N108" i="6" s="1"/>
  <c r="M109" i="6"/>
  <c r="N109" i="6" s="1"/>
  <c r="M110" i="6"/>
  <c r="N110" i="6" s="1"/>
  <c r="M111" i="6"/>
  <c r="N111" i="6" s="1"/>
  <c r="M112" i="6"/>
  <c r="N112" i="6" s="1"/>
  <c r="M113" i="6"/>
  <c r="N113" i="6" s="1"/>
  <c r="M114" i="6"/>
  <c r="N114" i="6" s="1"/>
  <c r="M115" i="6"/>
  <c r="N115" i="6" s="1"/>
  <c r="M116" i="6"/>
  <c r="N116" i="6" s="1"/>
  <c r="M117" i="6"/>
  <c r="N117" i="6" s="1"/>
  <c r="M118" i="6"/>
  <c r="N118" i="6" s="1"/>
  <c r="M119" i="6"/>
  <c r="N119" i="6" s="1"/>
  <c r="M120" i="6"/>
  <c r="N120" i="6" s="1"/>
  <c r="M121" i="6"/>
  <c r="N121" i="6" s="1"/>
  <c r="M122" i="6"/>
  <c r="N122" i="6" s="1"/>
  <c r="M123" i="6"/>
  <c r="N123" i="6" s="1"/>
  <c r="M124" i="6"/>
  <c r="N124" i="6" s="1"/>
  <c r="M125" i="6"/>
  <c r="N125" i="6" s="1"/>
  <c r="M126" i="6"/>
  <c r="N126" i="6" s="1"/>
  <c r="M127" i="6"/>
  <c r="N127" i="6" s="1"/>
  <c r="M128" i="6"/>
  <c r="N128" i="6" s="1"/>
  <c r="M129" i="6"/>
  <c r="N129" i="6" s="1"/>
  <c r="M130" i="6"/>
  <c r="N130" i="6" s="1"/>
  <c r="M131" i="6"/>
  <c r="N131" i="6" s="1"/>
  <c r="M132" i="6"/>
  <c r="N132" i="6" s="1"/>
  <c r="M133" i="6"/>
  <c r="N133" i="6" s="1"/>
  <c r="M134" i="6"/>
  <c r="N134" i="6" s="1"/>
  <c r="M135" i="6"/>
  <c r="N135" i="6" s="1"/>
  <c r="M136" i="6"/>
  <c r="N136" i="6" s="1"/>
  <c r="M137" i="6"/>
  <c r="N137" i="6" s="1"/>
  <c r="M138" i="6"/>
  <c r="N138" i="6" s="1"/>
  <c r="M139" i="6"/>
  <c r="N139" i="6" s="1"/>
  <c r="M140" i="6"/>
  <c r="N140" i="6" s="1"/>
  <c r="M141" i="6"/>
  <c r="N141" i="6" s="1"/>
  <c r="M142" i="6"/>
  <c r="N142" i="6" s="1"/>
  <c r="M143" i="6"/>
  <c r="N143" i="6" s="1"/>
  <c r="M144" i="6"/>
  <c r="N144" i="6" s="1"/>
  <c r="M145" i="6"/>
  <c r="N145" i="6" s="1"/>
  <c r="M146" i="6"/>
  <c r="N146" i="6" s="1"/>
  <c r="M147" i="6"/>
  <c r="N147" i="6" s="1"/>
  <c r="M148" i="6"/>
  <c r="N148" i="6" s="1"/>
  <c r="M149" i="6"/>
  <c r="N149" i="6" s="1"/>
  <c r="M150" i="6"/>
  <c r="N150" i="6" s="1"/>
  <c r="M151" i="6"/>
  <c r="N151" i="6" s="1"/>
  <c r="M152" i="6"/>
  <c r="N152" i="6" s="1"/>
  <c r="M153" i="6"/>
  <c r="N153" i="6" s="1"/>
  <c r="M154" i="6"/>
  <c r="N154" i="6" s="1"/>
  <c r="M155" i="6"/>
  <c r="N155" i="6" s="1"/>
  <c r="M156" i="6"/>
  <c r="N156" i="6" s="1"/>
  <c r="M157" i="6"/>
  <c r="N157" i="6" s="1"/>
  <c r="M158" i="6"/>
  <c r="N158" i="6" s="1"/>
  <c r="M159" i="6"/>
  <c r="N159" i="6" s="1"/>
  <c r="M160" i="6"/>
  <c r="N160" i="6" s="1"/>
  <c r="M161" i="6"/>
  <c r="N161" i="6" s="1"/>
  <c r="M162" i="6"/>
  <c r="N162" i="6" s="1"/>
  <c r="M163" i="6"/>
  <c r="N163" i="6" s="1"/>
  <c r="M164" i="6"/>
  <c r="N164" i="6" s="1"/>
  <c r="M165" i="6"/>
  <c r="N165" i="6" s="1"/>
  <c r="M166" i="6"/>
  <c r="N166" i="6" s="1"/>
  <c r="M167" i="6"/>
  <c r="N167" i="6" s="1"/>
  <c r="M168" i="6"/>
  <c r="N168" i="6" s="1"/>
  <c r="M169" i="6"/>
  <c r="N169" i="6" s="1"/>
  <c r="M170" i="6"/>
  <c r="N170" i="6" s="1"/>
  <c r="M171" i="6"/>
  <c r="N171" i="6" s="1"/>
  <c r="M172" i="6"/>
  <c r="N172" i="6" s="1"/>
  <c r="M173" i="6"/>
  <c r="N173" i="6" s="1"/>
  <c r="M174" i="6"/>
  <c r="N174" i="6" s="1"/>
  <c r="M175" i="6"/>
  <c r="N175" i="6" s="1"/>
  <c r="M176" i="6"/>
  <c r="N176" i="6" s="1"/>
  <c r="M177" i="6"/>
  <c r="N177" i="6" s="1"/>
  <c r="M178" i="6"/>
  <c r="N178" i="6" s="1"/>
  <c r="M179" i="6"/>
  <c r="N179" i="6" s="1"/>
  <c r="M180" i="6"/>
  <c r="N180" i="6" s="1"/>
  <c r="M181" i="6"/>
  <c r="N181" i="6" s="1"/>
  <c r="M182" i="6"/>
  <c r="N182" i="6" s="1"/>
  <c r="M183" i="6"/>
  <c r="N183" i="6" s="1"/>
  <c r="M184" i="6"/>
  <c r="N184" i="6" s="1"/>
  <c r="M185" i="6"/>
  <c r="N185" i="6" s="1"/>
  <c r="M186" i="6"/>
  <c r="N186" i="6" s="1"/>
  <c r="M187" i="6"/>
  <c r="N187" i="6" s="1"/>
  <c r="M188" i="6"/>
  <c r="N188" i="6" s="1"/>
  <c r="M189" i="6"/>
  <c r="N189" i="6" s="1"/>
  <c r="M190" i="6"/>
  <c r="N190" i="6" s="1"/>
  <c r="M191" i="6"/>
  <c r="N191" i="6" s="1"/>
  <c r="M192" i="6"/>
  <c r="N192" i="6" s="1"/>
  <c r="M193" i="6"/>
  <c r="N193" i="6" s="1"/>
  <c r="M194" i="6"/>
  <c r="N194" i="6" s="1"/>
  <c r="M195" i="6"/>
  <c r="N195" i="6" s="1"/>
  <c r="M196" i="6"/>
  <c r="N196" i="6" s="1"/>
  <c r="M197" i="6"/>
  <c r="N197" i="6" s="1"/>
  <c r="M198" i="6"/>
  <c r="N198" i="6" s="1"/>
  <c r="M199" i="6"/>
  <c r="N199" i="6" s="1"/>
  <c r="M200" i="6"/>
  <c r="N200" i="6" s="1"/>
  <c r="M201" i="6"/>
  <c r="N201" i="6" s="1"/>
  <c r="M202" i="6"/>
  <c r="N202" i="6" s="1"/>
  <c r="M203" i="6"/>
  <c r="N203" i="6" s="1"/>
  <c r="M204" i="6"/>
  <c r="N204" i="6" s="1"/>
  <c r="M205" i="6"/>
  <c r="N205" i="6" s="1"/>
  <c r="M206" i="6"/>
  <c r="N206" i="6" s="1"/>
  <c r="M207" i="6"/>
  <c r="N207" i="6" s="1"/>
  <c r="M208" i="6"/>
  <c r="N208" i="6" s="1"/>
  <c r="M209" i="6"/>
  <c r="N209" i="6" s="1"/>
  <c r="M210" i="6"/>
  <c r="N210" i="6" s="1"/>
  <c r="M211" i="6"/>
  <c r="N211" i="6" s="1"/>
  <c r="M212" i="6"/>
  <c r="N212" i="6" s="1"/>
  <c r="M213" i="6"/>
  <c r="N213" i="6" s="1"/>
  <c r="M214" i="6"/>
  <c r="N214" i="6" s="1"/>
  <c r="M215" i="6"/>
  <c r="N215" i="6" s="1"/>
  <c r="M216" i="6"/>
  <c r="N216" i="6" s="1"/>
  <c r="M217" i="6"/>
  <c r="N217" i="6" s="1"/>
  <c r="M218" i="6"/>
  <c r="N218" i="6" s="1"/>
  <c r="M219" i="6"/>
  <c r="N219" i="6" s="1"/>
  <c r="M220" i="6"/>
  <c r="N220" i="6" s="1"/>
  <c r="M221" i="6"/>
  <c r="N221" i="6" s="1"/>
  <c r="M222" i="6"/>
  <c r="N222" i="6" s="1"/>
  <c r="M223" i="6"/>
  <c r="N223" i="6" s="1"/>
  <c r="M224" i="6"/>
  <c r="N224" i="6" s="1"/>
  <c r="M225" i="6"/>
  <c r="N225" i="6" s="1"/>
  <c r="M226" i="6"/>
  <c r="N226" i="6" s="1"/>
  <c r="M227" i="6"/>
  <c r="N227" i="6" s="1"/>
  <c r="M228" i="6"/>
  <c r="N228" i="6" s="1"/>
  <c r="M229" i="6"/>
  <c r="N229" i="6" s="1"/>
  <c r="M230" i="6"/>
  <c r="N230" i="6" s="1"/>
  <c r="M231" i="6"/>
  <c r="N231" i="6" s="1"/>
  <c r="M232" i="6"/>
  <c r="N232" i="6" s="1"/>
  <c r="M233" i="6"/>
  <c r="N233" i="6" s="1"/>
  <c r="M234" i="6"/>
  <c r="N234" i="6" s="1"/>
  <c r="M235" i="6"/>
  <c r="N235" i="6" s="1"/>
  <c r="M236" i="6"/>
  <c r="N236" i="6" s="1"/>
  <c r="M237" i="6"/>
  <c r="N237" i="6" s="1"/>
  <c r="M238" i="6"/>
  <c r="N238" i="6" s="1"/>
  <c r="M239" i="6"/>
  <c r="N239" i="6" s="1"/>
  <c r="M240" i="6"/>
  <c r="N240" i="6" s="1"/>
  <c r="M241" i="6"/>
  <c r="N241" i="6" s="1"/>
  <c r="M242" i="6"/>
  <c r="N242" i="6" s="1"/>
  <c r="M243" i="6"/>
  <c r="N243" i="6" s="1"/>
  <c r="M244" i="6"/>
  <c r="N244" i="6" s="1"/>
  <c r="M245" i="6"/>
  <c r="N245" i="6" s="1"/>
  <c r="M246" i="6"/>
  <c r="N246" i="6" s="1"/>
  <c r="M247" i="6"/>
  <c r="N247" i="6" s="1"/>
  <c r="M248" i="6"/>
  <c r="N248" i="6" s="1"/>
  <c r="M249" i="6"/>
  <c r="N249" i="6" s="1"/>
  <c r="M250" i="6"/>
  <c r="N250" i="6" s="1"/>
  <c r="M251" i="6"/>
  <c r="N251" i="6" s="1"/>
  <c r="M252" i="6"/>
  <c r="N252" i="6" s="1"/>
  <c r="M253" i="6"/>
  <c r="N253" i="6" s="1"/>
  <c r="M254" i="6"/>
  <c r="N254" i="6" s="1"/>
  <c r="M255" i="6"/>
  <c r="N255" i="6" s="1"/>
  <c r="M256" i="6"/>
  <c r="N256" i="6" s="1"/>
  <c r="M257" i="6"/>
  <c r="N257" i="6" s="1"/>
  <c r="M258" i="6"/>
  <c r="N258" i="6" s="1"/>
  <c r="M259" i="6"/>
  <c r="N259" i="6" s="1"/>
  <c r="M260" i="6"/>
  <c r="N260" i="6" s="1"/>
  <c r="M261" i="6"/>
  <c r="N261" i="6" s="1"/>
  <c r="M262" i="6"/>
  <c r="N262" i="6" s="1"/>
  <c r="M263" i="6"/>
  <c r="N263" i="6" s="1"/>
  <c r="M264" i="6"/>
  <c r="N264" i="6" s="1"/>
  <c r="M265" i="6"/>
  <c r="N265" i="6" s="1"/>
  <c r="M266" i="6"/>
  <c r="N266" i="6" s="1"/>
  <c r="M267" i="6"/>
  <c r="N267" i="6" s="1"/>
  <c r="M268" i="6"/>
  <c r="N268" i="6" s="1"/>
  <c r="M269" i="6"/>
  <c r="N269" i="6" s="1"/>
  <c r="M270" i="6"/>
  <c r="N270" i="6" s="1"/>
  <c r="M271" i="6"/>
  <c r="N271" i="6" s="1"/>
  <c r="M272" i="6"/>
  <c r="N272" i="6" s="1"/>
  <c r="M273" i="6"/>
  <c r="N273" i="6" s="1"/>
  <c r="M274" i="6"/>
  <c r="N274" i="6" s="1"/>
  <c r="M275" i="6"/>
  <c r="N275" i="6" s="1"/>
  <c r="M276" i="6"/>
  <c r="N276" i="6" s="1"/>
  <c r="M277" i="6"/>
  <c r="N277" i="6" s="1"/>
  <c r="M278" i="6"/>
  <c r="N278" i="6" s="1"/>
  <c r="M279" i="6"/>
  <c r="N279" i="6" s="1"/>
  <c r="M280" i="6"/>
  <c r="N280" i="6" s="1"/>
  <c r="M281" i="6"/>
  <c r="N281" i="6" s="1"/>
  <c r="M282" i="6"/>
  <c r="N282" i="6" s="1"/>
  <c r="M283" i="6"/>
  <c r="N283" i="6" s="1"/>
  <c r="M284" i="6"/>
  <c r="N284" i="6" s="1"/>
  <c r="M285" i="6"/>
  <c r="N285" i="6" s="1"/>
  <c r="M286" i="6"/>
  <c r="N286" i="6" s="1"/>
  <c r="M287" i="6"/>
  <c r="N287" i="6" s="1"/>
  <c r="M288" i="6"/>
  <c r="N288" i="6" s="1"/>
  <c r="M289" i="6"/>
  <c r="N289" i="6" s="1"/>
  <c r="M290" i="6"/>
  <c r="N290" i="6" s="1"/>
  <c r="M291" i="6"/>
  <c r="N291" i="6" s="1"/>
  <c r="M292" i="6"/>
  <c r="N292" i="6" s="1"/>
  <c r="M293" i="6"/>
  <c r="N293" i="6" s="1"/>
  <c r="M294" i="6"/>
  <c r="N294" i="6" s="1"/>
  <c r="M295" i="6"/>
  <c r="N295" i="6" s="1"/>
  <c r="M296" i="6"/>
  <c r="N296" i="6" s="1"/>
  <c r="M297" i="6"/>
  <c r="N297" i="6" s="1"/>
  <c r="M298" i="6"/>
  <c r="N298" i="6" s="1"/>
  <c r="M299" i="6"/>
  <c r="N299" i="6" s="1"/>
  <c r="M300" i="6"/>
  <c r="N300" i="6" s="1"/>
  <c r="M301" i="6"/>
  <c r="N301" i="6" s="1"/>
  <c r="M302" i="6"/>
  <c r="N302" i="6" s="1"/>
  <c r="M303" i="6"/>
  <c r="N303" i="6" s="1"/>
  <c r="M304" i="6"/>
  <c r="N304" i="6" s="1"/>
  <c r="M305" i="6"/>
  <c r="N305" i="6" s="1"/>
  <c r="M306" i="6"/>
  <c r="N306" i="6" s="1"/>
  <c r="M307" i="6"/>
  <c r="N307" i="6" s="1"/>
  <c r="M308" i="6"/>
  <c r="N308" i="6" s="1"/>
  <c r="M309" i="6"/>
  <c r="N309" i="6" s="1"/>
  <c r="M310" i="6"/>
  <c r="N310" i="6" s="1"/>
  <c r="M311" i="6"/>
  <c r="N311" i="6" s="1"/>
  <c r="M312" i="6"/>
  <c r="N312" i="6" s="1"/>
  <c r="M313" i="6"/>
  <c r="N313" i="6" s="1"/>
  <c r="M314" i="6"/>
  <c r="N314" i="6" s="1"/>
  <c r="M315" i="6"/>
  <c r="N315" i="6" s="1"/>
  <c r="M316" i="6"/>
  <c r="N316" i="6" s="1"/>
  <c r="M317" i="6"/>
  <c r="N317" i="6" s="1"/>
  <c r="M318" i="6"/>
  <c r="N318" i="6" s="1"/>
  <c r="M319" i="6"/>
  <c r="N319" i="6" s="1"/>
  <c r="M320" i="6"/>
  <c r="N320" i="6" s="1"/>
  <c r="M321" i="6"/>
  <c r="N321" i="6" s="1"/>
  <c r="M322" i="6"/>
  <c r="N322" i="6" s="1"/>
  <c r="M323" i="6"/>
  <c r="N323" i="6" s="1"/>
  <c r="M324" i="6"/>
  <c r="N324" i="6" s="1"/>
  <c r="M325" i="6"/>
  <c r="N325" i="6" s="1"/>
  <c r="M326" i="6"/>
  <c r="N326" i="6" s="1"/>
  <c r="M327" i="6"/>
  <c r="N327" i="6" s="1"/>
  <c r="M328" i="6"/>
  <c r="N328" i="6" s="1"/>
  <c r="M329" i="6"/>
  <c r="N329" i="6" s="1"/>
  <c r="M330" i="6"/>
  <c r="N330" i="6" s="1"/>
  <c r="M331" i="6"/>
  <c r="N331" i="6" s="1"/>
  <c r="M332" i="6"/>
  <c r="N332" i="6" s="1"/>
  <c r="M333" i="6"/>
  <c r="N333" i="6" s="1"/>
  <c r="M334" i="6"/>
  <c r="N334" i="6" s="1"/>
  <c r="M335" i="6"/>
  <c r="N335" i="6" s="1"/>
  <c r="M336" i="6"/>
  <c r="N336" i="6" s="1"/>
  <c r="M337" i="6"/>
  <c r="N337" i="6" s="1"/>
  <c r="M338" i="6"/>
  <c r="N338" i="6" s="1"/>
  <c r="M339" i="6"/>
  <c r="N339" i="6" s="1"/>
  <c r="M340" i="6"/>
  <c r="N340" i="6" s="1"/>
  <c r="M341" i="6"/>
  <c r="N341" i="6" s="1"/>
  <c r="M342" i="6"/>
  <c r="N342" i="6" s="1"/>
  <c r="M5" i="6"/>
  <c r="N5" i="6" s="1"/>
  <c r="AX26" i="6"/>
  <c r="AY26" i="6" s="1"/>
  <c r="AX27" i="6"/>
  <c r="AY27" i="6" s="1"/>
  <c r="AX28" i="6"/>
  <c r="AY28" i="6" s="1"/>
  <c r="AX29" i="6"/>
  <c r="AY29" i="6" s="1"/>
  <c r="AX30" i="6"/>
  <c r="AY30" i="6" s="1"/>
  <c r="AX31" i="6"/>
  <c r="AY31" i="6" s="1"/>
  <c r="AX32" i="6"/>
  <c r="AY32" i="6" s="1"/>
  <c r="AX33" i="6"/>
  <c r="AY33" i="6" s="1"/>
  <c r="AX34" i="6"/>
  <c r="AY34" i="6" s="1"/>
  <c r="AX35" i="6"/>
  <c r="AY35" i="6" s="1"/>
  <c r="AX36" i="6"/>
  <c r="AY36" i="6" s="1"/>
  <c r="AX37" i="6"/>
  <c r="AY37" i="6" s="1"/>
  <c r="AX38" i="6"/>
  <c r="AY38" i="6" s="1"/>
  <c r="AX39" i="6"/>
  <c r="AY39" i="6" s="1"/>
  <c r="AX40" i="6"/>
  <c r="AY40" i="6" s="1"/>
  <c r="AX41" i="6"/>
  <c r="AY41" i="6" s="1"/>
  <c r="AX42" i="6"/>
  <c r="AY42" i="6" s="1"/>
  <c r="AX43" i="6"/>
  <c r="AY43" i="6" s="1"/>
  <c r="AX44" i="6"/>
  <c r="AY44" i="6" s="1"/>
  <c r="AX45" i="6"/>
  <c r="AY45" i="6" s="1"/>
  <c r="AX46" i="6"/>
  <c r="AY46" i="6" s="1"/>
  <c r="AX47" i="6"/>
  <c r="AY47" i="6" s="1"/>
  <c r="AX48" i="6"/>
  <c r="AY48" i="6" s="1"/>
  <c r="AX49" i="6"/>
  <c r="AY49" i="6" s="1"/>
  <c r="AX50" i="6"/>
  <c r="AY50" i="6" s="1"/>
  <c r="AX51" i="6"/>
  <c r="AY51" i="6" s="1"/>
  <c r="AX52" i="6"/>
  <c r="AY52" i="6" s="1"/>
  <c r="AX53" i="6"/>
  <c r="AY53" i="6" s="1"/>
  <c r="AX54" i="6"/>
  <c r="AY54" i="6" s="1"/>
  <c r="AX55" i="6"/>
  <c r="AY55" i="6" s="1"/>
  <c r="AX56" i="6"/>
  <c r="AY56" i="6" s="1"/>
  <c r="AX57" i="6"/>
  <c r="AY57" i="6" s="1"/>
  <c r="AX58" i="6"/>
  <c r="AY58" i="6" s="1"/>
  <c r="AX59" i="6"/>
  <c r="AY59" i="6" s="1"/>
  <c r="AX60" i="6"/>
  <c r="AY60" i="6" s="1"/>
  <c r="AX61" i="6"/>
  <c r="AY61" i="6" s="1"/>
  <c r="AX62" i="6"/>
  <c r="AY62" i="6" s="1"/>
  <c r="AX63" i="6"/>
  <c r="AY63" i="6" s="1"/>
  <c r="AX64" i="6"/>
  <c r="AY64" i="6" s="1"/>
  <c r="AX65" i="6"/>
  <c r="AY65" i="6" s="1"/>
  <c r="AX66" i="6"/>
  <c r="AY66" i="6" s="1"/>
  <c r="AX67" i="6"/>
  <c r="AY67" i="6" s="1"/>
  <c r="AX68" i="6"/>
  <c r="AY68" i="6" s="1"/>
  <c r="AX69" i="6"/>
  <c r="AY69" i="6" s="1"/>
  <c r="AX70" i="6"/>
  <c r="AY70" i="6" s="1"/>
  <c r="AX71" i="6"/>
  <c r="AY71" i="6" s="1"/>
  <c r="AX72" i="6"/>
  <c r="AY72" i="6" s="1"/>
  <c r="AX73" i="6"/>
  <c r="AY73" i="6" s="1"/>
  <c r="AX74" i="6"/>
  <c r="AY74" i="6" s="1"/>
  <c r="AX75" i="6"/>
  <c r="AY75" i="6" s="1"/>
  <c r="AX76" i="6"/>
  <c r="AY76" i="6" s="1"/>
  <c r="AX77" i="6"/>
  <c r="AY77" i="6" s="1"/>
  <c r="AX78" i="6"/>
  <c r="AY78" i="6" s="1"/>
  <c r="AX79" i="6"/>
  <c r="AY79" i="6" s="1"/>
  <c r="AX80" i="6"/>
  <c r="AY80" i="6" s="1"/>
  <c r="AX81" i="6"/>
  <c r="AY81" i="6" s="1"/>
  <c r="AX82" i="6"/>
  <c r="AY82" i="6" s="1"/>
  <c r="AX83" i="6"/>
  <c r="AY83" i="6" s="1"/>
  <c r="AX84" i="6"/>
  <c r="AY84" i="6" s="1"/>
  <c r="AX85" i="6"/>
  <c r="AY85" i="6" s="1"/>
  <c r="AX86" i="6"/>
  <c r="AY86" i="6" s="1"/>
  <c r="AX87" i="6"/>
  <c r="AY87" i="6" s="1"/>
  <c r="AX88" i="6"/>
  <c r="AY88" i="6" s="1"/>
  <c r="AX89" i="6"/>
  <c r="AY89" i="6" s="1"/>
  <c r="AX90" i="6"/>
  <c r="AY90" i="6" s="1"/>
  <c r="AX91" i="6"/>
  <c r="AY91" i="6" s="1"/>
  <c r="AX92" i="6"/>
  <c r="AY92" i="6" s="1"/>
  <c r="AX93" i="6"/>
  <c r="AY93" i="6" s="1"/>
  <c r="AX94" i="6"/>
  <c r="AY94" i="6" s="1"/>
  <c r="AX95" i="6"/>
  <c r="AY95" i="6" s="1"/>
  <c r="AX96" i="6"/>
  <c r="AY96" i="6" s="1"/>
  <c r="AX97" i="6"/>
  <c r="AY97" i="6" s="1"/>
  <c r="AX98" i="6"/>
  <c r="AY98" i="6" s="1"/>
  <c r="AX99" i="6"/>
  <c r="AY99" i="6" s="1"/>
  <c r="AX100" i="6"/>
  <c r="AY100" i="6" s="1"/>
  <c r="AX101" i="6"/>
  <c r="AY101" i="6" s="1"/>
  <c r="AX102" i="6"/>
  <c r="AY102" i="6" s="1"/>
  <c r="AX103" i="6"/>
  <c r="AY103" i="6" s="1"/>
  <c r="AX104" i="6"/>
  <c r="AY104" i="6" s="1"/>
  <c r="AX105" i="6"/>
  <c r="AY105" i="6" s="1"/>
  <c r="AX106" i="6"/>
  <c r="AY106" i="6" s="1"/>
  <c r="AX107" i="6"/>
  <c r="AY107" i="6" s="1"/>
  <c r="AX108" i="6"/>
  <c r="AY108" i="6" s="1"/>
  <c r="AX109" i="6"/>
  <c r="AY109" i="6" s="1"/>
  <c r="AX110" i="6"/>
  <c r="AY110" i="6" s="1"/>
  <c r="AX111" i="6"/>
  <c r="AY111" i="6" s="1"/>
  <c r="AX112" i="6"/>
  <c r="AY112" i="6" s="1"/>
  <c r="AX113" i="6"/>
  <c r="AY113" i="6" s="1"/>
  <c r="AX114" i="6"/>
  <c r="AY114" i="6" s="1"/>
  <c r="AX115" i="6"/>
  <c r="AY115" i="6" s="1"/>
  <c r="AX116" i="6"/>
  <c r="AY116" i="6" s="1"/>
  <c r="AX117" i="6"/>
  <c r="AY117" i="6" s="1"/>
  <c r="AX118" i="6"/>
  <c r="AY118" i="6" s="1"/>
  <c r="AX119" i="6"/>
  <c r="AY119" i="6" s="1"/>
  <c r="AX120" i="6"/>
  <c r="AY120" i="6" s="1"/>
  <c r="AX121" i="6"/>
  <c r="AY121" i="6" s="1"/>
  <c r="AX122" i="6"/>
  <c r="AY122" i="6" s="1"/>
  <c r="AX123" i="6"/>
  <c r="AY123" i="6" s="1"/>
  <c r="AX124" i="6"/>
  <c r="AY124" i="6" s="1"/>
  <c r="AX125" i="6"/>
  <c r="AY125" i="6" s="1"/>
  <c r="AX126" i="6"/>
  <c r="AY126" i="6" s="1"/>
  <c r="AX127" i="6"/>
  <c r="AY127" i="6" s="1"/>
  <c r="AX128" i="6"/>
  <c r="AY128" i="6" s="1"/>
  <c r="AX129" i="6"/>
  <c r="AY129" i="6" s="1"/>
  <c r="AX130" i="6"/>
  <c r="AY130" i="6" s="1"/>
  <c r="AX131" i="6"/>
  <c r="AY131" i="6" s="1"/>
  <c r="AX132" i="6"/>
  <c r="AY132" i="6" s="1"/>
  <c r="AX133" i="6"/>
  <c r="AY133" i="6" s="1"/>
  <c r="AX134" i="6"/>
  <c r="AY134" i="6" s="1"/>
  <c r="AX135" i="6"/>
  <c r="AY135" i="6" s="1"/>
  <c r="AX136" i="6"/>
  <c r="AY136" i="6" s="1"/>
  <c r="AX137" i="6"/>
  <c r="AY137" i="6" s="1"/>
  <c r="AX138" i="6"/>
  <c r="AY138" i="6" s="1"/>
  <c r="AX139" i="6"/>
  <c r="AY139" i="6" s="1"/>
  <c r="AX140" i="6"/>
  <c r="AY140" i="6" s="1"/>
  <c r="AX141" i="6"/>
  <c r="AY141" i="6" s="1"/>
  <c r="AX142" i="6"/>
  <c r="AY142" i="6" s="1"/>
  <c r="AX143" i="6"/>
  <c r="AY143" i="6" s="1"/>
  <c r="AX144" i="6"/>
  <c r="AY144" i="6" s="1"/>
  <c r="AX145" i="6"/>
  <c r="AY145" i="6" s="1"/>
  <c r="AX146" i="6"/>
  <c r="AY146" i="6" s="1"/>
  <c r="AX147" i="6"/>
  <c r="AY147" i="6" s="1"/>
  <c r="AX148" i="6"/>
  <c r="AY148" i="6" s="1"/>
  <c r="AX149" i="6"/>
  <c r="AY149" i="6" s="1"/>
  <c r="AX150" i="6"/>
  <c r="AY150" i="6" s="1"/>
  <c r="AX151" i="6"/>
  <c r="AY151" i="6" s="1"/>
  <c r="AX152" i="6"/>
  <c r="AY152" i="6" s="1"/>
  <c r="AX153" i="6"/>
  <c r="AY153" i="6" s="1"/>
  <c r="AX154" i="6"/>
  <c r="AY154" i="6" s="1"/>
  <c r="AX155" i="6"/>
  <c r="AY155" i="6" s="1"/>
  <c r="AX156" i="6"/>
  <c r="AY156" i="6" s="1"/>
  <c r="AX157" i="6"/>
  <c r="AY157" i="6" s="1"/>
  <c r="AX158" i="6"/>
  <c r="AY158" i="6" s="1"/>
  <c r="AX159" i="6"/>
  <c r="AY159" i="6" s="1"/>
  <c r="AX160" i="6"/>
  <c r="AY160" i="6" s="1"/>
  <c r="AX161" i="6"/>
  <c r="AY161" i="6" s="1"/>
  <c r="AX162" i="6"/>
  <c r="AY162" i="6" s="1"/>
  <c r="AX163" i="6"/>
  <c r="AY163" i="6" s="1"/>
  <c r="AX164" i="6"/>
  <c r="AY164" i="6" s="1"/>
  <c r="AX165" i="6"/>
  <c r="AY165" i="6" s="1"/>
  <c r="AX166" i="6"/>
  <c r="AY166" i="6" s="1"/>
  <c r="AX167" i="6"/>
  <c r="AY167" i="6" s="1"/>
  <c r="AX168" i="6"/>
  <c r="AY168" i="6" s="1"/>
  <c r="AX169" i="6"/>
  <c r="AY169" i="6" s="1"/>
  <c r="AX170" i="6"/>
  <c r="AY170" i="6" s="1"/>
  <c r="AX171" i="6"/>
  <c r="AY171" i="6" s="1"/>
  <c r="AX172" i="6"/>
  <c r="AY172" i="6" s="1"/>
  <c r="AX173" i="6"/>
  <c r="AY173" i="6" s="1"/>
  <c r="AX174" i="6"/>
  <c r="AY174" i="6" s="1"/>
  <c r="AX175" i="6"/>
  <c r="AY175" i="6" s="1"/>
  <c r="AX176" i="6"/>
  <c r="AY176" i="6" s="1"/>
  <c r="AX177" i="6"/>
  <c r="AY177" i="6" s="1"/>
  <c r="AX178" i="6"/>
  <c r="AY178" i="6" s="1"/>
  <c r="AX179" i="6"/>
  <c r="AY179" i="6" s="1"/>
  <c r="AX180" i="6"/>
  <c r="AY180" i="6" s="1"/>
  <c r="AX181" i="6"/>
  <c r="AY181" i="6" s="1"/>
  <c r="AX182" i="6"/>
  <c r="AY182" i="6" s="1"/>
  <c r="AX183" i="6"/>
  <c r="AY183" i="6" s="1"/>
  <c r="AX184" i="6"/>
  <c r="AY184" i="6" s="1"/>
  <c r="AX185" i="6"/>
  <c r="AY185" i="6" s="1"/>
  <c r="AX186" i="6"/>
  <c r="AY186" i="6" s="1"/>
  <c r="AX187" i="6"/>
  <c r="AY187" i="6" s="1"/>
  <c r="AX188" i="6"/>
  <c r="AY188" i="6" s="1"/>
  <c r="AX189" i="6"/>
  <c r="AY189" i="6" s="1"/>
  <c r="AX190" i="6"/>
  <c r="AY190" i="6" s="1"/>
  <c r="AX191" i="6"/>
  <c r="AY191" i="6" s="1"/>
  <c r="AX192" i="6"/>
  <c r="AY192" i="6" s="1"/>
  <c r="AX193" i="6"/>
  <c r="AY193" i="6" s="1"/>
  <c r="AX194" i="6"/>
  <c r="AY194" i="6" s="1"/>
  <c r="AX195" i="6"/>
  <c r="AY195" i="6" s="1"/>
  <c r="AX196" i="6"/>
  <c r="AY196" i="6" s="1"/>
  <c r="AX197" i="6"/>
  <c r="AY197" i="6" s="1"/>
  <c r="AX198" i="6"/>
  <c r="AY198" i="6" s="1"/>
  <c r="AX199" i="6"/>
  <c r="AY199" i="6" s="1"/>
  <c r="AX200" i="6"/>
  <c r="AY200" i="6" s="1"/>
  <c r="AX201" i="6"/>
  <c r="AY201" i="6" s="1"/>
  <c r="AX202" i="6"/>
  <c r="AY202" i="6" s="1"/>
  <c r="AX203" i="6"/>
  <c r="AY203" i="6" s="1"/>
  <c r="AX204" i="6"/>
  <c r="AY204" i="6" s="1"/>
  <c r="AX205" i="6"/>
  <c r="AY205" i="6" s="1"/>
  <c r="AX206" i="6"/>
  <c r="AY206" i="6" s="1"/>
  <c r="AX207" i="6"/>
  <c r="AY207" i="6" s="1"/>
  <c r="AX208" i="6"/>
  <c r="AY208" i="6" s="1"/>
  <c r="AX209" i="6"/>
  <c r="AY209" i="6" s="1"/>
  <c r="AX210" i="6"/>
  <c r="AY210" i="6" s="1"/>
  <c r="AX211" i="6"/>
  <c r="AY211" i="6" s="1"/>
  <c r="AX212" i="6"/>
  <c r="AY212" i="6" s="1"/>
  <c r="AX213" i="6"/>
  <c r="AY213" i="6" s="1"/>
  <c r="AX214" i="6"/>
  <c r="AY214" i="6" s="1"/>
  <c r="AX215" i="6"/>
  <c r="AY215" i="6" s="1"/>
  <c r="AX216" i="6"/>
  <c r="AY216" i="6" s="1"/>
  <c r="AX217" i="6"/>
  <c r="AY217" i="6" s="1"/>
  <c r="AX218" i="6"/>
  <c r="AY218" i="6" s="1"/>
  <c r="AX219" i="6"/>
  <c r="AY219" i="6" s="1"/>
  <c r="AX220" i="6"/>
  <c r="AY220" i="6" s="1"/>
  <c r="AX221" i="6"/>
  <c r="AY221" i="6" s="1"/>
  <c r="AX222" i="6"/>
  <c r="AY222" i="6" s="1"/>
  <c r="AX223" i="6"/>
  <c r="AY223" i="6" s="1"/>
  <c r="AX224" i="6"/>
  <c r="AY224" i="6" s="1"/>
  <c r="AX225" i="6"/>
  <c r="AY225" i="6" s="1"/>
  <c r="AX226" i="6"/>
  <c r="AY226" i="6" s="1"/>
  <c r="AX227" i="6"/>
  <c r="AY227" i="6" s="1"/>
  <c r="AX228" i="6"/>
  <c r="AY228" i="6" s="1"/>
  <c r="AX229" i="6"/>
  <c r="AY229" i="6" s="1"/>
  <c r="AX230" i="6"/>
  <c r="AY230" i="6" s="1"/>
  <c r="AX231" i="6"/>
  <c r="AY231" i="6" s="1"/>
  <c r="AX232" i="6"/>
  <c r="AY232" i="6" s="1"/>
  <c r="AX233" i="6"/>
  <c r="AY233" i="6" s="1"/>
  <c r="AX234" i="6"/>
  <c r="AY234" i="6" s="1"/>
  <c r="AX235" i="6"/>
  <c r="AY235" i="6" s="1"/>
  <c r="AX236" i="6"/>
  <c r="AY236" i="6" s="1"/>
  <c r="AX237" i="6"/>
  <c r="AY237" i="6" s="1"/>
  <c r="AX238" i="6"/>
  <c r="AY238" i="6" s="1"/>
  <c r="AX239" i="6"/>
  <c r="AY239" i="6" s="1"/>
  <c r="AX240" i="6"/>
  <c r="AY240" i="6" s="1"/>
  <c r="AX241" i="6"/>
  <c r="AY241" i="6" s="1"/>
  <c r="AX242" i="6"/>
  <c r="AY242" i="6" s="1"/>
  <c r="AX243" i="6"/>
  <c r="AY243" i="6" s="1"/>
  <c r="AX244" i="6"/>
  <c r="AY244" i="6" s="1"/>
  <c r="AX245" i="6"/>
  <c r="AY245" i="6" s="1"/>
  <c r="AX246" i="6"/>
  <c r="AY246" i="6" s="1"/>
  <c r="AX247" i="6"/>
  <c r="AY247" i="6" s="1"/>
  <c r="AX248" i="6"/>
  <c r="AY248" i="6" s="1"/>
  <c r="AX249" i="6"/>
  <c r="AY249" i="6" s="1"/>
  <c r="AX250" i="6"/>
  <c r="AY250" i="6" s="1"/>
  <c r="AX251" i="6"/>
  <c r="AY251" i="6" s="1"/>
  <c r="AX252" i="6"/>
  <c r="AY252" i="6" s="1"/>
  <c r="AX253" i="6"/>
  <c r="AY253" i="6" s="1"/>
  <c r="AX254" i="6"/>
  <c r="AY254" i="6" s="1"/>
  <c r="AX255" i="6"/>
  <c r="AY255" i="6" s="1"/>
  <c r="AX256" i="6"/>
  <c r="AY256" i="6" s="1"/>
  <c r="AX257" i="6"/>
  <c r="AY257" i="6" s="1"/>
  <c r="AX258" i="6"/>
  <c r="AY258" i="6" s="1"/>
  <c r="AX259" i="6"/>
  <c r="AY259" i="6" s="1"/>
  <c r="AX260" i="6"/>
  <c r="AY260" i="6" s="1"/>
  <c r="AX261" i="6"/>
  <c r="AY261" i="6" s="1"/>
  <c r="AX262" i="6"/>
  <c r="AY262" i="6" s="1"/>
  <c r="AX263" i="6"/>
  <c r="AY263" i="6" s="1"/>
  <c r="AX264" i="6"/>
  <c r="AY264" i="6" s="1"/>
  <c r="AX265" i="6"/>
  <c r="AY265" i="6" s="1"/>
  <c r="AX266" i="6"/>
  <c r="AY266" i="6" s="1"/>
  <c r="AX267" i="6"/>
  <c r="AY267" i="6" s="1"/>
  <c r="AX268" i="6"/>
  <c r="AY268" i="6" s="1"/>
  <c r="AX269" i="6"/>
  <c r="AY269" i="6" s="1"/>
  <c r="AX270" i="6"/>
  <c r="AY270" i="6" s="1"/>
  <c r="AX271" i="6"/>
  <c r="AY271" i="6" s="1"/>
  <c r="AX272" i="6"/>
  <c r="AY272" i="6" s="1"/>
  <c r="AX273" i="6"/>
  <c r="AY273" i="6" s="1"/>
  <c r="AX274" i="6"/>
  <c r="AY274" i="6" s="1"/>
  <c r="AX275" i="6"/>
  <c r="AY275" i="6" s="1"/>
  <c r="AX276" i="6"/>
  <c r="AY276" i="6" s="1"/>
  <c r="AX277" i="6"/>
  <c r="AY277" i="6" s="1"/>
  <c r="AX278" i="6"/>
  <c r="AY278" i="6" s="1"/>
  <c r="AX279" i="6"/>
  <c r="AY279" i="6" s="1"/>
  <c r="AX280" i="6"/>
  <c r="AY280" i="6" s="1"/>
  <c r="AX281" i="6"/>
  <c r="AY281" i="6" s="1"/>
  <c r="AX282" i="6"/>
  <c r="AY282" i="6" s="1"/>
  <c r="AX283" i="6"/>
  <c r="AY283" i="6" s="1"/>
  <c r="AX284" i="6"/>
  <c r="AY284" i="6" s="1"/>
  <c r="AX285" i="6"/>
  <c r="AY285" i="6" s="1"/>
  <c r="AX286" i="6"/>
  <c r="AY286" i="6" s="1"/>
  <c r="AX287" i="6"/>
  <c r="AY287" i="6" s="1"/>
  <c r="AX288" i="6"/>
  <c r="AY288" i="6" s="1"/>
  <c r="AX289" i="6"/>
  <c r="AY289" i="6" s="1"/>
  <c r="AX290" i="6"/>
  <c r="AY290" i="6" s="1"/>
  <c r="AX291" i="6"/>
  <c r="AY291" i="6" s="1"/>
  <c r="AX292" i="6"/>
  <c r="AY292" i="6" s="1"/>
  <c r="AX293" i="6"/>
  <c r="AY293" i="6" s="1"/>
  <c r="AX294" i="6"/>
  <c r="AY294" i="6" s="1"/>
  <c r="AX295" i="6"/>
  <c r="AY295" i="6" s="1"/>
  <c r="AX296" i="6"/>
  <c r="AY296" i="6" s="1"/>
  <c r="AX297" i="6"/>
  <c r="AY297" i="6" s="1"/>
  <c r="AX298" i="6"/>
  <c r="AY298" i="6" s="1"/>
  <c r="AX299" i="6"/>
  <c r="AY299" i="6" s="1"/>
  <c r="AX300" i="6"/>
  <c r="AY300" i="6" s="1"/>
  <c r="AX301" i="6"/>
  <c r="AY301" i="6" s="1"/>
  <c r="AX302" i="6"/>
  <c r="AY302" i="6" s="1"/>
  <c r="AX303" i="6"/>
  <c r="AY303" i="6" s="1"/>
  <c r="AX304" i="6"/>
  <c r="AY304" i="6" s="1"/>
  <c r="AX305" i="6"/>
  <c r="AY305" i="6" s="1"/>
  <c r="AX306" i="6"/>
  <c r="AY306" i="6" s="1"/>
  <c r="AX307" i="6"/>
  <c r="AY307" i="6" s="1"/>
  <c r="AX308" i="6"/>
  <c r="AY308" i="6" s="1"/>
  <c r="AX309" i="6"/>
  <c r="AY309" i="6" s="1"/>
  <c r="AX310" i="6"/>
  <c r="AY310" i="6" s="1"/>
  <c r="AX311" i="6"/>
  <c r="AY311" i="6" s="1"/>
  <c r="AX312" i="6"/>
  <c r="AY312" i="6" s="1"/>
  <c r="AX313" i="6"/>
  <c r="AY313" i="6" s="1"/>
  <c r="AX314" i="6"/>
  <c r="AY314" i="6" s="1"/>
  <c r="AX315" i="6"/>
  <c r="AY315" i="6" s="1"/>
  <c r="AX316" i="6"/>
  <c r="AY316" i="6" s="1"/>
  <c r="AX317" i="6"/>
  <c r="AY317" i="6" s="1"/>
  <c r="AX318" i="6"/>
  <c r="AY318" i="6" s="1"/>
  <c r="AX319" i="6"/>
  <c r="AY319" i="6" s="1"/>
  <c r="AX320" i="6"/>
  <c r="AY320" i="6" s="1"/>
  <c r="AX321" i="6"/>
  <c r="AY321" i="6" s="1"/>
  <c r="AX322" i="6"/>
  <c r="AY322" i="6" s="1"/>
  <c r="AX323" i="6"/>
  <c r="AY323" i="6" s="1"/>
  <c r="AX324" i="6"/>
  <c r="AY324" i="6" s="1"/>
  <c r="AX325" i="6"/>
  <c r="AY325" i="6" s="1"/>
  <c r="AX326" i="6"/>
  <c r="AY326" i="6" s="1"/>
  <c r="AX327" i="6"/>
  <c r="AY327" i="6" s="1"/>
  <c r="AX328" i="6"/>
  <c r="AY328" i="6" s="1"/>
  <c r="AX329" i="6"/>
  <c r="AY329" i="6" s="1"/>
  <c r="AX330" i="6"/>
  <c r="AY330" i="6" s="1"/>
  <c r="AX331" i="6"/>
  <c r="AY331" i="6" s="1"/>
  <c r="AX332" i="6"/>
  <c r="AY332" i="6" s="1"/>
  <c r="AX333" i="6"/>
  <c r="AY333" i="6" s="1"/>
  <c r="AX334" i="6"/>
  <c r="AY334" i="6" s="1"/>
  <c r="AX335" i="6"/>
  <c r="AY335" i="6" s="1"/>
  <c r="AX336" i="6"/>
  <c r="AY336" i="6" s="1"/>
  <c r="AX337" i="6"/>
  <c r="AY337" i="6" s="1"/>
  <c r="AX338" i="6"/>
  <c r="AY338" i="6" s="1"/>
  <c r="AX339" i="6"/>
  <c r="AY339" i="6" s="1"/>
  <c r="AX340" i="6"/>
  <c r="AY340" i="6" s="1"/>
  <c r="AX341" i="6"/>
  <c r="AY341" i="6" s="1"/>
  <c r="AX342" i="6"/>
  <c r="AY342" i="6" s="1"/>
  <c r="AV17" i="6"/>
  <c r="AV18" i="6"/>
  <c r="AV19" i="6"/>
  <c r="AV20" i="6"/>
  <c r="AV21" i="6"/>
  <c r="AV22" i="6"/>
  <c r="AV23" i="6"/>
  <c r="AV24" i="6"/>
  <c r="AV25" i="6"/>
  <c r="AV26" i="6"/>
  <c r="AV27" i="6"/>
  <c r="AV28" i="6"/>
  <c r="AV29" i="6"/>
  <c r="AV30" i="6"/>
  <c r="AV31" i="6"/>
  <c r="AV32" i="6"/>
  <c r="AV33" i="6"/>
  <c r="AV34" i="6"/>
  <c r="AV35" i="6"/>
  <c r="AV36" i="6"/>
  <c r="AV37" i="6"/>
  <c r="AV38" i="6"/>
  <c r="AV39" i="6"/>
  <c r="AV40" i="6"/>
  <c r="AV41" i="6"/>
  <c r="AV42" i="6"/>
  <c r="AV43" i="6"/>
  <c r="AV44" i="6"/>
  <c r="AV45" i="6"/>
  <c r="AV46" i="6"/>
  <c r="AV47" i="6"/>
  <c r="AV48" i="6"/>
  <c r="AV49" i="6"/>
  <c r="AV50" i="6"/>
  <c r="AV51" i="6"/>
  <c r="AV52" i="6"/>
  <c r="AV53" i="6"/>
  <c r="AV54" i="6"/>
  <c r="AV55" i="6"/>
  <c r="AV56" i="6"/>
  <c r="AV57" i="6"/>
  <c r="AV58" i="6"/>
  <c r="AV59" i="6"/>
  <c r="AV60" i="6"/>
  <c r="AV61" i="6"/>
  <c r="AV62" i="6"/>
  <c r="AV63" i="6"/>
  <c r="AV64" i="6"/>
  <c r="AV65" i="6"/>
  <c r="AV66" i="6"/>
  <c r="AV67" i="6"/>
  <c r="AV68" i="6"/>
  <c r="AV69" i="6"/>
  <c r="AV70" i="6"/>
  <c r="AV71" i="6"/>
  <c r="AV72" i="6"/>
  <c r="AV73" i="6"/>
  <c r="AV74" i="6"/>
  <c r="AV75" i="6"/>
  <c r="AV76" i="6"/>
  <c r="AV77" i="6"/>
  <c r="AV78" i="6"/>
  <c r="AV79" i="6"/>
  <c r="AV80" i="6"/>
  <c r="AV81" i="6"/>
  <c r="AV82" i="6"/>
  <c r="AV83" i="6"/>
  <c r="AV84" i="6"/>
  <c r="AV85" i="6"/>
  <c r="AV86" i="6"/>
  <c r="AV87" i="6"/>
  <c r="AV88" i="6"/>
  <c r="AV89" i="6"/>
  <c r="AV90" i="6"/>
  <c r="AV91" i="6"/>
  <c r="AV92" i="6"/>
  <c r="AV93" i="6"/>
  <c r="AV94" i="6"/>
  <c r="AV95" i="6"/>
  <c r="AV96" i="6"/>
  <c r="AV97" i="6"/>
  <c r="AV98" i="6"/>
  <c r="AV99" i="6"/>
  <c r="AV100" i="6"/>
  <c r="AV101" i="6"/>
  <c r="AV102" i="6"/>
  <c r="AV103" i="6"/>
  <c r="AV104" i="6"/>
  <c r="AV105" i="6"/>
  <c r="AV106" i="6"/>
  <c r="AV107" i="6"/>
  <c r="AV108" i="6"/>
  <c r="AV109" i="6"/>
  <c r="AV110" i="6"/>
  <c r="AV111" i="6"/>
  <c r="AV112" i="6"/>
  <c r="AV113" i="6"/>
  <c r="AV114" i="6"/>
  <c r="AV115" i="6"/>
  <c r="AV116" i="6"/>
  <c r="AV117" i="6"/>
  <c r="AV118" i="6"/>
  <c r="AV119" i="6"/>
  <c r="AV120" i="6"/>
  <c r="AV121" i="6"/>
  <c r="AV122" i="6"/>
  <c r="AV123" i="6"/>
  <c r="AV124" i="6"/>
  <c r="AV125" i="6"/>
  <c r="AV126" i="6"/>
  <c r="AV127" i="6"/>
  <c r="AV128" i="6"/>
  <c r="AV129" i="6"/>
  <c r="AV130" i="6"/>
  <c r="AV131" i="6"/>
  <c r="AV132" i="6"/>
  <c r="AV133" i="6"/>
  <c r="AV134" i="6"/>
  <c r="AV135" i="6"/>
  <c r="AV136" i="6"/>
  <c r="AV137" i="6"/>
  <c r="AV138" i="6"/>
  <c r="AV139" i="6"/>
  <c r="AV140" i="6"/>
  <c r="AV141" i="6"/>
  <c r="AV142" i="6"/>
  <c r="AV143" i="6"/>
  <c r="AV144" i="6"/>
  <c r="AV145" i="6"/>
  <c r="AV146" i="6"/>
  <c r="AV147" i="6"/>
  <c r="AV148" i="6"/>
  <c r="AV149" i="6"/>
  <c r="AV150" i="6"/>
  <c r="AV151" i="6"/>
  <c r="AV152" i="6"/>
  <c r="AV153" i="6"/>
  <c r="AV154" i="6"/>
  <c r="AV155" i="6"/>
  <c r="AV156" i="6"/>
  <c r="AV157" i="6"/>
  <c r="AV158" i="6"/>
  <c r="AV159" i="6"/>
  <c r="AV160" i="6"/>
  <c r="AV161" i="6"/>
  <c r="AV162" i="6"/>
  <c r="AV163" i="6"/>
  <c r="AV164" i="6"/>
  <c r="AV165" i="6"/>
  <c r="AV166" i="6"/>
  <c r="AV167" i="6"/>
  <c r="AV168" i="6"/>
  <c r="AV169" i="6"/>
  <c r="AV170" i="6"/>
  <c r="AV171" i="6"/>
  <c r="AV172" i="6"/>
  <c r="AV173" i="6"/>
  <c r="AV174" i="6"/>
  <c r="AV175" i="6"/>
  <c r="AV176" i="6"/>
  <c r="AV177" i="6"/>
  <c r="AV178" i="6"/>
  <c r="AV179" i="6"/>
  <c r="AV180" i="6"/>
  <c r="AV181" i="6"/>
  <c r="AV182" i="6"/>
  <c r="AV183" i="6"/>
  <c r="AV184" i="6"/>
  <c r="AV185" i="6"/>
  <c r="AV186" i="6"/>
  <c r="AV187" i="6"/>
  <c r="AV188" i="6"/>
  <c r="AV189" i="6"/>
  <c r="AV190" i="6"/>
  <c r="AV191" i="6"/>
  <c r="AV192" i="6"/>
  <c r="AV193" i="6"/>
  <c r="AV194" i="6"/>
  <c r="AV195" i="6"/>
  <c r="AV196" i="6"/>
  <c r="AV197" i="6"/>
  <c r="AV198" i="6"/>
  <c r="AV199" i="6"/>
  <c r="AV200" i="6"/>
  <c r="AV201" i="6"/>
  <c r="AV202" i="6"/>
  <c r="AV203" i="6"/>
  <c r="AV204" i="6"/>
  <c r="AV205" i="6"/>
  <c r="AV206" i="6"/>
  <c r="AV207" i="6"/>
  <c r="AV208" i="6"/>
  <c r="AV209" i="6"/>
  <c r="AV210" i="6"/>
  <c r="AV211" i="6"/>
  <c r="AV212" i="6"/>
  <c r="AV213" i="6"/>
  <c r="AV214" i="6"/>
  <c r="AV215" i="6"/>
  <c r="AV216" i="6"/>
  <c r="AV217" i="6"/>
  <c r="AV218" i="6"/>
  <c r="AV219" i="6"/>
  <c r="AV220" i="6"/>
  <c r="AV221" i="6"/>
  <c r="AV222" i="6"/>
  <c r="AV223" i="6"/>
  <c r="AV224" i="6"/>
  <c r="AV225" i="6"/>
  <c r="AV226" i="6"/>
  <c r="AV227" i="6"/>
  <c r="AV228" i="6"/>
  <c r="AV229" i="6"/>
  <c r="AV230" i="6"/>
  <c r="AV231" i="6"/>
  <c r="AV232" i="6"/>
  <c r="AV233" i="6"/>
  <c r="AV234" i="6"/>
  <c r="AV235" i="6"/>
  <c r="AV236" i="6"/>
  <c r="AV237" i="6"/>
  <c r="AV238" i="6"/>
  <c r="AV239" i="6"/>
  <c r="AV240" i="6"/>
  <c r="AV241" i="6"/>
  <c r="AV242" i="6"/>
  <c r="AV243" i="6"/>
  <c r="AV244" i="6"/>
  <c r="AV245" i="6"/>
  <c r="AV246" i="6"/>
  <c r="AV247" i="6"/>
  <c r="AV248" i="6"/>
  <c r="AV249" i="6"/>
  <c r="AV250" i="6"/>
  <c r="AV251" i="6"/>
  <c r="AV252" i="6"/>
  <c r="AV253" i="6"/>
  <c r="AV254" i="6"/>
  <c r="AV255" i="6"/>
  <c r="AV256" i="6"/>
  <c r="AV257" i="6"/>
  <c r="AV258" i="6"/>
  <c r="AV259" i="6"/>
  <c r="AV260" i="6"/>
  <c r="AV261" i="6"/>
  <c r="AV262" i="6"/>
  <c r="AV263" i="6"/>
  <c r="AV264" i="6"/>
  <c r="AV265" i="6"/>
  <c r="AV266" i="6"/>
  <c r="AV267" i="6"/>
  <c r="AV268" i="6"/>
  <c r="AV269" i="6"/>
  <c r="AV270" i="6"/>
  <c r="AV271" i="6"/>
  <c r="AV272" i="6"/>
  <c r="AV273" i="6"/>
  <c r="AV274" i="6"/>
  <c r="AV275" i="6"/>
  <c r="AV276" i="6"/>
  <c r="AV277" i="6"/>
  <c r="AV278" i="6"/>
  <c r="AV279" i="6"/>
  <c r="AV280" i="6"/>
  <c r="AV281" i="6"/>
  <c r="AV282" i="6"/>
  <c r="AV283" i="6"/>
  <c r="AV284" i="6"/>
  <c r="AV285" i="6"/>
  <c r="AV286" i="6"/>
  <c r="AV287" i="6"/>
  <c r="AV288" i="6"/>
  <c r="AV289" i="6"/>
  <c r="AV290" i="6"/>
  <c r="AV291" i="6"/>
  <c r="AV292" i="6"/>
  <c r="AV293" i="6"/>
  <c r="AV294" i="6"/>
  <c r="AV295" i="6"/>
  <c r="AV296" i="6"/>
  <c r="AV297" i="6"/>
  <c r="AV298" i="6"/>
  <c r="AV299" i="6"/>
  <c r="AV300" i="6"/>
  <c r="AV301" i="6"/>
  <c r="AV302" i="6"/>
  <c r="AV303" i="6"/>
  <c r="AV304" i="6"/>
  <c r="AV305" i="6"/>
  <c r="AV306" i="6"/>
  <c r="AV307" i="6"/>
  <c r="AV308" i="6"/>
  <c r="AV309" i="6"/>
  <c r="AV310" i="6"/>
  <c r="AV311" i="6"/>
  <c r="AV312" i="6"/>
  <c r="AV313" i="6"/>
  <c r="AV314" i="6"/>
  <c r="AV315" i="6"/>
  <c r="AV316" i="6"/>
  <c r="AV317" i="6"/>
  <c r="AV318" i="6"/>
  <c r="AV319" i="6"/>
  <c r="AV320" i="6"/>
  <c r="AV321" i="6"/>
  <c r="AV322" i="6"/>
  <c r="AV323" i="6"/>
  <c r="AV324" i="6"/>
  <c r="AV325" i="6"/>
  <c r="AV326" i="6"/>
  <c r="AV327" i="6"/>
  <c r="AV328" i="6"/>
  <c r="AV329" i="6"/>
  <c r="AV330" i="6"/>
  <c r="AV331" i="6"/>
  <c r="AV332" i="6"/>
  <c r="AV333" i="6"/>
  <c r="AV334" i="6"/>
  <c r="AV335" i="6"/>
  <c r="AV336" i="6"/>
  <c r="AV337" i="6"/>
  <c r="AV338" i="6"/>
  <c r="AV339" i="6"/>
  <c r="AV340" i="6"/>
  <c r="AV341" i="6"/>
  <c r="AV342" i="6"/>
  <c r="AV6" i="6"/>
  <c r="AV7" i="6"/>
  <c r="AV8" i="6"/>
  <c r="AV9" i="6"/>
  <c r="AV10" i="6"/>
  <c r="AV11" i="6"/>
  <c r="AV12" i="6"/>
  <c r="AV13" i="6"/>
  <c r="AV14" i="6"/>
  <c r="AV15" i="6"/>
  <c r="AV16" i="6"/>
  <c r="AV5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6" i="6"/>
  <c r="S7" i="6"/>
  <c r="S8" i="6"/>
  <c r="S9" i="6"/>
  <c r="S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O33" i="6"/>
  <c r="AO34" i="6"/>
  <c r="AO35" i="6"/>
  <c r="AO36" i="6"/>
  <c r="AO37" i="6"/>
  <c r="AO38" i="6"/>
  <c r="AO39" i="6"/>
  <c r="AO40" i="6"/>
  <c r="AO41" i="6"/>
  <c r="AO42" i="6"/>
  <c r="AO43" i="6"/>
  <c r="AO44" i="6"/>
  <c r="AO45" i="6"/>
  <c r="AO46" i="6"/>
  <c r="AO47" i="6"/>
  <c r="AO48" i="6"/>
  <c r="AO49" i="6"/>
  <c r="AO50" i="6"/>
  <c r="AO51" i="6"/>
  <c r="AO52" i="6"/>
  <c r="AO53" i="6"/>
  <c r="AO54" i="6"/>
  <c r="AO55" i="6"/>
  <c r="AO56" i="6"/>
  <c r="AO57" i="6"/>
  <c r="AO58" i="6"/>
  <c r="AO59" i="6"/>
  <c r="AO60" i="6"/>
  <c r="AO61" i="6"/>
  <c r="AO62" i="6"/>
  <c r="AO63" i="6"/>
  <c r="AO64" i="6"/>
  <c r="AO65" i="6"/>
  <c r="AO66" i="6"/>
  <c r="AO67" i="6"/>
  <c r="AO68" i="6"/>
  <c r="AO69" i="6"/>
  <c r="AO70" i="6"/>
  <c r="AO71" i="6"/>
  <c r="AO72" i="6"/>
  <c r="AO73" i="6"/>
  <c r="AO74" i="6"/>
  <c r="AO75" i="6"/>
  <c r="AO76" i="6"/>
  <c r="AO77" i="6"/>
  <c r="AO78" i="6"/>
  <c r="AO79" i="6"/>
  <c r="AO80" i="6"/>
  <c r="AO81" i="6"/>
  <c r="AO82" i="6"/>
  <c r="AO83" i="6"/>
  <c r="AO84" i="6"/>
  <c r="AO85" i="6"/>
  <c r="AO86" i="6"/>
  <c r="AO87" i="6"/>
  <c r="AO88" i="6"/>
  <c r="AO89" i="6"/>
  <c r="AO90" i="6"/>
  <c r="AO91" i="6"/>
  <c r="AO92" i="6"/>
  <c r="AO93" i="6"/>
  <c r="AO94" i="6"/>
  <c r="AO95" i="6"/>
  <c r="AO96" i="6"/>
  <c r="AO97" i="6"/>
  <c r="AO98" i="6"/>
  <c r="AO99" i="6"/>
  <c r="AO100" i="6"/>
  <c r="AO101" i="6"/>
  <c r="AO102" i="6"/>
  <c r="AO103" i="6"/>
  <c r="AO104" i="6"/>
  <c r="AO105" i="6"/>
  <c r="AO106" i="6"/>
  <c r="AO107" i="6"/>
  <c r="AO108" i="6"/>
  <c r="AO109" i="6"/>
  <c r="AO110" i="6"/>
  <c r="AO111" i="6"/>
  <c r="AO112" i="6"/>
  <c r="AO113" i="6"/>
  <c r="AO114" i="6"/>
  <c r="AO115" i="6"/>
  <c r="AO116" i="6"/>
  <c r="AO117" i="6"/>
  <c r="AO118" i="6"/>
  <c r="AO119" i="6"/>
  <c r="AO120" i="6"/>
  <c r="AO121" i="6"/>
  <c r="AO122" i="6"/>
  <c r="AO123" i="6"/>
  <c r="AO124" i="6"/>
  <c r="AO125" i="6"/>
  <c r="AO126" i="6"/>
  <c r="AO127" i="6"/>
  <c r="AO128" i="6"/>
  <c r="AO129" i="6"/>
  <c r="AO130" i="6"/>
  <c r="AO131" i="6"/>
  <c r="AO132" i="6"/>
  <c r="AO133" i="6"/>
  <c r="AO134" i="6"/>
  <c r="AO135" i="6"/>
  <c r="AO136" i="6"/>
  <c r="AO137" i="6"/>
  <c r="AO138" i="6"/>
  <c r="AO139" i="6"/>
  <c r="AO140" i="6"/>
  <c r="AO141" i="6"/>
  <c r="AO142" i="6"/>
  <c r="AO143" i="6"/>
  <c r="AO144" i="6"/>
  <c r="AO145" i="6"/>
  <c r="AO146" i="6"/>
  <c r="AO147" i="6"/>
  <c r="AO148" i="6"/>
  <c r="AO149" i="6"/>
  <c r="AO150" i="6"/>
  <c r="AO151" i="6"/>
  <c r="AO152" i="6"/>
  <c r="AO153" i="6"/>
  <c r="AO154" i="6"/>
  <c r="AO155" i="6"/>
  <c r="AO156" i="6"/>
  <c r="AO157" i="6"/>
  <c r="AO158" i="6"/>
  <c r="AO159" i="6"/>
  <c r="AO160" i="6"/>
  <c r="AO161" i="6"/>
  <c r="AO162" i="6"/>
  <c r="AO163" i="6"/>
  <c r="AO164" i="6"/>
  <c r="AO165" i="6"/>
  <c r="AO166" i="6"/>
  <c r="AO167" i="6"/>
  <c r="AO168" i="6"/>
  <c r="AO169" i="6"/>
  <c r="AO170" i="6"/>
  <c r="AO171" i="6"/>
  <c r="AO172" i="6"/>
  <c r="AO173" i="6"/>
  <c r="AO174" i="6"/>
  <c r="AO175" i="6"/>
  <c r="AO176" i="6"/>
  <c r="AO177" i="6"/>
  <c r="AO178" i="6"/>
  <c r="AO179" i="6"/>
  <c r="AO180" i="6"/>
  <c r="AO181" i="6"/>
  <c r="AO182" i="6"/>
  <c r="AO183" i="6"/>
  <c r="AO184" i="6"/>
  <c r="AO185" i="6"/>
  <c r="AO186" i="6"/>
  <c r="AO187" i="6"/>
  <c r="AO188" i="6"/>
  <c r="AO189" i="6"/>
  <c r="AO190" i="6"/>
  <c r="AO191" i="6"/>
  <c r="AO192" i="6"/>
  <c r="AO193" i="6"/>
  <c r="AO194" i="6"/>
  <c r="AO195" i="6"/>
  <c r="AO196" i="6"/>
  <c r="AO197" i="6"/>
  <c r="AO198" i="6"/>
  <c r="AO199" i="6"/>
  <c r="AO200" i="6"/>
  <c r="AO201" i="6"/>
  <c r="AO202" i="6"/>
  <c r="AO203" i="6"/>
  <c r="AO204" i="6"/>
  <c r="AO205" i="6"/>
  <c r="AO206" i="6"/>
  <c r="AO207" i="6"/>
  <c r="AO208" i="6"/>
  <c r="AO209" i="6"/>
  <c r="AO210" i="6"/>
  <c r="AO211" i="6"/>
  <c r="AO212" i="6"/>
  <c r="AO213" i="6"/>
  <c r="AO214" i="6"/>
  <c r="AO215" i="6"/>
  <c r="AO216" i="6"/>
  <c r="AO217" i="6"/>
  <c r="AO218" i="6"/>
  <c r="AO219" i="6"/>
  <c r="AO220" i="6"/>
  <c r="AO221" i="6"/>
  <c r="AO222" i="6"/>
  <c r="AO223" i="6"/>
  <c r="AO224" i="6"/>
  <c r="AO225" i="6"/>
  <c r="AO226" i="6"/>
  <c r="AO227" i="6"/>
  <c r="AO228" i="6"/>
  <c r="AO229" i="6"/>
  <c r="AO230" i="6"/>
  <c r="AO231" i="6"/>
  <c r="AO232" i="6"/>
  <c r="AO233" i="6"/>
  <c r="AO234" i="6"/>
  <c r="AO235" i="6"/>
  <c r="AO236" i="6"/>
  <c r="AO237" i="6"/>
  <c r="AO238" i="6"/>
  <c r="AO239" i="6"/>
  <c r="AO240" i="6"/>
  <c r="AO241" i="6"/>
  <c r="AO242" i="6"/>
  <c r="AO243" i="6"/>
  <c r="AO244" i="6"/>
  <c r="AO245" i="6"/>
  <c r="AO246" i="6"/>
  <c r="AO247" i="6"/>
  <c r="AO248" i="6"/>
  <c r="AO249" i="6"/>
  <c r="AO250" i="6"/>
  <c r="AO251" i="6"/>
  <c r="AO252" i="6"/>
  <c r="AO253" i="6"/>
  <c r="AO254" i="6"/>
  <c r="AO255" i="6"/>
  <c r="AO256" i="6"/>
  <c r="AO257" i="6"/>
  <c r="AO258" i="6"/>
  <c r="AO259" i="6"/>
  <c r="AO260" i="6"/>
  <c r="AO261" i="6"/>
  <c r="AO262" i="6"/>
  <c r="AO263" i="6"/>
  <c r="AO264" i="6"/>
  <c r="AO265" i="6"/>
  <c r="AO266" i="6"/>
  <c r="AO267" i="6"/>
  <c r="AO268" i="6"/>
  <c r="AO269" i="6"/>
  <c r="AO270" i="6"/>
  <c r="AO271" i="6"/>
  <c r="AO272" i="6"/>
  <c r="AO273" i="6"/>
  <c r="AO274" i="6"/>
  <c r="AO275" i="6"/>
  <c r="AO276" i="6"/>
  <c r="AO277" i="6"/>
  <c r="AO278" i="6"/>
  <c r="AO279" i="6"/>
  <c r="AO280" i="6"/>
  <c r="AO281" i="6"/>
  <c r="AO282" i="6"/>
  <c r="AO283" i="6"/>
  <c r="AO284" i="6"/>
  <c r="AO285" i="6"/>
  <c r="AO286" i="6"/>
  <c r="AO287" i="6"/>
  <c r="AO288" i="6"/>
  <c r="AO289" i="6"/>
  <c r="AO290" i="6"/>
  <c r="AO291" i="6"/>
  <c r="AO292" i="6"/>
  <c r="AO293" i="6"/>
  <c r="AO294" i="6"/>
  <c r="AO295" i="6"/>
  <c r="AO296" i="6"/>
  <c r="AO297" i="6"/>
  <c r="AO298" i="6"/>
  <c r="AO299" i="6"/>
  <c r="AO300" i="6"/>
  <c r="AO301" i="6"/>
  <c r="AO302" i="6"/>
  <c r="AO303" i="6"/>
  <c r="AO304" i="6"/>
  <c r="AO305" i="6"/>
  <c r="AO306" i="6"/>
  <c r="AO307" i="6"/>
  <c r="AO308" i="6"/>
  <c r="AO309" i="6"/>
  <c r="AO310" i="6"/>
  <c r="AO311" i="6"/>
  <c r="AO312" i="6"/>
  <c r="AO313" i="6"/>
  <c r="AO314" i="6"/>
  <c r="AO315" i="6"/>
  <c r="AO316" i="6"/>
  <c r="AO317" i="6"/>
  <c r="AO318" i="6"/>
  <c r="AO319" i="6"/>
  <c r="AO320" i="6"/>
  <c r="AO321" i="6"/>
  <c r="AO322" i="6"/>
  <c r="AO323" i="6"/>
  <c r="AO324" i="6"/>
  <c r="AO325" i="6"/>
  <c r="AO326" i="6"/>
  <c r="AO327" i="6"/>
  <c r="AO328" i="6"/>
  <c r="AO329" i="6"/>
  <c r="AO330" i="6"/>
  <c r="AO331" i="6"/>
  <c r="AO332" i="6"/>
  <c r="AO333" i="6"/>
  <c r="AO334" i="6"/>
  <c r="AO335" i="6"/>
  <c r="AO336" i="6"/>
  <c r="AO337" i="6"/>
  <c r="AO338" i="6"/>
  <c r="AO339" i="6"/>
  <c r="AO340" i="6"/>
  <c r="AO341" i="6"/>
  <c r="AO342" i="6"/>
  <c r="AO5" i="6"/>
  <c r="L25" i="6" a="1"/>
  <c r="L26" i="6" a="1"/>
  <c r="L27" i="6" a="1"/>
  <c r="L28" i="6" a="1"/>
  <c r="L29" i="6" a="1"/>
  <c r="L30" i="6" a="1"/>
  <c r="L31" i="6" a="1"/>
  <c r="L32" i="6" a="1"/>
  <c r="L33" i="6" a="1"/>
  <c r="L34" i="6" a="1"/>
  <c r="L35" i="6" a="1"/>
  <c r="L36" i="6" a="1"/>
  <c r="L37" i="6" a="1"/>
  <c r="L38" i="6" a="1"/>
  <c r="L39" i="6" a="1"/>
  <c r="L40" i="6" a="1"/>
  <c r="L41" i="6" a="1"/>
  <c r="L42" i="6" a="1"/>
  <c r="L43" i="6" a="1"/>
  <c r="L44" i="6" a="1"/>
  <c r="L45" i="6" a="1"/>
  <c r="L46" i="6" a="1"/>
  <c r="L47" i="6" a="1"/>
  <c r="L48" i="6" a="1"/>
  <c r="L49" i="6" a="1"/>
  <c r="L50" i="6" a="1"/>
  <c r="L51" i="6" a="1"/>
  <c r="L52" i="6" a="1"/>
  <c r="L53" i="6" a="1"/>
  <c r="L54" i="6" a="1"/>
  <c r="L55" i="6" a="1"/>
  <c r="L56" i="6" a="1"/>
  <c r="L57" i="6" a="1"/>
  <c r="L58" i="6" a="1"/>
  <c r="L59" i="6" a="1"/>
  <c r="L60" i="6" a="1"/>
  <c r="L61" i="6" a="1"/>
  <c r="L62" i="6" a="1"/>
  <c r="L63" i="6" a="1"/>
  <c r="L64" i="6" a="1"/>
  <c r="L65" i="6" a="1"/>
  <c r="L66" i="6" a="1"/>
  <c r="L67" i="6" a="1"/>
  <c r="L68" i="6" a="1"/>
  <c r="L69" i="6" a="1"/>
  <c r="L70" i="6" a="1"/>
  <c r="L71" i="6" a="1"/>
  <c r="L72" i="6" a="1"/>
  <c r="L73" i="6" a="1"/>
  <c r="L74" i="6" a="1"/>
  <c r="L75" i="6" a="1"/>
  <c r="L76" i="6" a="1"/>
  <c r="L77" i="6" a="1"/>
  <c r="L78" i="6" a="1"/>
  <c r="L79" i="6" a="1"/>
  <c r="L80" i="6" a="1"/>
  <c r="L81" i="6" a="1"/>
  <c r="L82" i="6" a="1"/>
  <c r="L83" i="6" a="1"/>
  <c r="L84" i="6" a="1"/>
  <c r="L85" i="6" a="1"/>
  <c r="L86" i="6" a="1"/>
  <c r="L87" i="6" a="1"/>
  <c r="L88" i="6" a="1"/>
  <c r="L89" i="6" a="1"/>
  <c r="L90" i="6" a="1"/>
  <c r="L91" i="6" a="1"/>
  <c r="L92" i="6" a="1"/>
  <c r="L93" i="6" a="1"/>
  <c r="L94" i="6" a="1"/>
  <c r="L95" i="6" a="1"/>
  <c r="L96" i="6" a="1"/>
  <c r="L97" i="6" a="1"/>
  <c r="L98" i="6" a="1"/>
  <c r="L99" i="6" a="1"/>
  <c r="L100" i="6" a="1"/>
  <c r="L101" i="6" a="1"/>
  <c r="L102" i="6" a="1"/>
  <c r="L103" i="6" a="1"/>
  <c r="L104" i="6" a="1"/>
  <c r="L105" i="6" a="1"/>
  <c r="L106" i="6" a="1"/>
  <c r="L107" i="6" a="1"/>
  <c r="L108" i="6" a="1"/>
  <c r="L109" i="6" a="1"/>
  <c r="L110" i="6" a="1"/>
  <c r="L111" i="6" a="1"/>
  <c r="L112" i="6" a="1"/>
  <c r="L113" i="6" a="1"/>
  <c r="L114" i="6" a="1"/>
  <c r="L115" i="6" a="1"/>
  <c r="L116" i="6" a="1"/>
  <c r="L117" i="6" a="1"/>
  <c r="L118" i="6" a="1"/>
  <c r="L119" i="6" a="1"/>
  <c r="L120" i="6" a="1"/>
  <c r="L121" i="6" a="1"/>
  <c r="L122" i="6" a="1"/>
  <c r="L123" i="6" a="1"/>
  <c r="L124" i="6" a="1"/>
  <c r="L125" i="6" a="1"/>
  <c r="L126" i="6" a="1"/>
  <c r="L127" i="6" a="1"/>
  <c r="L128" i="6" a="1"/>
  <c r="L129" i="6" a="1"/>
  <c r="L130" i="6" a="1"/>
  <c r="L131" i="6" a="1"/>
  <c r="L132" i="6" a="1"/>
  <c r="L133" i="6" a="1"/>
  <c r="L134" i="6" a="1"/>
  <c r="L135" i="6" a="1"/>
  <c r="L136" i="6" a="1"/>
  <c r="L137" i="6" a="1"/>
  <c r="L138" i="6" a="1"/>
  <c r="L139" i="6" a="1"/>
  <c r="L140" i="6" a="1"/>
  <c r="L141" i="6" a="1"/>
  <c r="L142" i="6" a="1"/>
  <c r="L143" i="6" a="1"/>
  <c r="L144" i="6" a="1"/>
  <c r="L145" i="6" a="1"/>
  <c r="L146" i="6" a="1"/>
  <c r="L147" i="6" a="1"/>
  <c r="L148" i="6" a="1"/>
  <c r="L149" i="6" a="1"/>
  <c r="L150" i="6" a="1"/>
  <c r="L151" i="6" a="1"/>
  <c r="L152" i="6" a="1"/>
  <c r="L153" i="6" a="1"/>
  <c r="L154" i="6" a="1"/>
  <c r="L155" i="6" a="1"/>
  <c r="L156" i="6" a="1"/>
  <c r="L157" i="6" a="1"/>
  <c r="L158" i="6" a="1"/>
  <c r="L159" i="6" a="1"/>
  <c r="L160" i="6" a="1"/>
  <c r="L161" i="6" a="1"/>
  <c r="L162" i="6" a="1"/>
  <c r="L163" i="6" a="1"/>
  <c r="L164" i="6" a="1"/>
  <c r="L165" i="6" a="1"/>
  <c r="L166" i="6" a="1"/>
  <c r="L167" i="6" a="1"/>
  <c r="L168" i="6" a="1"/>
  <c r="L169" i="6" a="1"/>
  <c r="L170" i="6" a="1"/>
  <c r="L171" i="6" a="1"/>
  <c r="L172" i="6" a="1"/>
  <c r="L173" i="6" a="1"/>
  <c r="L174" i="6" a="1"/>
  <c r="L175" i="6" a="1"/>
  <c r="L176" i="6" a="1"/>
  <c r="L177" i="6" a="1"/>
  <c r="L178" i="6" a="1"/>
  <c r="L179" i="6" a="1"/>
  <c r="L180" i="6" a="1"/>
  <c r="L181" i="6" a="1"/>
  <c r="L182" i="6" a="1"/>
  <c r="L183" i="6" a="1"/>
  <c r="L184" i="6" a="1"/>
  <c r="L185" i="6" a="1"/>
  <c r="L186" i="6" a="1"/>
  <c r="L187" i="6" a="1"/>
  <c r="L188" i="6" a="1"/>
  <c r="L189" i="6" a="1"/>
  <c r="L190" i="6" a="1"/>
  <c r="L191" i="6" a="1"/>
  <c r="L192" i="6" a="1"/>
  <c r="L193" i="6" a="1"/>
  <c r="L194" i="6" a="1"/>
  <c r="L195" i="6" a="1"/>
  <c r="L196" i="6" a="1"/>
  <c r="L197" i="6" a="1"/>
  <c r="L198" i="6" a="1"/>
  <c r="L199" i="6" a="1"/>
  <c r="L200" i="6" a="1"/>
  <c r="L201" i="6" a="1"/>
  <c r="L202" i="6" a="1"/>
  <c r="L203" i="6" a="1"/>
  <c r="L204" i="6" a="1"/>
  <c r="L205" i="6" a="1"/>
  <c r="L206" i="6" a="1"/>
  <c r="L207" i="6" a="1"/>
  <c r="L208" i="6" a="1"/>
  <c r="L209" i="6" a="1"/>
  <c r="L210" i="6" a="1"/>
  <c r="L211" i="6" a="1"/>
  <c r="L212" i="6" a="1"/>
  <c r="L213" i="6" a="1"/>
  <c r="L214" i="6" a="1"/>
  <c r="L215" i="6" a="1"/>
  <c r="L216" i="6" a="1"/>
  <c r="L217" i="6" a="1"/>
  <c r="L218" i="6" a="1"/>
  <c r="L219" i="6" a="1"/>
  <c r="L220" i="6" a="1"/>
  <c r="L221" i="6" a="1"/>
  <c r="L222" i="6" a="1"/>
  <c r="L223" i="6" a="1"/>
  <c r="L224" i="6" a="1"/>
  <c r="L225" i="6" a="1"/>
  <c r="L226" i="6" a="1"/>
  <c r="L227" i="6" a="1"/>
  <c r="L228" i="6" a="1"/>
  <c r="L229" i="6" a="1"/>
  <c r="L230" i="6" a="1"/>
  <c r="L231" i="6" a="1"/>
  <c r="L232" i="6" a="1"/>
  <c r="L233" i="6" a="1"/>
  <c r="L234" i="6" a="1"/>
  <c r="L235" i="6" a="1"/>
  <c r="L236" i="6" a="1"/>
  <c r="L237" i="6" a="1"/>
  <c r="L238" i="6" a="1"/>
  <c r="L239" i="6" a="1"/>
  <c r="L240" i="6" a="1"/>
  <c r="L241" i="6" a="1"/>
  <c r="L242" i="6" a="1"/>
  <c r="L243" i="6" a="1"/>
  <c r="L244" i="6" a="1"/>
  <c r="L245" i="6" a="1"/>
  <c r="L246" i="6" a="1"/>
  <c r="L247" i="6" a="1"/>
  <c r="L248" i="6" a="1"/>
  <c r="L249" i="6" a="1"/>
  <c r="L250" i="6" a="1"/>
  <c r="L251" i="6" a="1"/>
  <c r="L252" i="6" a="1"/>
  <c r="L253" i="6" a="1"/>
  <c r="L254" i="6" a="1"/>
  <c r="L255" i="6" a="1"/>
  <c r="L256" i="6" a="1"/>
  <c r="L257" i="6" a="1"/>
  <c r="L258" i="6" a="1"/>
  <c r="L259" i="6" a="1"/>
  <c r="L260" i="6" a="1"/>
  <c r="L261" i="6" a="1"/>
  <c r="L262" i="6" a="1"/>
  <c r="L263" i="6" a="1"/>
  <c r="L264" i="6" a="1"/>
  <c r="L265" i="6" a="1"/>
  <c r="L266" i="6" a="1"/>
  <c r="L267" i="6" a="1"/>
  <c r="L268" i="6" a="1"/>
  <c r="L269" i="6" a="1"/>
  <c r="L270" i="6" a="1"/>
  <c r="L271" i="6" a="1"/>
  <c r="L272" i="6" a="1"/>
  <c r="L273" i="6" a="1"/>
  <c r="L274" i="6" a="1"/>
  <c r="L275" i="6" a="1"/>
  <c r="L276" i="6" a="1"/>
  <c r="L277" i="6" a="1"/>
  <c r="L278" i="6" a="1"/>
  <c r="L279" i="6" a="1"/>
  <c r="L280" i="6" a="1"/>
  <c r="L281" i="6" a="1"/>
  <c r="L282" i="6" a="1"/>
  <c r="L283" i="6" a="1"/>
  <c r="L284" i="6" a="1"/>
  <c r="L285" i="6" a="1"/>
  <c r="L286" i="6" a="1"/>
  <c r="L287" i="6" a="1"/>
  <c r="L288" i="6" a="1"/>
  <c r="L289" i="6" a="1"/>
  <c r="L290" i="6" a="1"/>
  <c r="L291" i="6" a="1"/>
  <c r="L292" i="6" a="1"/>
  <c r="L293" i="6" a="1"/>
  <c r="L294" i="6" a="1"/>
  <c r="L295" i="6" a="1"/>
  <c r="L296" i="6" a="1"/>
  <c r="L297" i="6" a="1"/>
  <c r="L298" i="6" a="1"/>
  <c r="L299" i="6" a="1"/>
  <c r="L300" i="6" a="1"/>
  <c r="L301" i="6" a="1"/>
  <c r="L302" i="6" a="1"/>
  <c r="L303" i="6" a="1"/>
  <c r="L304" i="6" a="1"/>
  <c r="L305" i="6" a="1"/>
  <c r="L306" i="6" a="1"/>
  <c r="L307" i="6" a="1"/>
  <c r="L308" i="6" a="1"/>
  <c r="L309" i="6" a="1"/>
  <c r="L310" i="6" a="1"/>
  <c r="L311" i="6" a="1"/>
  <c r="L312" i="6" a="1"/>
  <c r="L313" i="6" a="1"/>
  <c r="L314" i="6" a="1"/>
  <c r="L315" i="6" a="1"/>
  <c r="L317" i="6" a="1"/>
  <c r="L318" i="6" a="1"/>
  <c r="L319" i="6" a="1"/>
  <c r="L320" i="6" a="1"/>
  <c r="L321" i="6" a="1"/>
  <c r="L322" i="6" a="1"/>
  <c r="L323" i="6" a="1"/>
  <c r="L324" i="6" a="1"/>
  <c r="L325" i="6" a="1"/>
  <c r="L326" i="6" a="1"/>
  <c r="L327" i="6" a="1"/>
  <c r="L328" i="6" a="1"/>
  <c r="L329" i="6" a="1"/>
  <c r="L330" i="6" a="1"/>
  <c r="L331" i="6" a="1"/>
  <c r="L332" i="6" a="1"/>
  <c r="L333" i="6" a="1"/>
  <c r="L334" i="6" a="1"/>
  <c r="L335" i="6" a="1"/>
  <c r="L336" i="6" a="1"/>
  <c r="L337" i="6" a="1"/>
  <c r="L338" i="6" a="1"/>
  <c r="L339" i="6" a="1"/>
  <c r="L340" i="6" a="1"/>
  <c r="L341" i="6" a="1"/>
  <c r="L342" i="6" a="1"/>
  <c r="L24" i="6" a="1"/>
  <c r="L23" i="6" a="1"/>
  <c r="L22" i="6" a="1"/>
  <c r="L21" i="6" a="1"/>
  <c r="L20" i="6" a="1"/>
  <c r="L19" i="6" a="1"/>
  <c r="L18" i="6" a="1"/>
  <c r="L17" i="6" a="1"/>
  <c r="L16" i="6" a="1"/>
  <c r="L15" i="6" a="1"/>
  <c r="L14" i="6" a="1"/>
  <c r="L13" i="6" a="1"/>
  <c r="L12" i="6" a="1"/>
  <c r="L11" i="6" a="1"/>
  <c r="L10" i="6" a="1"/>
  <c r="L9" i="6" a="1"/>
  <c r="L8" i="6" a="1"/>
  <c r="L7" i="6" a="1"/>
  <c r="L6" i="6" a="1"/>
  <c r="L5" i="6" a="1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I142" i="6"/>
  <c r="AI143" i="6"/>
  <c r="AI144" i="6"/>
  <c r="AI145" i="6"/>
  <c r="AI146" i="6"/>
  <c r="AI147" i="6"/>
  <c r="AI148" i="6"/>
  <c r="AI149" i="6"/>
  <c r="AI150" i="6"/>
  <c r="AI151" i="6"/>
  <c r="AI152" i="6"/>
  <c r="AI153" i="6"/>
  <c r="AI154" i="6"/>
  <c r="AI155" i="6"/>
  <c r="AI156" i="6"/>
  <c r="AI157" i="6"/>
  <c r="AI158" i="6"/>
  <c r="AI159" i="6"/>
  <c r="AI160" i="6"/>
  <c r="AI161" i="6"/>
  <c r="AI162" i="6"/>
  <c r="AI163" i="6"/>
  <c r="AI164" i="6"/>
  <c r="AI165" i="6"/>
  <c r="AI166" i="6"/>
  <c r="AI167" i="6"/>
  <c r="AI168" i="6"/>
  <c r="AI169" i="6"/>
  <c r="AI170" i="6"/>
  <c r="AI171" i="6"/>
  <c r="AI172" i="6"/>
  <c r="AI173" i="6"/>
  <c r="AI174" i="6"/>
  <c r="AI175" i="6"/>
  <c r="AI176" i="6"/>
  <c r="AI177" i="6"/>
  <c r="AI178" i="6"/>
  <c r="AI179" i="6"/>
  <c r="AI180" i="6"/>
  <c r="AI181" i="6"/>
  <c r="AI182" i="6"/>
  <c r="AI183" i="6"/>
  <c r="AI184" i="6"/>
  <c r="AI185" i="6"/>
  <c r="AI186" i="6"/>
  <c r="AI187" i="6"/>
  <c r="AI188" i="6"/>
  <c r="AI189" i="6"/>
  <c r="AI190" i="6"/>
  <c r="AI191" i="6"/>
  <c r="AI192" i="6"/>
  <c r="AI193" i="6"/>
  <c r="AI194" i="6"/>
  <c r="AI195" i="6"/>
  <c r="AI196" i="6"/>
  <c r="AI197" i="6"/>
  <c r="AI198" i="6"/>
  <c r="AI199" i="6"/>
  <c r="AI200" i="6"/>
  <c r="AI201" i="6"/>
  <c r="AI202" i="6"/>
  <c r="AI203" i="6"/>
  <c r="AI204" i="6"/>
  <c r="AI205" i="6"/>
  <c r="AI206" i="6"/>
  <c r="AI207" i="6"/>
  <c r="AI208" i="6"/>
  <c r="AI209" i="6"/>
  <c r="AI210" i="6"/>
  <c r="AI211" i="6"/>
  <c r="AI212" i="6"/>
  <c r="AI213" i="6"/>
  <c r="AI214" i="6"/>
  <c r="AI215" i="6"/>
  <c r="AI216" i="6"/>
  <c r="AI217" i="6"/>
  <c r="AI218" i="6"/>
  <c r="AI219" i="6"/>
  <c r="AI220" i="6"/>
  <c r="AI221" i="6"/>
  <c r="AI222" i="6"/>
  <c r="AI223" i="6"/>
  <c r="AI224" i="6"/>
  <c r="AI225" i="6"/>
  <c r="AI226" i="6"/>
  <c r="AI227" i="6"/>
  <c r="AI228" i="6"/>
  <c r="AI229" i="6"/>
  <c r="AI230" i="6"/>
  <c r="AI231" i="6"/>
  <c r="AI232" i="6"/>
  <c r="AI233" i="6"/>
  <c r="AI234" i="6"/>
  <c r="AI235" i="6"/>
  <c r="AI236" i="6"/>
  <c r="AI237" i="6"/>
  <c r="AI238" i="6"/>
  <c r="AI239" i="6"/>
  <c r="AI240" i="6"/>
  <c r="AI241" i="6"/>
  <c r="AI242" i="6"/>
  <c r="AI243" i="6"/>
  <c r="AI244" i="6"/>
  <c r="AI245" i="6"/>
  <c r="AI246" i="6"/>
  <c r="AI247" i="6"/>
  <c r="AI248" i="6"/>
  <c r="AI249" i="6"/>
  <c r="AI250" i="6"/>
  <c r="AI251" i="6"/>
  <c r="AI252" i="6"/>
  <c r="AI253" i="6"/>
  <c r="AI254" i="6"/>
  <c r="AI255" i="6"/>
  <c r="AI256" i="6"/>
  <c r="AI257" i="6"/>
  <c r="AI258" i="6"/>
  <c r="AI259" i="6"/>
  <c r="AI260" i="6"/>
  <c r="AI261" i="6"/>
  <c r="AI262" i="6"/>
  <c r="AI263" i="6"/>
  <c r="AI264" i="6"/>
  <c r="AI265" i="6"/>
  <c r="AI266" i="6"/>
  <c r="AI267" i="6"/>
  <c r="AI268" i="6"/>
  <c r="AI269" i="6"/>
  <c r="AI270" i="6"/>
  <c r="AI271" i="6"/>
  <c r="AI272" i="6"/>
  <c r="AI273" i="6"/>
  <c r="AI274" i="6"/>
  <c r="AI275" i="6"/>
  <c r="AI276" i="6"/>
  <c r="AI277" i="6"/>
  <c r="AI278" i="6"/>
  <c r="AI279" i="6"/>
  <c r="AI280" i="6"/>
  <c r="AI281" i="6"/>
  <c r="AI282" i="6"/>
  <c r="AI283" i="6"/>
  <c r="AI284" i="6"/>
  <c r="AI285" i="6"/>
  <c r="AI286" i="6"/>
  <c r="AI287" i="6"/>
  <c r="AI288" i="6"/>
  <c r="AI289" i="6"/>
  <c r="AI290" i="6"/>
  <c r="AI291" i="6"/>
  <c r="AI292" i="6"/>
  <c r="AI293" i="6"/>
  <c r="AI294" i="6"/>
  <c r="AI295" i="6"/>
  <c r="AI296" i="6"/>
  <c r="AI297" i="6"/>
  <c r="AI298" i="6"/>
  <c r="AI299" i="6"/>
  <c r="AI300" i="6"/>
  <c r="AI301" i="6"/>
  <c r="AI302" i="6"/>
  <c r="AI303" i="6"/>
  <c r="AI304" i="6"/>
  <c r="AI305" i="6"/>
  <c r="AI306" i="6"/>
  <c r="AI307" i="6"/>
  <c r="AI308" i="6"/>
  <c r="AI309" i="6"/>
  <c r="AI310" i="6"/>
  <c r="AI311" i="6"/>
  <c r="AI312" i="6"/>
  <c r="AI313" i="6"/>
  <c r="AI314" i="6"/>
  <c r="AI315" i="6"/>
  <c r="AI316" i="6"/>
  <c r="AI317" i="6"/>
  <c r="AI318" i="6"/>
  <c r="AI319" i="6"/>
  <c r="AI320" i="6"/>
  <c r="AI321" i="6"/>
  <c r="AI322" i="6"/>
  <c r="AI323" i="6"/>
  <c r="AI324" i="6"/>
  <c r="AI325" i="6"/>
  <c r="AI326" i="6"/>
  <c r="AI327" i="6"/>
  <c r="AI328" i="6"/>
  <c r="AI329" i="6"/>
  <c r="AI330" i="6"/>
  <c r="AI331" i="6"/>
  <c r="AI332" i="6"/>
  <c r="AI333" i="6"/>
  <c r="AI334" i="6"/>
  <c r="AI335" i="6"/>
  <c r="AI336" i="6"/>
  <c r="AI337" i="6"/>
  <c r="AI338" i="6"/>
  <c r="AI339" i="6"/>
  <c r="AI340" i="6"/>
  <c r="AI341" i="6"/>
  <c r="AI342" i="6"/>
  <c r="AI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AG136" i="6"/>
  <c r="AG137" i="6"/>
  <c r="AG138" i="6"/>
  <c r="AG139" i="6"/>
  <c r="AG140" i="6"/>
  <c r="AG141" i="6"/>
  <c r="AG142" i="6"/>
  <c r="AG143" i="6"/>
  <c r="AG144" i="6"/>
  <c r="AG145" i="6"/>
  <c r="AG146" i="6"/>
  <c r="AG147" i="6"/>
  <c r="AG148" i="6"/>
  <c r="AG149" i="6"/>
  <c r="AG150" i="6"/>
  <c r="AG151" i="6"/>
  <c r="AG152" i="6"/>
  <c r="AG153" i="6"/>
  <c r="AG154" i="6"/>
  <c r="AG155" i="6"/>
  <c r="AG156" i="6"/>
  <c r="AG157" i="6"/>
  <c r="AG158" i="6"/>
  <c r="AG159" i="6"/>
  <c r="AG160" i="6"/>
  <c r="AG161" i="6"/>
  <c r="AG162" i="6"/>
  <c r="AG163" i="6"/>
  <c r="AG164" i="6"/>
  <c r="AG165" i="6"/>
  <c r="AG166" i="6"/>
  <c r="AG167" i="6"/>
  <c r="AG168" i="6"/>
  <c r="AG169" i="6"/>
  <c r="AG170" i="6"/>
  <c r="AG171" i="6"/>
  <c r="AG172" i="6"/>
  <c r="AG173" i="6"/>
  <c r="AG174" i="6"/>
  <c r="AG175" i="6"/>
  <c r="AG176" i="6"/>
  <c r="AG177" i="6"/>
  <c r="AG178" i="6"/>
  <c r="AG179" i="6"/>
  <c r="AG180" i="6"/>
  <c r="AG181" i="6"/>
  <c r="AG182" i="6"/>
  <c r="AG183" i="6"/>
  <c r="AG184" i="6"/>
  <c r="AG185" i="6"/>
  <c r="AG186" i="6"/>
  <c r="AG187" i="6"/>
  <c r="AG188" i="6"/>
  <c r="AG189" i="6"/>
  <c r="AG190" i="6"/>
  <c r="AG191" i="6"/>
  <c r="AG192" i="6"/>
  <c r="AG193" i="6"/>
  <c r="AG194" i="6"/>
  <c r="AG195" i="6"/>
  <c r="AG196" i="6"/>
  <c r="AG197" i="6"/>
  <c r="AG198" i="6"/>
  <c r="AG199" i="6"/>
  <c r="AG200" i="6"/>
  <c r="AG201" i="6"/>
  <c r="AG202" i="6"/>
  <c r="AG203" i="6"/>
  <c r="AG204" i="6"/>
  <c r="AG205" i="6"/>
  <c r="AG206" i="6"/>
  <c r="AG207" i="6"/>
  <c r="AG208" i="6"/>
  <c r="AG209" i="6"/>
  <c r="AG210" i="6"/>
  <c r="AG211" i="6"/>
  <c r="AG212" i="6"/>
  <c r="AG213" i="6"/>
  <c r="AG214" i="6"/>
  <c r="AG215" i="6"/>
  <c r="AG216" i="6"/>
  <c r="AG217" i="6"/>
  <c r="AG218" i="6"/>
  <c r="AG219" i="6"/>
  <c r="AG220" i="6"/>
  <c r="AG221" i="6"/>
  <c r="AG222" i="6"/>
  <c r="AG223" i="6"/>
  <c r="AG224" i="6"/>
  <c r="AG225" i="6"/>
  <c r="AG226" i="6"/>
  <c r="AG227" i="6"/>
  <c r="AG228" i="6"/>
  <c r="AG229" i="6"/>
  <c r="AG230" i="6"/>
  <c r="AG231" i="6"/>
  <c r="AG232" i="6"/>
  <c r="AG233" i="6"/>
  <c r="AG234" i="6"/>
  <c r="AG235" i="6"/>
  <c r="AG236" i="6"/>
  <c r="AG237" i="6"/>
  <c r="AG238" i="6"/>
  <c r="AG239" i="6"/>
  <c r="AG240" i="6"/>
  <c r="AG241" i="6"/>
  <c r="AG242" i="6"/>
  <c r="AG243" i="6"/>
  <c r="AG244" i="6"/>
  <c r="AG245" i="6"/>
  <c r="AG246" i="6"/>
  <c r="AG247" i="6"/>
  <c r="AG248" i="6"/>
  <c r="AG249" i="6"/>
  <c r="AG250" i="6"/>
  <c r="AG251" i="6"/>
  <c r="AG252" i="6"/>
  <c r="AG253" i="6"/>
  <c r="AG254" i="6"/>
  <c r="AG255" i="6"/>
  <c r="AG256" i="6"/>
  <c r="AG257" i="6"/>
  <c r="AG258" i="6"/>
  <c r="AG259" i="6"/>
  <c r="AG260" i="6"/>
  <c r="AG261" i="6"/>
  <c r="AG262" i="6"/>
  <c r="AG263" i="6"/>
  <c r="AG264" i="6"/>
  <c r="AG265" i="6"/>
  <c r="AG266" i="6"/>
  <c r="AG267" i="6"/>
  <c r="AG268" i="6"/>
  <c r="AG269" i="6"/>
  <c r="AG270" i="6"/>
  <c r="AG271" i="6"/>
  <c r="AG272" i="6"/>
  <c r="AG273" i="6"/>
  <c r="AG274" i="6"/>
  <c r="AG275" i="6"/>
  <c r="AG276" i="6"/>
  <c r="AG277" i="6"/>
  <c r="AG278" i="6"/>
  <c r="AG279" i="6"/>
  <c r="AG280" i="6"/>
  <c r="AG281" i="6"/>
  <c r="AG282" i="6"/>
  <c r="AG283" i="6"/>
  <c r="AG284" i="6"/>
  <c r="AG285" i="6"/>
  <c r="AG286" i="6"/>
  <c r="AG287" i="6"/>
  <c r="AG288" i="6"/>
  <c r="AG289" i="6"/>
  <c r="AG290" i="6"/>
  <c r="AG291" i="6"/>
  <c r="AG292" i="6"/>
  <c r="AG293" i="6"/>
  <c r="AG294" i="6"/>
  <c r="AG295" i="6"/>
  <c r="AG296" i="6"/>
  <c r="AG297" i="6"/>
  <c r="AG298" i="6"/>
  <c r="AG299" i="6"/>
  <c r="AG300" i="6"/>
  <c r="AG301" i="6"/>
  <c r="AG302" i="6"/>
  <c r="AG303" i="6"/>
  <c r="AG304" i="6"/>
  <c r="AG305" i="6"/>
  <c r="AG306" i="6"/>
  <c r="AG307" i="6"/>
  <c r="AG308" i="6"/>
  <c r="AG309" i="6"/>
  <c r="AG310" i="6"/>
  <c r="AG311" i="6"/>
  <c r="AG312" i="6"/>
  <c r="AG313" i="6"/>
  <c r="AG314" i="6"/>
  <c r="AG315" i="6"/>
  <c r="AG316" i="6"/>
  <c r="AG317" i="6"/>
  <c r="AG318" i="6"/>
  <c r="AG319" i="6"/>
  <c r="AG320" i="6"/>
  <c r="AG321" i="6"/>
  <c r="AG322" i="6"/>
  <c r="AG323" i="6"/>
  <c r="AG324" i="6"/>
  <c r="AG325" i="6"/>
  <c r="AG326" i="6"/>
  <c r="AG327" i="6"/>
  <c r="AG328" i="6"/>
  <c r="AG329" i="6"/>
  <c r="AG330" i="6"/>
  <c r="AG331" i="6"/>
  <c r="AG332" i="6"/>
  <c r="AG333" i="6"/>
  <c r="AG334" i="6"/>
  <c r="AG335" i="6"/>
  <c r="AG336" i="6"/>
  <c r="AG337" i="6"/>
  <c r="AG338" i="6"/>
  <c r="AG339" i="6"/>
  <c r="AG340" i="6"/>
  <c r="AG341" i="6"/>
  <c r="AG342" i="6"/>
  <c r="AG5" i="6"/>
  <c r="AF25" i="6"/>
  <c r="AF26" i="6"/>
  <c r="AF27" i="6"/>
  <c r="AF28" i="6"/>
  <c r="AF29" i="6"/>
  <c r="AF30" i="6"/>
  <c r="AF31" i="6"/>
  <c r="AF32" i="6"/>
  <c r="AF33" i="6"/>
  <c r="AF34" i="6"/>
  <c r="AF35" i="6"/>
  <c r="AF36" i="6"/>
  <c r="AF37" i="6"/>
  <c r="AF38" i="6"/>
  <c r="AF39" i="6"/>
  <c r="AF40" i="6"/>
  <c r="AF41" i="6"/>
  <c r="AF42" i="6"/>
  <c r="AF43" i="6"/>
  <c r="AF44" i="6"/>
  <c r="AF45" i="6"/>
  <c r="AF46" i="6"/>
  <c r="AF47" i="6"/>
  <c r="AF48" i="6"/>
  <c r="AF49" i="6"/>
  <c r="AF50" i="6"/>
  <c r="AF51" i="6"/>
  <c r="AF52" i="6"/>
  <c r="AF53" i="6"/>
  <c r="AF54" i="6"/>
  <c r="AF55" i="6"/>
  <c r="AF56" i="6"/>
  <c r="AF57" i="6"/>
  <c r="AF58" i="6"/>
  <c r="AF59" i="6"/>
  <c r="AF60" i="6"/>
  <c r="AF61" i="6"/>
  <c r="AF62" i="6"/>
  <c r="AF63" i="6"/>
  <c r="AF64" i="6"/>
  <c r="AF65" i="6"/>
  <c r="AF66" i="6"/>
  <c r="AF67" i="6"/>
  <c r="AF68" i="6"/>
  <c r="AF69" i="6"/>
  <c r="AF70" i="6"/>
  <c r="AF71" i="6"/>
  <c r="AF72" i="6"/>
  <c r="AF73" i="6"/>
  <c r="AF74" i="6"/>
  <c r="AF75" i="6"/>
  <c r="AF76" i="6"/>
  <c r="AF77" i="6"/>
  <c r="AF78" i="6"/>
  <c r="AF79" i="6"/>
  <c r="AF80" i="6"/>
  <c r="AF81" i="6"/>
  <c r="AF82" i="6"/>
  <c r="AF83" i="6"/>
  <c r="AF84" i="6"/>
  <c r="AF85" i="6"/>
  <c r="AF86" i="6"/>
  <c r="AF87" i="6"/>
  <c r="AF88" i="6"/>
  <c r="AF89" i="6"/>
  <c r="AF90" i="6"/>
  <c r="AF91" i="6"/>
  <c r="AF92" i="6"/>
  <c r="AF93" i="6"/>
  <c r="AF94" i="6"/>
  <c r="AF95" i="6"/>
  <c r="AF96" i="6"/>
  <c r="AF97" i="6"/>
  <c r="AF98" i="6"/>
  <c r="AF99" i="6"/>
  <c r="AF100" i="6"/>
  <c r="AF101" i="6"/>
  <c r="AF102" i="6"/>
  <c r="AF103" i="6"/>
  <c r="AF104" i="6"/>
  <c r="AF105" i="6"/>
  <c r="AF106" i="6"/>
  <c r="AF107" i="6"/>
  <c r="AF108" i="6"/>
  <c r="AF109" i="6"/>
  <c r="AF110" i="6"/>
  <c r="AF111" i="6"/>
  <c r="AF112" i="6"/>
  <c r="AF113" i="6"/>
  <c r="AF114" i="6"/>
  <c r="AF115" i="6"/>
  <c r="AF116" i="6"/>
  <c r="AF117" i="6"/>
  <c r="AF118" i="6"/>
  <c r="AF119" i="6"/>
  <c r="AF120" i="6"/>
  <c r="AF121" i="6"/>
  <c r="AF122" i="6"/>
  <c r="AF123" i="6"/>
  <c r="AF124" i="6"/>
  <c r="AF125" i="6"/>
  <c r="AF126" i="6"/>
  <c r="AF127" i="6"/>
  <c r="AF128" i="6"/>
  <c r="AF129" i="6"/>
  <c r="AF130" i="6"/>
  <c r="AF131" i="6"/>
  <c r="AF132" i="6"/>
  <c r="AF133" i="6"/>
  <c r="AF134" i="6"/>
  <c r="AF135" i="6"/>
  <c r="AF136" i="6"/>
  <c r="AF137" i="6"/>
  <c r="AF138" i="6"/>
  <c r="AF139" i="6"/>
  <c r="AF140" i="6"/>
  <c r="AF141" i="6"/>
  <c r="AF142" i="6"/>
  <c r="AF143" i="6"/>
  <c r="AF144" i="6"/>
  <c r="AF145" i="6"/>
  <c r="AF146" i="6"/>
  <c r="AF147" i="6"/>
  <c r="AF148" i="6"/>
  <c r="AF149" i="6"/>
  <c r="AF150" i="6"/>
  <c r="AF151" i="6"/>
  <c r="AF152" i="6"/>
  <c r="AF153" i="6"/>
  <c r="AF154" i="6"/>
  <c r="AF155" i="6"/>
  <c r="AF156" i="6"/>
  <c r="AF157" i="6"/>
  <c r="AF158" i="6"/>
  <c r="AF159" i="6"/>
  <c r="AF160" i="6"/>
  <c r="AF161" i="6"/>
  <c r="AF162" i="6"/>
  <c r="AF163" i="6"/>
  <c r="AF164" i="6"/>
  <c r="AF165" i="6"/>
  <c r="AF166" i="6"/>
  <c r="AF167" i="6"/>
  <c r="AF168" i="6"/>
  <c r="AF169" i="6"/>
  <c r="AF170" i="6"/>
  <c r="AF171" i="6"/>
  <c r="AF172" i="6"/>
  <c r="AF173" i="6"/>
  <c r="AF174" i="6"/>
  <c r="AF175" i="6"/>
  <c r="AF176" i="6"/>
  <c r="AF177" i="6"/>
  <c r="AF178" i="6"/>
  <c r="AF179" i="6"/>
  <c r="AF180" i="6"/>
  <c r="AF181" i="6"/>
  <c r="AF182" i="6"/>
  <c r="AF183" i="6"/>
  <c r="AF184" i="6"/>
  <c r="AF185" i="6"/>
  <c r="AF186" i="6"/>
  <c r="AF187" i="6"/>
  <c r="AF188" i="6"/>
  <c r="AF189" i="6"/>
  <c r="AF190" i="6"/>
  <c r="AF191" i="6"/>
  <c r="AF192" i="6"/>
  <c r="AF193" i="6"/>
  <c r="AF194" i="6"/>
  <c r="AF195" i="6"/>
  <c r="AF196" i="6"/>
  <c r="AF197" i="6"/>
  <c r="AF198" i="6"/>
  <c r="AF199" i="6"/>
  <c r="AF200" i="6"/>
  <c r="AF201" i="6"/>
  <c r="AF202" i="6"/>
  <c r="AF203" i="6"/>
  <c r="AF204" i="6"/>
  <c r="AF205" i="6"/>
  <c r="AF206" i="6"/>
  <c r="AF207" i="6"/>
  <c r="AF208" i="6"/>
  <c r="AF209" i="6"/>
  <c r="AF210" i="6"/>
  <c r="AF211" i="6"/>
  <c r="AF212" i="6"/>
  <c r="AF213" i="6"/>
  <c r="AF214" i="6"/>
  <c r="AF215" i="6"/>
  <c r="AF216" i="6"/>
  <c r="AF217" i="6"/>
  <c r="AF218" i="6"/>
  <c r="AF219" i="6"/>
  <c r="AF220" i="6"/>
  <c r="AF221" i="6"/>
  <c r="AF222" i="6"/>
  <c r="AF223" i="6"/>
  <c r="AF224" i="6"/>
  <c r="AF225" i="6"/>
  <c r="AF226" i="6"/>
  <c r="AF227" i="6"/>
  <c r="AF228" i="6"/>
  <c r="AF229" i="6"/>
  <c r="AF230" i="6"/>
  <c r="AF231" i="6"/>
  <c r="AF232" i="6"/>
  <c r="AF233" i="6"/>
  <c r="AF234" i="6"/>
  <c r="AF235" i="6"/>
  <c r="AF236" i="6"/>
  <c r="AF237" i="6"/>
  <c r="AF238" i="6"/>
  <c r="AF239" i="6"/>
  <c r="AF240" i="6"/>
  <c r="AF241" i="6"/>
  <c r="AF242" i="6"/>
  <c r="AF243" i="6"/>
  <c r="AF244" i="6"/>
  <c r="AF245" i="6"/>
  <c r="AF246" i="6"/>
  <c r="AF247" i="6"/>
  <c r="AF248" i="6"/>
  <c r="AF249" i="6"/>
  <c r="AF250" i="6"/>
  <c r="AF251" i="6"/>
  <c r="AF252" i="6"/>
  <c r="AF253" i="6"/>
  <c r="AF254" i="6"/>
  <c r="AF255" i="6"/>
  <c r="AF256" i="6"/>
  <c r="AF257" i="6"/>
  <c r="AF258" i="6"/>
  <c r="AF259" i="6"/>
  <c r="AF260" i="6"/>
  <c r="AF261" i="6"/>
  <c r="AF262" i="6"/>
  <c r="AF263" i="6"/>
  <c r="AF264" i="6"/>
  <c r="AF265" i="6"/>
  <c r="AF266" i="6"/>
  <c r="AF267" i="6"/>
  <c r="AF268" i="6"/>
  <c r="AF269" i="6"/>
  <c r="AF270" i="6"/>
  <c r="AF271" i="6"/>
  <c r="AF272" i="6"/>
  <c r="AF273" i="6"/>
  <c r="AF274" i="6"/>
  <c r="AF275" i="6"/>
  <c r="AF276" i="6"/>
  <c r="AF277" i="6"/>
  <c r="AF278" i="6"/>
  <c r="AF279" i="6"/>
  <c r="AF280" i="6"/>
  <c r="AF281" i="6"/>
  <c r="AF282" i="6"/>
  <c r="AF283" i="6"/>
  <c r="AF284" i="6"/>
  <c r="AF285" i="6"/>
  <c r="AF286" i="6"/>
  <c r="AF287" i="6"/>
  <c r="AF288" i="6"/>
  <c r="AF289" i="6"/>
  <c r="AF290" i="6"/>
  <c r="AF291" i="6"/>
  <c r="AF292" i="6"/>
  <c r="AF293" i="6"/>
  <c r="AF294" i="6"/>
  <c r="AF295" i="6"/>
  <c r="AF296" i="6"/>
  <c r="AF297" i="6"/>
  <c r="AF298" i="6"/>
  <c r="AF299" i="6"/>
  <c r="AF300" i="6"/>
  <c r="AF301" i="6"/>
  <c r="AF302" i="6"/>
  <c r="AF303" i="6"/>
  <c r="AF304" i="6"/>
  <c r="AF305" i="6"/>
  <c r="AF306" i="6"/>
  <c r="AF307" i="6"/>
  <c r="AF308" i="6"/>
  <c r="AF309" i="6"/>
  <c r="AF310" i="6"/>
  <c r="AF311" i="6"/>
  <c r="AF312" i="6"/>
  <c r="AF313" i="6"/>
  <c r="AF314" i="6"/>
  <c r="AF315" i="6"/>
  <c r="AF316" i="6"/>
  <c r="AF317" i="6"/>
  <c r="AF318" i="6"/>
  <c r="AF319" i="6"/>
  <c r="AF320" i="6"/>
  <c r="AF321" i="6"/>
  <c r="AF322" i="6"/>
  <c r="AF323" i="6"/>
  <c r="AF324" i="6"/>
  <c r="AF325" i="6"/>
  <c r="AF326" i="6"/>
  <c r="AF327" i="6"/>
  <c r="AF328" i="6"/>
  <c r="AF329" i="6"/>
  <c r="AF330" i="6"/>
  <c r="AF331" i="6"/>
  <c r="AF332" i="6"/>
  <c r="AF333" i="6"/>
  <c r="AF334" i="6"/>
  <c r="AF335" i="6"/>
  <c r="AF336" i="6"/>
  <c r="AF337" i="6"/>
  <c r="AF338" i="6"/>
  <c r="AF339" i="6"/>
  <c r="AF340" i="6"/>
  <c r="AF341" i="6"/>
  <c r="AF342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5" i="6"/>
  <c r="AE25" i="6"/>
  <c r="AE26" i="6"/>
  <c r="AE27" i="6"/>
  <c r="AE28" i="6"/>
  <c r="AE29" i="6"/>
  <c r="AE30" i="6"/>
  <c r="AE31" i="6"/>
  <c r="AE32" i="6"/>
  <c r="AE33" i="6"/>
  <c r="AE34" i="6"/>
  <c r="AE35" i="6"/>
  <c r="AE36" i="6"/>
  <c r="AE37" i="6"/>
  <c r="AE38" i="6"/>
  <c r="AE39" i="6"/>
  <c r="AE40" i="6"/>
  <c r="AE41" i="6"/>
  <c r="AE42" i="6"/>
  <c r="AE43" i="6"/>
  <c r="AE44" i="6"/>
  <c r="AE45" i="6"/>
  <c r="AE46" i="6"/>
  <c r="AE47" i="6"/>
  <c r="AE48" i="6"/>
  <c r="AE49" i="6"/>
  <c r="AE50" i="6"/>
  <c r="AE51" i="6"/>
  <c r="AE52" i="6"/>
  <c r="AE53" i="6"/>
  <c r="AE54" i="6"/>
  <c r="AE55" i="6"/>
  <c r="AE56" i="6"/>
  <c r="AE57" i="6"/>
  <c r="AE58" i="6"/>
  <c r="AE59" i="6"/>
  <c r="AE60" i="6"/>
  <c r="AE61" i="6"/>
  <c r="AE62" i="6"/>
  <c r="AE63" i="6"/>
  <c r="AE64" i="6"/>
  <c r="AE65" i="6"/>
  <c r="AE66" i="6"/>
  <c r="AE67" i="6"/>
  <c r="AE68" i="6"/>
  <c r="AE69" i="6"/>
  <c r="AE70" i="6"/>
  <c r="AE71" i="6"/>
  <c r="AE72" i="6"/>
  <c r="AE73" i="6"/>
  <c r="AE74" i="6"/>
  <c r="AE75" i="6"/>
  <c r="AE76" i="6"/>
  <c r="AE77" i="6"/>
  <c r="AE78" i="6"/>
  <c r="AE79" i="6"/>
  <c r="AE80" i="6"/>
  <c r="AE81" i="6"/>
  <c r="AE82" i="6"/>
  <c r="AE83" i="6"/>
  <c r="AE84" i="6"/>
  <c r="AE85" i="6"/>
  <c r="AE86" i="6"/>
  <c r="AE87" i="6"/>
  <c r="AE88" i="6"/>
  <c r="AE89" i="6"/>
  <c r="AE90" i="6"/>
  <c r="AE91" i="6"/>
  <c r="AE92" i="6"/>
  <c r="AE93" i="6"/>
  <c r="AE94" i="6"/>
  <c r="AE95" i="6"/>
  <c r="AE96" i="6"/>
  <c r="AE97" i="6"/>
  <c r="AE98" i="6"/>
  <c r="AE99" i="6"/>
  <c r="AE100" i="6"/>
  <c r="AE101" i="6"/>
  <c r="AE102" i="6"/>
  <c r="AE103" i="6"/>
  <c r="AE104" i="6"/>
  <c r="AE105" i="6"/>
  <c r="AE106" i="6"/>
  <c r="AE107" i="6"/>
  <c r="AE108" i="6"/>
  <c r="AE109" i="6"/>
  <c r="AE110" i="6"/>
  <c r="AE111" i="6"/>
  <c r="AE112" i="6"/>
  <c r="AE113" i="6"/>
  <c r="AE114" i="6"/>
  <c r="AE115" i="6"/>
  <c r="AE116" i="6"/>
  <c r="AE117" i="6"/>
  <c r="AE118" i="6"/>
  <c r="AE119" i="6"/>
  <c r="AE120" i="6"/>
  <c r="AE121" i="6"/>
  <c r="AE122" i="6"/>
  <c r="AE123" i="6"/>
  <c r="AE124" i="6"/>
  <c r="AE125" i="6"/>
  <c r="AE126" i="6"/>
  <c r="AE127" i="6"/>
  <c r="AE128" i="6"/>
  <c r="AE129" i="6"/>
  <c r="AE130" i="6"/>
  <c r="AE131" i="6"/>
  <c r="AE132" i="6"/>
  <c r="AE133" i="6"/>
  <c r="AE134" i="6"/>
  <c r="AE135" i="6"/>
  <c r="AE136" i="6"/>
  <c r="AE137" i="6"/>
  <c r="AE138" i="6"/>
  <c r="AE139" i="6"/>
  <c r="AE140" i="6"/>
  <c r="AE141" i="6"/>
  <c r="AE142" i="6"/>
  <c r="AE143" i="6"/>
  <c r="AE144" i="6"/>
  <c r="AE145" i="6"/>
  <c r="AE146" i="6"/>
  <c r="AE147" i="6"/>
  <c r="AE148" i="6"/>
  <c r="AE149" i="6"/>
  <c r="AE150" i="6"/>
  <c r="AE151" i="6"/>
  <c r="AE152" i="6"/>
  <c r="AE153" i="6"/>
  <c r="AE154" i="6"/>
  <c r="AE155" i="6"/>
  <c r="AE156" i="6"/>
  <c r="AE157" i="6"/>
  <c r="AE158" i="6"/>
  <c r="AE159" i="6"/>
  <c r="AE160" i="6"/>
  <c r="AE161" i="6"/>
  <c r="AE162" i="6"/>
  <c r="AE163" i="6"/>
  <c r="AE164" i="6"/>
  <c r="AE165" i="6"/>
  <c r="AE166" i="6"/>
  <c r="AE167" i="6"/>
  <c r="AE168" i="6"/>
  <c r="AE169" i="6"/>
  <c r="AE170" i="6"/>
  <c r="AE171" i="6"/>
  <c r="AE172" i="6"/>
  <c r="AE173" i="6"/>
  <c r="AE174" i="6"/>
  <c r="AE175" i="6"/>
  <c r="AE176" i="6"/>
  <c r="AE177" i="6"/>
  <c r="AE178" i="6"/>
  <c r="AE179" i="6"/>
  <c r="AE180" i="6"/>
  <c r="AE181" i="6"/>
  <c r="AE182" i="6"/>
  <c r="AE183" i="6"/>
  <c r="AE184" i="6"/>
  <c r="AE185" i="6"/>
  <c r="AE186" i="6"/>
  <c r="AE187" i="6"/>
  <c r="AE188" i="6"/>
  <c r="AE189" i="6"/>
  <c r="AE190" i="6"/>
  <c r="AE191" i="6"/>
  <c r="AE192" i="6"/>
  <c r="AE193" i="6"/>
  <c r="AE194" i="6"/>
  <c r="AE195" i="6"/>
  <c r="AE196" i="6"/>
  <c r="AE197" i="6"/>
  <c r="AE198" i="6"/>
  <c r="AE199" i="6"/>
  <c r="AE200" i="6"/>
  <c r="AE201" i="6"/>
  <c r="AE202" i="6"/>
  <c r="AE203" i="6"/>
  <c r="AE204" i="6"/>
  <c r="AE205" i="6"/>
  <c r="AE206" i="6"/>
  <c r="AE207" i="6"/>
  <c r="AE208" i="6"/>
  <c r="AE209" i="6"/>
  <c r="AE210" i="6"/>
  <c r="AE211" i="6"/>
  <c r="AE212" i="6"/>
  <c r="AE213" i="6"/>
  <c r="AE214" i="6"/>
  <c r="AE215" i="6"/>
  <c r="AE216" i="6"/>
  <c r="AE217" i="6"/>
  <c r="AE218" i="6"/>
  <c r="AE219" i="6"/>
  <c r="AE220" i="6"/>
  <c r="AE221" i="6"/>
  <c r="AE222" i="6"/>
  <c r="AE223" i="6"/>
  <c r="AE224" i="6"/>
  <c r="AE225" i="6"/>
  <c r="AE226" i="6"/>
  <c r="AE227" i="6"/>
  <c r="AE228" i="6"/>
  <c r="AE229" i="6"/>
  <c r="AE230" i="6"/>
  <c r="AE231" i="6"/>
  <c r="AE232" i="6"/>
  <c r="AE233" i="6"/>
  <c r="AE234" i="6"/>
  <c r="AE235" i="6"/>
  <c r="AE236" i="6"/>
  <c r="AE237" i="6"/>
  <c r="AE238" i="6"/>
  <c r="AE239" i="6"/>
  <c r="AE240" i="6"/>
  <c r="AE241" i="6"/>
  <c r="AE242" i="6"/>
  <c r="AE243" i="6"/>
  <c r="AE244" i="6"/>
  <c r="AE245" i="6"/>
  <c r="AE246" i="6"/>
  <c r="AE247" i="6"/>
  <c r="AE248" i="6"/>
  <c r="AE249" i="6"/>
  <c r="AE250" i="6"/>
  <c r="AE251" i="6"/>
  <c r="AE252" i="6"/>
  <c r="AE253" i="6"/>
  <c r="AE254" i="6"/>
  <c r="AE255" i="6"/>
  <c r="AE256" i="6"/>
  <c r="AE257" i="6"/>
  <c r="AE258" i="6"/>
  <c r="AE259" i="6"/>
  <c r="AE260" i="6"/>
  <c r="AE261" i="6"/>
  <c r="AE262" i="6"/>
  <c r="AE263" i="6"/>
  <c r="AE264" i="6"/>
  <c r="AE265" i="6"/>
  <c r="AE266" i="6"/>
  <c r="AE267" i="6"/>
  <c r="AE268" i="6"/>
  <c r="AE269" i="6"/>
  <c r="AE270" i="6"/>
  <c r="AE271" i="6"/>
  <c r="AE272" i="6"/>
  <c r="AE273" i="6"/>
  <c r="AE274" i="6"/>
  <c r="AE275" i="6"/>
  <c r="AE276" i="6"/>
  <c r="AE277" i="6"/>
  <c r="AE278" i="6"/>
  <c r="AE279" i="6"/>
  <c r="AE280" i="6"/>
  <c r="AE281" i="6"/>
  <c r="AE282" i="6"/>
  <c r="AE283" i="6"/>
  <c r="AE284" i="6"/>
  <c r="AE285" i="6"/>
  <c r="AE286" i="6"/>
  <c r="AE287" i="6"/>
  <c r="AE288" i="6"/>
  <c r="AE289" i="6"/>
  <c r="AE290" i="6"/>
  <c r="AE291" i="6"/>
  <c r="AE292" i="6"/>
  <c r="AE293" i="6"/>
  <c r="AE294" i="6"/>
  <c r="AE295" i="6"/>
  <c r="AE296" i="6"/>
  <c r="AE297" i="6"/>
  <c r="AE298" i="6"/>
  <c r="AE299" i="6"/>
  <c r="AE300" i="6"/>
  <c r="AE301" i="6"/>
  <c r="AE302" i="6"/>
  <c r="AE303" i="6"/>
  <c r="AE304" i="6"/>
  <c r="AE305" i="6"/>
  <c r="AE306" i="6"/>
  <c r="AE307" i="6"/>
  <c r="AE308" i="6"/>
  <c r="AE309" i="6"/>
  <c r="AE310" i="6"/>
  <c r="AE311" i="6"/>
  <c r="AE312" i="6"/>
  <c r="AE313" i="6"/>
  <c r="AE314" i="6"/>
  <c r="AE315" i="6"/>
  <c r="AE316" i="6"/>
  <c r="AE317" i="6"/>
  <c r="AE318" i="6"/>
  <c r="AE319" i="6"/>
  <c r="AE320" i="6"/>
  <c r="AE321" i="6"/>
  <c r="AE322" i="6"/>
  <c r="AE323" i="6"/>
  <c r="AE324" i="6"/>
  <c r="AE325" i="6"/>
  <c r="AE326" i="6"/>
  <c r="AE327" i="6"/>
  <c r="AE328" i="6"/>
  <c r="AE329" i="6"/>
  <c r="AE330" i="6"/>
  <c r="AE331" i="6"/>
  <c r="AE332" i="6"/>
  <c r="AE333" i="6"/>
  <c r="AE334" i="6"/>
  <c r="AE335" i="6"/>
  <c r="AE336" i="6"/>
  <c r="AE337" i="6"/>
  <c r="AE338" i="6"/>
  <c r="AE339" i="6"/>
  <c r="AE340" i="6"/>
  <c r="AE341" i="6"/>
  <c r="AE342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132" i="6"/>
  <c r="AC133" i="6"/>
  <c r="AC134" i="6"/>
  <c r="AC135" i="6"/>
  <c r="AC136" i="6"/>
  <c r="AC137" i="6"/>
  <c r="AC138" i="6"/>
  <c r="AC139" i="6"/>
  <c r="AC140" i="6"/>
  <c r="AC141" i="6"/>
  <c r="AC142" i="6"/>
  <c r="AC143" i="6"/>
  <c r="AC144" i="6"/>
  <c r="AC145" i="6"/>
  <c r="AC146" i="6"/>
  <c r="AC147" i="6"/>
  <c r="AC148" i="6"/>
  <c r="AC149" i="6"/>
  <c r="AC150" i="6"/>
  <c r="AC151" i="6"/>
  <c r="AC152" i="6"/>
  <c r="AC153" i="6"/>
  <c r="AC154" i="6"/>
  <c r="AC155" i="6"/>
  <c r="AC156" i="6"/>
  <c r="AC157" i="6"/>
  <c r="AC158" i="6"/>
  <c r="AC159" i="6"/>
  <c r="AC160" i="6"/>
  <c r="AC161" i="6"/>
  <c r="AC162" i="6"/>
  <c r="AC163" i="6"/>
  <c r="AC164" i="6"/>
  <c r="AC165" i="6"/>
  <c r="AC166" i="6"/>
  <c r="AC167" i="6"/>
  <c r="AC168" i="6"/>
  <c r="AC169" i="6"/>
  <c r="AC170" i="6"/>
  <c r="AC171" i="6"/>
  <c r="AC172" i="6"/>
  <c r="AC173" i="6"/>
  <c r="AC174" i="6"/>
  <c r="AC175" i="6"/>
  <c r="AC176" i="6"/>
  <c r="AC177" i="6"/>
  <c r="AC178" i="6"/>
  <c r="AC179" i="6"/>
  <c r="AC180" i="6"/>
  <c r="AC181" i="6"/>
  <c r="AC182" i="6"/>
  <c r="AC183" i="6"/>
  <c r="AC184" i="6"/>
  <c r="AC185" i="6"/>
  <c r="AC186" i="6"/>
  <c r="AC187" i="6"/>
  <c r="AC188" i="6"/>
  <c r="AC189" i="6"/>
  <c r="AC190" i="6"/>
  <c r="AC191" i="6"/>
  <c r="AC192" i="6"/>
  <c r="AC193" i="6"/>
  <c r="AC194" i="6"/>
  <c r="AC195" i="6"/>
  <c r="AC196" i="6"/>
  <c r="AC197" i="6"/>
  <c r="AC198" i="6"/>
  <c r="AC199" i="6"/>
  <c r="AC200" i="6"/>
  <c r="AC201" i="6"/>
  <c r="AC202" i="6"/>
  <c r="AC203" i="6"/>
  <c r="AC204" i="6"/>
  <c r="AC205" i="6"/>
  <c r="AC206" i="6"/>
  <c r="AC207" i="6"/>
  <c r="AC208" i="6"/>
  <c r="AC209" i="6"/>
  <c r="AC210" i="6"/>
  <c r="AC211" i="6"/>
  <c r="AC212" i="6"/>
  <c r="AC213" i="6"/>
  <c r="AC214" i="6"/>
  <c r="AC215" i="6"/>
  <c r="AC216" i="6"/>
  <c r="AC217" i="6"/>
  <c r="AC218" i="6"/>
  <c r="AC219" i="6"/>
  <c r="AC220" i="6"/>
  <c r="AC221" i="6"/>
  <c r="AC222" i="6"/>
  <c r="AC223" i="6"/>
  <c r="AC224" i="6"/>
  <c r="AC225" i="6"/>
  <c r="AC226" i="6"/>
  <c r="AC227" i="6"/>
  <c r="AC228" i="6"/>
  <c r="AC229" i="6"/>
  <c r="AC230" i="6"/>
  <c r="AC231" i="6"/>
  <c r="AC232" i="6"/>
  <c r="AC233" i="6"/>
  <c r="AC234" i="6"/>
  <c r="AC235" i="6"/>
  <c r="AC236" i="6"/>
  <c r="AC237" i="6"/>
  <c r="AC238" i="6"/>
  <c r="AC239" i="6"/>
  <c r="AC240" i="6"/>
  <c r="AC241" i="6"/>
  <c r="AC242" i="6"/>
  <c r="AC243" i="6"/>
  <c r="AC244" i="6"/>
  <c r="AC245" i="6"/>
  <c r="AC246" i="6"/>
  <c r="AC247" i="6"/>
  <c r="AC248" i="6"/>
  <c r="AC249" i="6"/>
  <c r="AC250" i="6"/>
  <c r="AC251" i="6"/>
  <c r="AC252" i="6"/>
  <c r="AC253" i="6"/>
  <c r="AC254" i="6"/>
  <c r="AC255" i="6"/>
  <c r="AC256" i="6"/>
  <c r="AC257" i="6"/>
  <c r="AC258" i="6"/>
  <c r="AC259" i="6"/>
  <c r="AC260" i="6"/>
  <c r="AC261" i="6"/>
  <c r="AC262" i="6"/>
  <c r="AC263" i="6"/>
  <c r="AC264" i="6"/>
  <c r="AC265" i="6"/>
  <c r="AC266" i="6"/>
  <c r="AC267" i="6"/>
  <c r="AC268" i="6"/>
  <c r="AC269" i="6"/>
  <c r="AC270" i="6"/>
  <c r="AC271" i="6"/>
  <c r="AC272" i="6"/>
  <c r="AC273" i="6"/>
  <c r="AC274" i="6"/>
  <c r="AC275" i="6"/>
  <c r="AC276" i="6"/>
  <c r="AC277" i="6"/>
  <c r="AC278" i="6"/>
  <c r="AC279" i="6"/>
  <c r="AC280" i="6"/>
  <c r="AC281" i="6"/>
  <c r="AC282" i="6"/>
  <c r="AC283" i="6"/>
  <c r="AC284" i="6"/>
  <c r="AC285" i="6"/>
  <c r="AC286" i="6"/>
  <c r="AC287" i="6"/>
  <c r="AC288" i="6"/>
  <c r="AC289" i="6"/>
  <c r="AC290" i="6"/>
  <c r="AC291" i="6"/>
  <c r="AC292" i="6"/>
  <c r="AC293" i="6"/>
  <c r="AC294" i="6"/>
  <c r="AC295" i="6"/>
  <c r="AC296" i="6"/>
  <c r="AC297" i="6"/>
  <c r="AC298" i="6"/>
  <c r="AC299" i="6"/>
  <c r="AC300" i="6"/>
  <c r="AC301" i="6"/>
  <c r="AC302" i="6"/>
  <c r="AC303" i="6"/>
  <c r="AC304" i="6"/>
  <c r="AC305" i="6"/>
  <c r="AC306" i="6"/>
  <c r="AC307" i="6"/>
  <c r="AC308" i="6"/>
  <c r="AC309" i="6"/>
  <c r="AC310" i="6"/>
  <c r="AC311" i="6"/>
  <c r="AC312" i="6"/>
  <c r="AC313" i="6"/>
  <c r="AC314" i="6"/>
  <c r="AC315" i="6"/>
  <c r="AC316" i="6"/>
  <c r="AC317" i="6"/>
  <c r="AC318" i="6"/>
  <c r="AC319" i="6"/>
  <c r="AC320" i="6"/>
  <c r="AC321" i="6"/>
  <c r="AC322" i="6"/>
  <c r="AC323" i="6"/>
  <c r="AC324" i="6"/>
  <c r="AC325" i="6"/>
  <c r="AC326" i="6"/>
  <c r="AC327" i="6"/>
  <c r="AC328" i="6"/>
  <c r="AC329" i="6"/>
  <c r="AC330" i="6"/>
  <c r="AC331" i="6"/>
  <c r="AC332" i="6"/>
  <c r="AC333" i="6"/>
  <c r="AC334" i="6"/>
  <c r="AC335" i="6"/>
  <c r="AC336" i="6"/>
  <c r="AC337" i="6"/>
  <c r="AC338" i="6"/>
  <c r="AC339" i="6"/>
  <c r="AC340" i="6"/>
  <c r="AC341" i="6"/>
  <c r="AC342" i="6"/>
  <c r="AC5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67" i="6"/>
  <c r="Z68" i="6"/>
  <c r="Z69" i="6"/>
  <c r="Z70" i="6"/>
  <c r="Z71" i="6"/>
  <c r="Z72" i="6"/>
  <c r="Z73" i="6"/>
  <c r="Z74" i="6"/>
  <c r="Z75" i="6"/>
  <c r="Z76" i="6"/>
  <c r="Z77" i="6"/>
  <c r="Z78" i="6"/>
  <c r="Z79" i="6"/>
  <c r="Z80" i="6"/>
  <c r="Z81" i="6"/>
  <c r="Z82" i="6"/>
  <c r="Z83" i="6"/>
  <c r="Z84" i="6"/>
  <c r="Z85" i="6"/>
  <c r="Z86" i="6"/>
  <c r="Z87" i="6"/>
  <c r="Z88" i="6"/>
  <c r="Z89" i="6"/>
  <c r="Z90" i="6"/>
  <c r="Z91" i="6"/>
  <c r="Z92" i="6"/>
  <c r="Z93" i="6"/>
  <c r="Z94" i="6"/>
  <c r="Z95" i="6"/>
  <c r="Z96" i="6"/>
  <c r="Z97" i="6"/>
  <c r="Z98" i="6"/>
  <c r="Z99" i="6"/>
  <c r="Z100" i="6"/>
  <c r="Z101" i="6"/>
  <c r="Z102" i="6"/>
  <c r="Z103" i="6"/>
  <c r="Z104" i="6"/>
  <c r="Z105" i="6"/>
  <c r="Z106" i="6"/>
  <c r="Z107" i="6"/>
  <c r="Z108" i="6"/>
  <c r="Z109" i="6"/>
  <c r="Z110" i="6"/>
  <c r="Z111" i="6"/>
  <c r="Z112" i="6"/>
  <c r="Z113" i="6"/>
  <c r="Z114" i="6"/>
  <c r="Z115" i="6"/>
  <c r="Z116" i="6"/>
  <c r="Z117" i="6"/>
  <c r="Z118" i="6"/>
  <c r="Z119" i="6"/>
  <c r="Z120" i="6"/>
  <c r="Z121" i="6"/>
  <c r="Z122" i="6"/>
  <c r="Z123" i="6"/>
  <c r="Z124" i="6"/>
  <c r="Z125" i="6"/>
  <c r="Z126" i="6"/>
  <c r="Z127" i="6"/>
  <c r="Z128" i="6"/>
  <c r="Z129" i="6"/>
  <c r="Z130" i="6"/>
  <c r="Z131" i="6"/>
  <c r="Z132" i="6"/>
  <c r="Z133" i="6"/>
  <c r="Z134" i="6"/>
  <c r="Z135" i="6"/>
  <c r="Z136" i="6"/>
  <c r="Z137" i="6"/>
  <c r="Z138" i="6"/>
  <c r="Z139" i="6"/>
  <c r="Z140" i="6"/>
  <c r="Z141" i="6"/>
  <c r="Z142" i="6"/>
  <c r="Z143" i="6"/>
  <c r="Z144" i="6"/>
  <c r="Z145" i="6"/>
  <c r="Z146" i="6"/>
  <c r="Z147" i="6"/>
  <c r="Z148" i="6"/>
  <c r="Z149" i="6"/>
  <c r="Z150" i="6"/>
  <c r="Z151" i="6"/>
  <c r="Z152" i="6"/>
  <c r="Z153" i="6"/>
  <c r="Z154" i="6"/>
  <c r="Z155" i="6"/>
  <c r="Z156" i="6"/>
  <c r="Z157" i="6"/>
  <c r="Z158" i="6"/>
  <c r="Z159" i="6"/>
  <c r="Z160" i="6"/>
  <c r="Z161" i="6"/>
  <c r="Z162" i="6"/>
  <c r="Z163" i="6"/>
  <c r="Z164" i="6"/>
  <c r="Z165" i="6"/>
  <c r="Z166" i="6"/>
  <c r="Z167" i="6"/>
  <c r="Z168" i="6"/>
  <c r="Z169" i="6"/>
  <c r="Z170" i="6"/>
  <c r="Z171" i="6"/>
  <c r="Z172" i="6"/>
  <c r="Z173" i="6"/>
  <c r="Z174" i="6"/>
  <c r="Z175" i="6"/>
  <c r="Z176" i="6"/>
  <c r="Z177" i="6"/>
  <c r="Z178" i="6"/>
  <c r="Z179" i="6"/>
  <c r="Z180" i="6"/>
  <c r="Z181" i="6"/>
  <c r="Z182" i="6"/>
  <c r="Z183" i="6"/>
  <c r="Z184" i="6"/>
  <c r="Z185" i="6"/>
  <c r="Z186" i="6"/>
  <c r="Z187" i="6"/>
  <c r="Z188" i="6"/>
  <c r="Z189" i="6"/>
  <c r="Z190" i="6"/>
  <c r="Z191" i="6"/>
  <c r="Z192" i="6"/>
  <c r="Z193" i="6"/>
  <c r="Z194" i="6"/>
  <c r="Z195" i="6"/>
  <c r="Z196" i="6"/>
  <c r="Z197" i="6"/>
  <c r="Z198" i="6"/>
  <c r="Z199" i="6"/>
  <c r="Z200" i="6"/>
  <c r="Z201" i="6"/>
  <c r="Z202" i="6"/>
  <c r="Z203" i="6"/>
  <c r="Z204" i="6"/>
  <c r="Z205" i="6"/>
  <c r="Z206" i="6"/>
  <c r="Z207" i="6"/>
  <c r="Z208" i="6"/>
  <c r="Z209" i="6"/>
  <c r="Z210" i="6"/>
  <c r="Z211" i="6"/>
  <c r="Z212" i="6"/>
  <c r="Z213" i="6"/>
  <c r="Z214" i="6"/>
  <c r="Z215" i="6"/>
  <c r="Z216" i="6"/>
  <c r="Z217" i="6"/>
  <c r="Z218" i="6"/>
  <c r="Z219" i="6"/>
  <c r="Z220" i="6"/>
  <c r="Z221" i="6"/>
  <c r="Z222" i="6"/>
  <c r="Z223" i="6"/>
  <c r="Z224" i="6"/>
  <c r="Z225" i="6"/>
  <c r="Z226" i="6"/>
  <c r="Z227" i="6"/>
  <c r="Z228" i="6"/>
  <c r="Z229" i="6"/>
  <c r="Z230" i="6"/>
  <c r="Z231" i="6"/>
  <c r="Z232" i="6"/>
  <c r="Z233" i="6"/>
  <c r="Z234" i="6"/>
  <c r="Z235" i="6"/>
  <c r="Z236" i="6"/>
  <c r="Z237" i="6"/>
  <c r="Z238" i="6"/>
  <c r="Z239" i="6"/>
  <c r="Z240" i="6"/>
  <c r="Z241" i="6"/>
  <c r="Z242" i="6"/>
  <c r="Z243" i="6"/>
  <c r="Z244" i="6"/>
  <c r="Z245" i="6"/>
  <c r="Z246" i="6"/>
  <c r="Z247" i="6"/>
  <c r="Z248" i="6"/>
  <c r="Z249" i="6"/>
  <c r="Z250" i="6"/>
  <c r="Z251" i="6"/>
  <c r="Z252" i="6"/>
  <c r="Z253" i="6"/>
  <c r="Z254" i="6"/>
  <c r="Z255" i="6"/>
  <c r="Z256" i="6"/>
  <c r="Z257" i="6"/>
  <c r="Z258" i="6"/>
  <c r="Z259" i="6"/>
  <c r="Z260" i="6"/>
  <c r="Z261" i="6"/>
  <c r="Z262" i="6"/>
  <c r="Z263" i="6"/>
  <c r="Z264" i="6"/>
  <c r="Z265" i="6"/>
  <c r="Z266" i="6"/>
  <c r="Z267" i="6"/>
  <c r="Z268" i="6"/>
  <c r="Z269" i="6"/>
  <c r="Z270" i="6"/>
  <c r="Z271" i="6"/>
  <c r="Z272" i="6"/>
  <c r="Z273" i="6"/>
  <c r="Z274" i="6"/>
  <c r="Z275" i="6"/>
  <c r="Z276" i="6"/>
  <c r="Z277" i="6"/>
  <c r="Z278" i="6"/>
  <c r="Z279" i="6"/>
  <c r="Z280" i="6"/>
  <c r="Z281" i="6"/>
  <c r="Z282" i="6"/>
  <c r="Z283" i="6"/>
  <c r="Z284" i="6"/>
  <c r="Z285" i="6"/>
  <c r="Z286" i="6"/>
  <c r="Z287" i="6"/>
  <c r="Z288" i="6"/>
  <c r="Z289" i="6"/>
  <c r="Z290" i="6"/>
  <c r="Z291" i="6"/>
  <c r="Z292" i="6"/>
  <c r="Z293" i="6"/>
  <c r="Z294" i="6"/>
  <c r="Z295" i="6"/>
  <c r="Z296" i="6"/>
  <c r="Z297" i="6"/>
  <c r="Z298" i="6"/>
  <c r="Z299" i="6"/>
  <c r="Z300" i="6"/>
  <c r="Z301" i="6"/>
  <c r="Z302" i="6"/>
  <c r="Z303" i="6"/>
  <c r="Z304" i="6"/>
  <c r="Z305" i="6"/>
  <c r="Z306" i="6"/>
  <c r="Z307" i="6"/>
  <c r="Z308" i="6"/>
  <c r="Z309" i="6"/>
  <c r="Z310" i="6"/>
  <c r="Z311" i="6"/>
  <c r="Z312" i="6"/>
  <c r="Z313" i="6"/>
  <c r="Z314" i="6"/>
  <c r="Z315" i="6"/>
  <c r="Z316" i="6"/>
  <c r="Z317" i="6"/>
  <c r="Z318" i="6"/>
  <c r="Z319" i="6"/>
  <c r="Z320" i="6"/>
  <c r="Z321" i="6"/>
  <c r="Z322" i="6"/>
  <c r="Z323" i="6"/>
  <c r="Z324" i="6"/>
  <c r="Z325" i="6"/>
  <c r="Z326" i="6"/>
  <c r="Z327" i="6"/>
  <c r="Z328" i="6"/>
  <c r="Z329" i="6"/>
  <c r="Z330" i="6"/>
  <c r="Z331" i="6"/>
  <c r="Z332" i="6"/>
  <c r="Z333" i="6"/>
  <c r="Z334" i="6"/>
  <c r="Z335" i="6"/>
  <c r="Z336" i="6"/>
  <c r="Z337" i="6"/>
  <c r="Z338" i="6"/>
  <c r="Z339" i="6"/>
  <c r="Z340" i="6"/>
  <c r="Z341" i="6"/>
  <c r="Z342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309" i="6"/>
  <c r="Y310" i="6"/>
  <c r="Y311" i="6"/>
  <c r="Y312" i="6"/>
  <c r="Y313" i="6"/>
  <c r="Y314" i="6"/>
  <c r="Y315" i="6"/>
  <c r="Y316" i="6"/>
  <c r="Y317" i="6"/>
  <c r="Y318" i="6"/>
  <c r="Y319" i="6"/>
  <c r="Y320" i="6"/>
  <c r="Y321" i="6"/>
  <c r="Y322" i="6"/>
  <c r="Y323" i="6"/>
  <c r="Y324" i="6"/>
  <c r="Y325" i="6"/>
  <c r="Y326" i="6"/>
  <c r="Y327" i="6"/>
  <c r="Y328" i="6"/>
  <c r="Y329" i="6"/>
  <c r="Y330" i="6"/>
  <c r="Y331" i="6"/>
  <c r="Y332" i="6"/>
  <c r="Y333" i="6"/>
  <c r="Y334" i="6"/>
  <c r="Y335" i="6"/>
  <c r="Y336" i="6"/>
  <c r="Y337" i="6"/>
  <c r="Y338" i="6"/>
  <c r="Y339" i="6"/>
  <c r="Y340" i="6"/>
  <c r="Y341" i="6"/>
  <c r="Y342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Z5" i="6"/>
  <c r="Y5" i="6"/>
  <c r="R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5" i="6"/>
  <c r="E5" i="6"/>
  <c r="F5" i="6" s="1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5" i="6"/>
  <c r="BB18" i="6" l="1" a="1"/>
  <c r="BB19" i="6" a="1"/>
  <c r="BB23" i="6" a="1"/>
  <c r="BB30" i="6" a="1"/>
  <c r="BB34" i="6" a="1"/>
  <c r="BB36" i="6" a="1"/>
  <c r="BB40" i="6" a="1"/>
  <c r="BB46" i="6" a="1"/>
  <c r="BB47" i="6" a="1"/>
  <c r="BB48" i="6" a="1"/>
  <c r="BB59" i="6" a="1"/>
  <c r="BB64" i="6" a="1"/>
  <c r="BB77" i="6" a="1"/>
  <c r="BB87" i="6" a="1"/>
  <c r="BB90" i="6" a="1"/>
  <c r="BB91" i="6" a="1"/>
  <c r="BB93" i="6" a="1"/>
  <c r="BB112" i="6" a="1"/>
  <c r="BB115" i="6" a="1"/>
  <c r="BB117" i="6" a="1"/>
  <c r="BB124" i="6" a="1"/>
  <c r="BB126" i="6" a="1"/>
  <c r="BB127" i="6" a="1"/>
  <c r="BB129" i="6" a="1"/>
  <c r="BB132" i="6" a="1"/>
  <c r="BB133" i="6" a="1"/>
  <c r="BB136" i="6" a="1"/>
  <c r="BB139" i="6" a="1"/>
  <c r="BB153" i="6" a="1"/>
  <c r="BB155" i="6" a="1"/>
  <c r="BB159" i="6" a="1"/>
  <c r="BB162" i="6" a="1"/>
  <c r="BB167" i="6" a="1"/>
  <c r="BB172" i="6" a="1"/>
  <c r="BB179" i="6" a="1"/>
  <c r="BB185" i="6" a="1"/>
  <c r="BB193" i="6" a="1"/>
  <c r="BB199" i="6" a="1"/>
  <c r="BB200" i="6" a="1"/>
  <c r="BB201" i="6" a="1"/>
  <c r="BB204" i="6" a="1"/>
  <c r="BB207" i="6" a="1"/>
  <c r="BB210" i="6" a="1"/>
  <c r="BB214" i="6" a="1"/>
  <c r="F214" i="6"/>
  <c r="BB215" i="6" a="1"/>
  <c r="F215" i="6"/>
  <c r="BB216" i="6" a="1"/>
  <c r="F216" i="6"/>
  <c r="BB217" i="6" a="1"/>
  <c r="F217" i="6"/>
  <c r="BB219" i="6" a="1"/>
  <c r="F219" i="6"/>
  <c r="BB221" i="6" a="1"/>
  <c r="F221" i="6"/>
  <c r="BB223" i="6" a="1"/>
  <c r="F223" i="6"/>
  <c r="BB224" i="6" a="1"/>
  <c r="F224" i="6"/>
  <c r="BB225" i="6" a="1"/>
  <c r="F225" i="6"/>
  <c r="BB226" i="6" a="1"/>
  <c r="F226" i="6"/>
  <c r="BB227" i="6" a="1"/>
  <c r="F227" i="6"/>
  <c r="BB228" i="6" a="1"/>
  <c r="F228" i="6"/>
  <c r="BB229" i="6" a="1"/>
  <c r="F229" i="6"/>
  <c r="BB230" i="6" a="1"/>
  <c r="F230" i="6"/>
  <c r="BB231" i="6" a="1"/>
  <c r="F231" i="6"/>
  <c r="BB232" i="6" a="1"/>
  <c r="F232" i="6"/>
  <c r="BB233" i="6" a="1"/>
  <c r="F233" i="6"/>
  <c r="BB235" i="6" a="1"/>
  <c r="F235" i="6"/>
  <c r="BB236" i="6" a="1"/>
  <c r="F236" i="6"/>
  <c r="BB237" i="6" a="1"/>
  <c r="F237" i="6"/>
  <c r="BB239" i="6" a="1"/>
  <c r="F239" i="6"/>
  <c r="BB240" i="6" a="1"/>
  <c r="F240" i="6"/>
  <c r="BB241" i="6" a="1"/>
  <c r="F241" i="6"/>
  <c r="BB242" i="6" a="1"/>
  <c r="F242" i="6"/>
  <c r="BB243" i="6" a="1"/>
  <c r="F243" i="6"/>
  <c r="BB244" i="6" a="1"/>
  <c r="F244" i="6"/>
  <c r="BB246" i="6" a="1"/>
  <c r="F246" i="6"/>
  <c r="BB247" i="6" a="1"/>
  <c r="F247" i="6"/>
  <c r="BB248" i="6" a="1"/>
  <c r="F248" i="6"/>
  <c r="BB249" i="6" a="1"/>
  <c r="F249" i="6"/>
  <c r="BB250" i="6" a="1"/>
  <c r="F250" i="6"/>
  <c r="BB251" i="6" a="1"/>
  <c r="F251" i="6"/>
  <c r="BB252" i="6" a="1"/>
  <c r="F252" i="6"/>
  <c r="BB253" i="6" a="1"/>
  <c r="F253" i="6"/>
  <c r="BB254" i="6" a="1"/>
  <c r="F254" i="6"/>
  <c r="BB255" i="6" a="1"/>
  <c r="F255" i="6"/>
  <c r="BB256" i="6" a="1"/>
  <c r="F256" i="6"/>
  <c r="BB257" i="6" a="1"/>
  <c r="F257" i="6"/>
  <c r="BB258" i="6" a="1"/>
  <c r="F258" i="6"/>
  <c r="BB259" i="6" a="1"/>
  <c r="F259" i="6"/>
  <c r="BB260" i="6" a="1"/>
  <c r="F260" i="6"/>
  <c r="BB261" i="6" a="1"/>
  <c r="F261" i="6"/>
  <c r="BB265" i="6" a="1"/>
  <c r="F265" i="6"/>
  <c r="BB266" i="6" a="1"/>
  <c r="F266" i="6"/>
  <c r="BB268" i="6" a="1"/>
  <c r="F268" i="6"/>
  <c r="BB269" i="6" a="1"/>
  <c r="F269" i="6"/>
  <c r="BB271" i="6" a="1"/>
  <c r="F271" i="6"/>
  <c r="BB272" i="6" a="1"/>
  <c r="F272" i="6"/>
  <c r="BB273" i="6" a="1"/>
  <c r="F273" i="6"/>
  <c r="BB274" i="6" a="1"/>
  <c r="F274" i="6"/>
  <c r="BB275" i="6" a="1"/>
  <c r="F275" i="6"/>
  <c r="BB276" i="6" a="1"/>
  <c r="F276" i="6"/>
  <c r="BB277" i="6" a="1"/>
  <c r="F277" i="6"/>
  <c r="BB279" i="6" a="1"/>
  <c r="F279" i="6"/>
  <c r="BB281" i="6" a="1"/>
  <c r="F281" i="6"/>
  <c r="BB282" i="6" a="1"/>
  <c r="F282" i="6"/>
  <c r="BB283" i="6" a="1"/>
  <c r="F283" i="6"/>
  <c r="BB284" i="6" a="1"/>
  <c r="F284" i="6"/>
  <c r="BB285" i="6" a="1"/>
  <c r="F285" i="6"/>
  <c r="BB286" i="6" a="1"/>
  <c r="F286" i="6"/>
  <c r="BB287" i="6" a="1"/>
  <c r="F287" i="6"/>
  <c r="BB288" i="6" a="1"/>
  <c r="F288" i="6"/>
  <c r="BB290" i="6" a="1"/>
  <c r="F290" i="6"/>
  <c r="BB291" i="6" a="1"/>
  <c r="F291" i="6"/>
  <c r="BB293" i="6" a="1"/>
  <c r="F293" i="6"/>
  <c r="BB295" i="6" a="1"/>
  <c r="F295" i="6"/>
  <c r="BB296" i="6" a="1"/>
  <c r="F296" i="6"/>
  <c r="BB297" i="6" a="1"/>
  <c r="F297" i="6"/>
  <c r="BB298" i="6" a="1"/>
  <c r="F298" i="6"/>
  <c r="BB299" i="6" a="1"/>
  <c r="F299" i="6"/>
  <c r="BB301" i="6" a="1"/>
  <c r="F301" i="6"/>
  <c r="BB302" i="6" a="1"/>
  <c r="F302" i="6"/>
  <c r="BB303" i="6" a="1"/>
  <c r="F303" i="6"/>
  <c r="BB305" i="6" a="1"/>
  <c r="F305" i="6"/>
  <c r="BB307" i="6" a="1"/>
  <c r="F307" i="6"/>
  <c r="BB309" i="6" a="1"/>
  <c r="F309" i="6"/>
  <c r="BB310" i="6" a="1"/>
  <c r="F310" i="6"/>
  <c r="BB312" i="6" a="1"/>
  <c r="F312" i="6"/>
  <c r="BB313" i="6" a="1"/>
  <c r="F313" i="6"/>
  <c r="BB314" i="6" a="1"/>
  <c r="F314" i="6"/>
  <c r="BB315" i="6" a="1"/>
  <c r="F315" i="6"/>
  <c r="BB316" i="6" a="1"/>
  <c r="F316" i="6"/>
  <c r="BB317" i="6" a="1"/>
  <c r="F317" i="6"/>
  <c r="BB318" i="6" a="1"/>
  <c r="F318" i="6"/>
  <c r="BB319" i="6" a="1"/>
  <c r="F319" i="6"/>
  <c r="BB320" i="6" a="1"/>
  <c r="F320" i="6"/>
  <c r="BB321" i="6" a="1"/>
  <c r="F321" i="6"/>
  <c r="BB322" i="6" a="1"/>
  <c r="F322" i="6"/>
  <c r="BB323" i="6" a="1"/>
  <c r="F323" i="6"/>
  <c r="BB324" i="6" a="1"/>
  <c r="F324" i="6"/>
  <c r="BB325" i="6" a="1"/>
  <c r="F325" i="6"/>
  <c r="BB326" i="6" a="1"/>
  <c r="F326" i="6"/>
  <c r="BB327" i="6" a="1"/>
  <c r="F327" i="6"/>
  <c r="BB328" i="6" a="1"/>
  <c r="F328" i="6"/>
  <c r="BB330" i="6" a="1"/>
  <c r="F330" i="6"/>
  <c r="BB331" i="6" a="1"/>
  <c r="F331" i="6"/>
  <c r="BB332" i="6" a="1"/>
  <c r="F332" i="6"/>
  <c r="BB333" i="6" a="1"/>
  <c r="F333" i="6"/>
  <c r="BB334" i="6" a="1"/>
  <c r="F334" i="6"/>
  <c r="BB336" i="6" a="1"/>
  <c r="F336" i="6"/>
  <c r="BB338" i="6" a="1"/>
  <c r="F338" i="6"/>
  <c r="BB339" i="6" a="1"/>
  <c r="F339" i="6"/>
  <c r="BB340" i="6" a="1"/>
  <c r="F340" i="6"/>
  <c r="BB341" i="6" a="1"/>
  <c r="F341" i="6"/>
  <c r="BB342" i="6" a="1"/>
  <c r="F342" i="6"/>
  <c r="F15" i="6"/>
  <c r="BB15" i="6" a="1"/>
  <c r="F16" i="6"/>
  <c r="BB16" i="6" a="1"/>
  <c r="F17" i="6"/>
  <c r="BB17" i="6" a="1"/>
  <c r="F20" i="6"/>
  <c r="BB20" i="6" a="1"/>
  <c r="F21" i="6"/>
  <c r="BB21" i="6" a="1"/>
  <c r="F22" i="6"/>
  <c r="BB22" i="6" a="1"/>
  <c r="F24" i="6"/>
  <c r="BB24" i="6" a="1"/>
  <c r="F25" i="6"/>
  <c r="BB25" i="6" a="1"/>
  <c r="F26" i="6"/>
  <c r="BB26" i="6" a="1"/>
  <c r="F27" i="6"/>
  <c r="BB27" i="6" a="1"/>
  <c r="F28" i="6"/>
  <c r="BB28" i="6" a="1"/>
  <c r="F29" i="6"/>
  <c r="BB29" i="6" a="1"/>
  <c r="F31" i="6"/>
  <c r="BB31" i="6" a="1"/>
  <c r="F32" i="6"/>
  <c r="BB32" i="6" a="1"/>
  <c r="F33" i="6"/>
  <c r="BB33" i="6" a="1"/>
  <c r="F35" i="6"/>
  <c r="BB35" i="6" a="1"/>
  <c r="F37" i="6"/>
  <c r="BB37" i="6" a="1"/>
  <c r="F38" i="6"/>
  <c r="BB38" i="6" a="1"/>
  <c r="F39" i="6"/>
  <c r="BB39" i="6" a="1"/>
  <c r="F41" i="6"/>
  <c r="BB41" i="6" a="1"/>
  <c r="F42" i="6"/>
  <c r="BB42" i="6" a="1"/>
  <c r="F43" i="6"/>
  <c r="BB43" i="6" a="1"/>
  <c r="F44" i="6"/>
  <c r="BB44" i="6" a="1"/>
  <c r="F45" i="6"/>
  <c r="BB45" i="6" a="1"/>
  <c r="F49" i="6"/>
  <c r="BB49" i="6" a="1"/>
  <c r="F50" i="6"/>
  <c r="BB50" i="6" a="1"/>
  <c r="F51" i="6"/>
  <c r="BB51" i="6" a="1"/>
  <c r="F52" i="6"/>
  <c r="BB52" i="6" a="1"/>
  <c r="F53" i="6"/>
  <c r="BB53" i="6" a="1"/>
  <c r="F54" i="6"/>
  <c r="BB54" i="6" a="1"/>
  <c r="F55" i="6"/>
  <c r="BB55" i="6" a="1"/>
  <c r="F56" i="6"/>
  <c r="BB56" i="6" a="1"/>
  <c r="F57" i="6"/>
  <c r="BB57" i="6" a="1"/>
  <c r="F58" i="6"/>
  <c r="BB58" i="6" a="1"/>
  <c r="F60" i="6"/>
  <c r="BB60" i="6" a="1"/>
  <c r="F61" i="6"/>
  <c r="BB61" i="6" a="1"/>
  <c r="F62" i="6"/>
  <c r="BB62" i="6" a="1"/>
  <c r="F63" i="6"/>
  <c r="BB63" i="6" a="1"/>
  <c r="F65" i="6"/>
  <c r="BB65" i="6" a="1"/>
  <c r="F66" i="6"/>
  <c r="BB66" i="6" a="1"/>
  <c r="F67" i="6"/>
  <c r="BB67" i="6" a="1"/>
  <c r="F68" i="6"/>
  <c r="BB68" i="6" a="1"/>
  <c r="F69" i="6"/>
  <c r="BB69" i="6" a="1"/>
  <c r="F70" i="6"/>
  <c r="BB70" i="6" a="1"/>
  <c r="F71" i="6"/>
  <c r="BB71" i="6" a="1"/>
  <c r="F72" i="6"/>
  <c r="BB72" i="6" a="1"/>
  <c r="F73" i="6"/>
  <c r="BB73" i="6" a="1"/>
  <c r="F74" i="6"/>
  <c r="BB74" i="6" a="1"/>
  <c r="F75" i="6"/>
  <c r="BB75" i="6" a="1"/>
  <c r="F76" i="6"/>
  <c r="BB76" i="6" a="1"/>
  <c r="F78" i="6"/>
  <c r="BB78" i="6" a="1"/>
  <c r="F79" i="6"/>
  <c r="BB79" i="6" a="1"/>
  <c r="F80" i="6"/>
  <c r="BB80" i="6" a="1"/>
  <c r="F81" i="6"/>
  <c r="BB81" i="6" a="1"/>
  <c r="F82" i="6"/>
  <c r="BB82" i="6" a="1"/>
  <c r="F83" i="6"/>
  <c r="BB83" i="6" a="1"/>
  <c r="F84" i="6"/>
  <c r="BB84" i="6" a="1"/>
  <c r="F85" i="6"/>
  <c r="BB85" i="6" a="1"/>
  <c r="F86" i="6"/>
  <c r="BB86" i="6" a="1"/>
  <c r="F88" i="6"/>
  <c r="BB88" i="6" a="1"/>
  <c r="F89" i="6"/>
  <c r="BB89" i="6" a="1"/>
  <c r="F92" i="6"/>
  <c r="BB92" i="6" a="1"/>
  <c r="F94" i="6"/>
  <c r="BB94" i="6" a="1"/>
  <c r="F95" i="6"/>
  <c r="BB95" i="6" a="1"/>
  <c r="F96" i="6"/>
  <c r="BB96" i="6" a="1"/>
  <c r="F97" i="6"/>
  <c r="BB97" i="6" a="1"/>
  <c r="F98" i="6"/>
  <c r="BB98" i="6" a="1"/>
  <c r="F99" i="6"/>
  <c r="BB99" i="6" a="1"/>
  <c r="F100" i="6"/>
  <c r="BB100" i="6" a="1"/>
  <c r="F101" i="6"/>
  <c r="BB101" i="6" a="1"/>
  <c r="F102" i="6"/>
  <c r="BB102" i="6" a="1"/>
  <c r="F103" i="6"/>
  <c r="BB103" i="6" a="1"/>
  <c r="F104" i="6"/>
  <c r="BB104" i="6" a="1"/>
  <c r="F105" i="6"/>
  <c r="BB105" i="6" a="1"/>
  <c r="F106" i="6"/>
  <c r="BB106" i="6" a="1"/>
  <c r="F107" i="6"/>
  <c r="BB107" i="6" a="1"/>
  <c r="F108" i="6"/>
  <c r="BB108" i="6" a="1"/>
  <c r="F109" i="6"/>
  <c r="BB109" i="6" a="1"/>
  <c r="F110" i="6"/>
  <c r="BB110" i="6" a="1"/>
  <c r="F111" i="6"/>
  <c r="BB111" i="6" a="1"/>
  <c r="F113" i="6"/>
  <c r="BB113" i="6" a="1"/>
  <c r="F114" i="6"/>
  <c r="BB114" i="6" a="1"/>
  <c r="F116" i="6"/>
  <c r="BB116" i="6" a="1"/>
  <c r="F118" i="6"/>
  <c r="BB118" i="6" a="1"/>
  <c r="F119" i="6"/>
  <c r="BB119" i="6" a="1"/>
  <c r="F120" i="6"/>
  <c r="BB120" i="6" a="1"/>
  <c r="F121" i="6"/>
  <c r="BB121" i="6" a="1"/>
  <c r="F122" i="6"/>
  <c r="BB122" i="6" a="1"/>
  <c r="F123" i="6"/>
  <c r="BB123" i="6" a="1"/>
  <c r="F125" i="6"/>
  <c r="BB125" i="6" a="1"/>
  <c r="F128" i="6"/>
  <c r="BB128" i="6" a="1"/>
  <c r="F130" i="6"/>
  <c r="BB130" i="6" a="1"/>
  <c r="F131" i="6"/>
  <c r="BB131" i="6" a="1"/>
  <c r="F134" i="6"/>
  <c r="BB134" i="6" a="1"/>
  <c r="F135" i="6"/>
  <c r="BB135" i="6" a="1"/>
  <c r="F137" i="6"/>
  <c r="BB137" i="6" a="1"/>
  <c r="F138" i="6"/>
  <c r="BB138" i="6" a="1"/>
  <c r="F140" i="6"/>
  <c r="BB140" i="6" a="1"/>
  <c r="F141" i="6"/>
  <c r="BB141" i="6" a="1"/>
  <c r="F142" i="6"/>
  <c r="BB142" i="6" a="1"/>
  <c r="F143" i="6"/>
  <c r="BB143" i="6" a="1"/>
  <c r="F144" i="6"/>
  <c r="BB144" i="6" a="1"/>
  <c r="F145" i="6"/>
  <c r="BB145" i="6" a="1"/>
  <c r="F146" i="6"/>
  <c r="BB146" i="6" a="1"/>
  <c r="F147" i="6"/>
  <c r="BB147" i="6" a="1"/>
  <c r="F148" i="6"/>
  <c r="BB148" i="6" a="1"/>
  <c r="F149" i="6"/>
  <c r="BB149" i="6" a="1"/>
  <c r="F150" i="6"/>
  <c r="BB150" i="6" a="1"/>
  <c r="F151" i="6"/>
  <c r="BB151" i="6" a="1"/>
  <c r="F152" i="6"/>
  <c r="BB152" i="6" a="1"/>
  <c r="F154" i="6"/>
  <c r="BB154" i="6" a="1"/>
  <c r="F156" i="6"/>
  <c r="BB156" i="6" a="1"/>
  <c r="F157" i="6"/>
  <c r="BB157" i="6" a="1"/>
  <c r="F158" i="6"/>
  <c r="BB158" i="6" a="1"/>
  <c r="F160" i="6"/>
  <c r="BB160" i="6" a="1"/>
  <c r="F161" i="6"/>
  <c r="BB161" i="6" a="1"/>
  <c r="F163" i="6"/>
  <c r="BB163" i="6" a="1"/>
  <c r="F164" i="6"/>
  <c r="BB164" i="6" a="1"/>
  <c r="F165" i="6"/>
  <c r="BB165" i="6" a="1"/>
  <c r="F166" i="6"/>
  <c r="BB166" i="6" a="1"/>
  <c r="F168" i="6"/>
  <c r="BB168" i="6" a="1"/>
  <c r="F169" i="6"/>
  <c r="BB169" i="6" a="1"/>
  <c r="F170" i="6"/>
  <c r="BB170" i="6" a="1"/>
  <c r="F171" i="6"/>
  <c r="BB171" i="6" a="1"/>
  <c r="F173" i="6"/>
  <c r="BB173" i="6" a="1"/>
  <c r="F174" i="6"/>
  <c r="BB174" i="6" a="1"/>
  <c r="F175" i="6"/>
  <c r="BB175" i="6" a="1"/>
  <c r="F176" i="6"/>
  <c r="BB176" i="6" a="1"/>
  <c r="F177" i="6"/>
  <c r="BB177" i="6" a="1"/>
  <c r="F178" i="6"/>
  <c r="BB178" i="6" a="1"/>
  <c r="F180" i="6"/>
  <c r="BB180" i="6" a="1"/>
  <c r="F181" i="6"/>
  <c r="BB181" i="6" a="1"/>
  <c r="F182" i="6"/>
  <c r="BB182" i="6" a="1"/>
  <c r="F183" i="6"/>
  <c r="BB183" i="6" a="1"/>
  <c r="F184" i="6"/>
  <c r="BB184" i="6" a="1"/>
  <c r="F186" i="6"/>
  <c r="BB186" i="6" a="1"/>
  <c r="F187" i="6"/>
  <c r="BB187" i="6" a="1"/>
  <c r="F188" i="6"/>
  <c r="BB188" i="6" a="1"/>
  <c r="F189" i="6"/>
  <c r="BB189" i="6" a="1"/>
  <c r="F190" i="6"/>
  <c r="BB190" i="6" a="1"/>
  <c r="F191" i="6"/>
  <c r="BB191" i="6" a="1"/>
  <c r="F192" i="6"/>
  <c r="BB192" i="6" a="1"/>
  <c r="F194" i="6"/>
  <c r="BB194" i="6" a="1"/>
  <c r="F195" i="6"/>
  <c r="BB195" i="6" a="1"/>
  <c r="F196" i="6"/>
  <c r="BB196" i="6" a="1"/>
  <c r="F197" i="6"/>
  <c r="BB197" i="6" a="1"/>
  <c r="F198" i="6"/>
  <c r="BB198" i="6" a="1"/>
  <c r="F202" i="6"/>
  <c r="BB202" i="6" a="1"/>
  <c r="F203" i="6"/>
  <c r="BB203" i="6" a="1"/>
  <c r="F205" i="6"/>
  <c r="BB205" i="6" a="1"/>
  <c r="F206" i="6"/>
  <c r="BB206" i="6" a="1"/>
  <c r="F208" i="6"/>
  <c r="BB208" i="6" a="1"/>
  <c r="F209" i="6"/>
  <c r="BB209" i="6" a="1"/>
  <c r="F211" i="6"/>
  <c r="BB211" i="6" a="1"/>
  <c r="F212" i="6"/>
  <c r="BB212" i="6" a="1"/>
  <c r="F213" i="6"/>
  <c r="BB213" i="6" a="1"/>
  <c r="O6" i="6"/>
  <c r="Q6" i="6"/>
  <c r="O7" i="6"/>
  <c r="Q7" i="6"/>
  <c r="O8" i="6"/>
  <c r="Q8" i="6"/>
  <c r="Q9" i="6"/>
  <c r="O9" i="6"/>
  <c r="Q10" i="6"/>
  <c r="O10" i="6"/>
  <c r="O11" i="6"/>
  <c r="Q11" i="6"/>
  <c r="Q12" i="6"/>
  <c r="O12" i="6"/>
  <c r="O13" i="6"/>
  <c r="Q13" i="6"/>
  <c r="O14" i="6"/>
  <c r="Q14" i="6"/>
  <c r="O15" i="6"/>
  <c r="Q15" i="6"/>
  <c r="O16" i="6"/>
  <c r="Q16" i="6"/>
  <c r="Q17" i="6"/>
  <c r="O17" i="6"/>
  <c r="Q18" i="6"/>
  <c r="O18" i="6"/>
  <c r="Q19" i="6"/>
  <c r="O19" i="6"/>
  <c r="Q20" i="6"/>
  <c r="O20" i="6"/>
  <c r="Q21" i="6"/>
  <c r="O21" i="6"/>
  <c r="Q22" i="6"/>
  <c r="O22" i="6"/>
  <c r="Q23" i="6"/>
  <c r="O23" i="6"/>
  <c r="Q24" i="6"/>
  <c r="O24" i="6"/>
  <c r="Q25" i="6"/>
  <c r="O25" i="6"/>
  <c r="Q26" i="6"/>
  <c r="O26" i="6"/>
  <c r="Q27" i="6"/>
  <c r="O27" i="6"/>
  <c r="Q28" i="6"/>
  <c r="O28" i="6"/>
  <c r="Q29" i="6"/>
  <c r="O29" i="6"/>
  <c r="Q30" i="6"/>
  <c r="O30" i="6"/>
  <c r="O31" i="6"/>
  <c r="Q31" i="6"/>
  <c r="O32" i="6"/>
  <c r="Q32" i="6"/>
  <c r="Q33" i="6"/>
  <c r="O33" i="6"/>
  <c r="O34" i="6"/>
  <c r="Q34" i="6"/>
  <c r="O35" i="6"/>
  <c r="Q35" i="6"/>
  <c r="O36" i="6"/>
  <c r="Q36" i="6"/>
  <c r="O37" i="6"/>
  <c r="Q37" i="6"/>
  <c r="O38" i="6"/>
  <c r="Q38" i="6"/>
  <c r="Q39" i="6"/>
  <c r="O39" i="6"/>
  <c r="O40" i="6"/>
  <c r="Q40" i="6"/>
  <c r="O41" i="6"/>
  <c r="Q41" i="6"/>
  <c r="O42" i="6"/>
  <c r="Q42" i="6"/>
  <c r="O43" i="6"/>
  <c r="Q43" i="6"/>
  <c r="O44" i="6"/>
  <c r="Q44" i="6"/>
  <c r="O45" i="6"/>
  <c r="Q45" i="6"/>
  <c r="O46" i="6"/>
  <c r="Q46" i="6"/>
  <c r="O47" i="6"/>
  <c r="Q47" i="6"/>
  <c r="O48" i="6"/>
  <c r="Q48" i="6"/>
  <c r="O49" i="6"/>
  <c r="Q49" i="6"/>
  <c r="Q50" i="6"/>
  <c r="O50" i="6"/>
  <c r="O51" i="6"/>
  <c r="Q51" i="6"/>
  <c r="O52" i="6"/>
  <c r="Q52" i="6"/>
  <c r="O53" i="6"/>
  <c r="Q53" i="6"/>
  <c r="O54" i="6"/>
  <c r="Q54" i="6"/>
  <c r="O55" i="6"/>
  <c r="Q55" i="6"/>
  <c r="O56" i="6"/>
  <c r="Q56" i="6"/>
  <c r="O57" i="6"/>
  <c r="Q57" i="6"/>
  <c r="O58" i="6"/>
  <c r="Q58" i="6"/>
  <c r="O59" i="6"/>
  <c r="Q59" i="6"/>
  <c r="O60" i="6"/>
  <c r="Q60" i="6"/>
  <c r="O61" i="6"/>
  <c r="Q61" i="6"/>
  <c r="Q62" i="6"/>
  <c r="O62" i="6"/>
  <c r="Q63" i="6"/>
  <c r="O63" i="6"/>
  <c r="Q64" i="6"/>
  <c r="O64" i="6"/>
  <c r="O65" i="6"/>
  <c r="Q65" i="6"/>
  <c r="Q66" i="6"/>
  <c r="O66" i="6"/>
  <c r="O67" i="6"/>
  <c r="Q67" i="6"/>
  <c r="O68" i="6"/>
  <c r="Q68" i="6"/>
  <c r="Q69" i="6"/>
  <c r="O69" i="6"/>
  <c r="Q70" i="6"/>
  <c r="O70" i="6"/>
  <c r="Q71" i="6"/>
  <c r="O71" i="6"/>
  <c r="Q72" i="6"/>
  <c r="O72" i="6"/>
  <c r="O73" i="6"/>
  <c r="Q73" i="6"/>
  <c r="O74" i="6"/>
  <c r="Q74" i="6"/>
  <c r="O75" i="6"/>
  <c r="Q75" i="6"/>
  <c r="O76" i="6"/>
  <c r="Q76" i="6"/>
  <c r="O77" i="6"/>
  <c r="Q77" i="6"/>
  <c r="O78" i="6"/>
  <c r="Q78" i="6"/>
  <c r="O79" i="6"/>
  <c r="Q79" i="6"/>
  <c r="O80" i="6"/>
  <c r="Q80" i="6"/>
  <c r="O81" i="6"/>
  <c r="Q81" i="6"/>
  <c r="O82" i="6"/>
  <c r="Q82" i="6"/>
  <c r="O83" i="6"/>
  <c r="Q83" i="6"/>
  <c r="O84" i="6"/>
  <c r="Q84" i="6"/>
  <c r="O85" i="6"/>
  <c r="Q85" i="6"/>
  <c r="Q86" i="6"/>
  <c r="O86" i="6"/>
  <c r="O87" i="6"/>
  <c r="Q87" i="6"/>
  <c r="Q88" i="6"/>
  <c r="O88" i="6"/>
  <c r="Q89" i="6"/>
  <c r="O89" i="6"/>
  <c r="O90" i="6"/>
  <c r="Q90" i="6"/>
  <c r="Q91" i="6"/>
  <c r="O91" i="6"/>
  <c r="Q92" i="6"/>
  <c r="O92" i="6"/>
  <c r="Q93" i="6"/>
  <c r="O93" i="6"/>
  <c r="O94" i="6"/>
  <c r="Q94" i="6"/>
  <c r="Q95" i="6"/>
  <c r="O95" i="6"/>
  <c r="Q96" i="6"/>
  <c r="O96" i="6"/>
  <c r="Q97" i="6"/>
  <c r="O97" i="6"/>
  <c r="Q98" i="6"/>
  <c r="O98" i="6"/>
  <c r="Q99" i="6"/>
  <c r="O99" i="6"/>
  <c r="Q100" i="6"/>
  <c r="O100" i="6"/>
  <c r="O101" i="6"/>
  <c r="Q101" i="6"/>
  <c r="Q102" i="6"/>
  <c r="O102" i="6"/>
  <c r="O103" i="6"/>
  <c r="Q103" i="6"/>
  <c r="O104" i="6"/>
  <c r="Q104" i="6"/>
  <c r="O105" i="6"/>
  <c r="Q105" i="6"/>
  <c r="O106" i="6"/>
  <c r="Q106" i="6"/>
  <c r="O107" i="6"/>
  <c r="Q107" i="6"/>
  <c r="O108" i="6"/>
  <c r="Q108" i="6"/>
  <c r="O109" i="6"/>
  <c r="Q109" i="6"/>
  <c r="O110" i="6"/>
  <c r="Q110" i="6"/>
  <c r="Q111" i="6"/>
  <c r="O111" i="6"/>
  <c r="Q112" i="6"/>
  <c r="O112" i="6"/>
  <c r="Q113" i="6"/>
  <c r="O113" i="6"/>
  <c r="Q114" i="6"/>
  <c r="O114" i="6"/>
  <c r="Q115" i="6"/>
  <c r="O115" i="6"/>
  <c r="Q116" i="6"/>
  <c r="O116" i="6"/>
  <c r="Q117" i="6"/>
  <c r="O117" i="6"/>
  <c r="Q118" i="6"/>
  <c r="O118" i="6"/>
  <c r="Q119" i="6"/>
  <c r="O119" i="6"/>
  <c r="Q120" i="6"/>
  <c r="O120" i="6"/>
  <c r="O121" i="6"/>
  <c r="Q121" i="6"/>
  <c r="O122" i="6"/>
  <c r="Q122" i="6"/>
  <c r="Q123" i="6"/>
  <c r="O123" i="6"/>
  <c r="Q124" i="6"/>
  <c r="O124" i="6"/>
  <c r="O125" i="6"/>
  <c r="Q125" i="6"/>
  <c r="Q126" i="6"/>
  <c r="O126" i="6"/>
  <c r="Q127" i="6"/>
  <c r="O127" i="6"/>
  <c r="Q128" i="6"/>
  <c r="O128" i="6"/>
  <c r="O129" i="6"/>
  <c r="Q129" i="6"/>
  <c r="Q130" i="6"/>
  <c r="O130" i="6"/>
  <c r="Q131" i="6"/>
  <c r="O131" i="6"/>
  <c r="O132" i="6"/>
  <c r="Q132" i="6"/>
  <c r="Q133" i="6"/>
  <c r="O133" i="6"/>
  <c r="Q134" i="6"/>
  <c r="O134" i="6"/>
  <c r="Q135" i="6"/>
  <c r="O135" i="6"/>
  <c r="Q136" i="6"/>
  <c r="O136" i="6"/>
  <c r="Q137" i="6"/>
  <c r="O137" i="6"/>
  <c r="Q138" i="6"/>
  <c r="O138" i="6"/>
  <c r="Q139" i="6"/>
  <c r="O139" i="6"/>
  <c r="Q140" i="6"/>
  <c r="O140" i="6"/>
  <c r="O141" i="6"/>
  <c r="Q141" i="6"/>
  <c r="Q142" i="6"/>
  <c r="O142" i="6"/>
  <c r="O143" i="6"/>
  <c r="Q143" i="6"/>
  <c r="Q144" i="6"/>
  <c r="O144" i="6"/>
  <c r="O145" i="6"/>
  <c r="Q145" i="6"/>
  <c r="O146" i="6"/>
  <c r="Q146" i="6"/>
  <c r="O147" i="6"/>
  <c r="Q147" i="6"/>
  <c r="O148" i="6"/>
  <c r="Q148" i="6"/>
  <c r="O149" i="6"/>
  <c r="Q149" i="6"/>
  <c r="O150" i="6"/>
  <c r="Q150" i="6"/>
  <c r="O151" i="6"/>
  <c r="Q151" i="6"/>
  <c r="O152" i="6"/>
  <c r="Q152" i="6"/>
  <c r="Q153" i="6"/>
  <c r="O153" i="6"/>
  <c r="Q154" i="6"/>
  <c r="O154" i="6"/>
  <c r="O155" i="6"/>
  <c r="Q155" i="6"/>
  <c r="O156" i="6"/>
  <c r="Q156" i="6"/>
  <c r="Q157" i="6"/>
  <c r="O157" i="6"/>
  <c r="Q158" i="6"/>
  <c r="O158" i="6"/>
  <c r="O159" i="6"/>
  <c r="Q159" i="6"/>
  <c r="O160" i="6"/>
  <c r="Q160" i="6"/>
  <c r="O161" i="6"/>
  <c r="Q161" i="6"/>
  <c r="O162" i="6"/>
  <c r="Q162" i="6"/>
  <c r="Q163" i="6"/>
  <c r="O163" i="6"/>
  <c r="Q164" i="6"/>
  <c r="O164" i="6"/>
  <c r="Q165" i="6"/>
  <c r="O165" i="6"/>
  <c r="Q166" i="6"/>
  <c r="O166" i="6"/>
  <c r="Q167" i="6"/>
  <c r="O167" i="6"/>
  <c r="Q168" i="6"/>
  <c r="O168" i="6"/>
  <c r="O169" i="6"/>
  <c r="Q169" i="6"/>
  <c r="O170" i="6"/>
  <c r="Q170" i="6"/>
  <c r="Q171" i="6"/>
  <c r="O171" i="6"/>
  <c r="Q172" i="6"/>
  <c r="O172" i="6"/>
  <c r="Q173" i="6"/>
  <c r="O173" i="6"/>
  <c r="Q174" i="6"/>
  <c r="O174" i="6"/>
  <c r="O175" i="6"/>
  <c r="Q175" i="6"/>
  <c r="O176" i="6"/>
  <c r="Q176" i="6"/>
  <c r="Q177" i="6"/>
  <c r="O177" i="6"/>
  <c r="Q178" i="6"/>
  <c r="O178" i="6"/>
  <c r="Q179" i="6"/>
  <c r="O179" i="6"/>
  <c r="O180" i="6"/>
  <c r="Q180" i="6"/>
  <c r="O181" i="6"/>
  <c r="Q181" i="6"/>
  <c r="O182" i="6"/>
  <c r="Q182" i="6"/>
  <c r="O183" i="6"/>
  <c r="Q183" i="6"/>
  <c r="O184" i="6"/>
  <c r="Q184" i="6"/>
  <c r="O185" i="6"/>
  <c r="Q185" i="6"/>
  <c r="O186" i="6"/>
  <c r="Q186" i="6"/>
  <c r="Q187" i="6"/>
  <c r="O187" i="6"/>
  <c r="O188" i="6"/>
  <c r="Q188" i="6"/>
  <c r="O189" i="6"/>
  <c r="Q189" i="6"/>
  <c r="O190" i="6"/>
  <c r="Q190" i="6"/>
  <c r="O191" i="6"/>
  <c r="Q191" i="6"/>
  <c r="O192" i="6"/>
  <c r="Q192" i="6"/>
  <c r="O193" i="6"/>
  <c r="Q193" i="6"/>
  <c r="Q194" i="6"/>
  <c r="O194" i="6"/>
  <c r="Q195" i="6"/>
  <c r="O195" i="6"/>
  <c r="Q196" i="6"/>
  <c r="O196" i="6"/>
  <c r="O197" i="6"/>
  <c r="Q197" i="6"/>
  <c r="Q198" i="6"/>
  <c r="O198" i="6"/>
  <c r="Q199" i="6"/>
  <c r="O199" i="6"/>
  <c r="Q200" i="6"/>
  <c r="O200" i="6"/>
  <c r="O201" i="6"/>
  <c r="Q201" i="6"/>
  <c r="Q202" i="6"/>
  <c r="O202" i="6"/>
  <c r="Q203" i="6"/>
  <c r="O203" i="6"/>
  <c r="O204" i="6"/>
  <c r="Q204" i="6"/>
  <c r="Q205" i="6"/>
  <c r="O205" i="6"/>
  <c r="Q206" i="6"/>
  <c r="O206" i="6"/>
  <c r="Q207" i="6"/>
  <c r="O207" i="6"/>
  <c r="Q208" i="6"/>
  <c r="O208" i="6"/>
  <c r="Q209" i="6"/>
  <c r="O209" i="6"/>
  <c r="O210" i="6"/>
  <c r="Q210" i="6"/>
  <c r="Q211" i="6"/>
  <c r="O211" i="6"/>
  <c r="Q212" i="6"/>
  <c r="O212" i="6"/>
  <c r="O213" i="6"/>
  <c r="Q213" i="6"/>
  <c r="O214" i="6"/>
  <c r="Q214" i="6"/>
  <c r="O215" i="6"/>
  <c r="Q215" i="6"/>
  <c r="O216" i="6"/>
  <c r="Q216" i="6"/>
  <c r="O217" i="6"/>
  <c r="Q217" i="6"/>
  <c r="O218" i="6"/>
  <c r="Q218" i="6"/>
  <c r="O219" i="6"/>
  <c r="Q219" i="6"/>
  <c r="O220" i="6"/>
  <c r="Q220" i="6"/>
  <c r="O221" i="6"/>
  <c r="Q221" i="6"/>
  <c r="O222" i="6"/>
  <c r="Q222" i="6"/>
  <c r="O223" i="6"/>
  <c r="Q223" i="6"/>
  <c r="O224" i="6"/>
  <c r="Q224" i="6"/>
  <c r="O225" i="6"/>
  <c r="Q225" i="6"/>
  <c r="O226" i="6"/>
  <c r="Q226" i="6"/>
  <c r="O227" i="6"/>
  <c r="Q227" i="6"/>
  <c r="Q228" i="6"/>
  <c r="O228" i="6"/>
  <c r="Q229" i="6"/>
  <c r="O229" i="6"/>
  <c r="Q230" i="6"/>
  <c r="O230" i="6"/>
  <c r="Q231" i="6"/>
  <c r="O231" i="6"/>
  <c r="Q232" i="6"/>
  <c r="O232" i="6"/>
  <c r="O233" i="6"/>
  <c r="Q233" i="6"/>
  <c r="O234" i="6"/>
  <c r="Q234" i="6"/>
  <c r="O235" i="6"/>
  <c r="Q235" i="6"/>
  <c r="Q236" i="6"/>
  <c r="O236" i="6"/>
  <c r="Q237" i="6"/>
  <c r="O237" i="6"/>
  <c r="O238" i="6"/>
  <c r="Q238" i="6"/>
  <c r="Q239" i="6"/>
  <c r="O239" i="6"/>
  <c r="Q240" i="6"/>
  <c r="O240" i="6"/>
  <c r="Q241" i="6"/>
  <c r="O241" i="6"/>
  <c r="Q242" i="6"/>
  <c r="O242" i="6"/>
  <c r="O243" i="6"/>
  <c r="Q243" i="6"/>
  <c r="O244" i="6"/>
  <c r="Q244" i="6"/>
  <c r="O245" i="6"/>
  <c r="Q245" i="6"/>
  <c r="O246" i="6"/>
  <c r="Q246" i="6"/>
  <c r="O247" i="6"/>
  <c r="Q247" i="6"/>
  <c r="Q248" i="6"/>
  <c r="O248" i="6"/>
  <c r="O249" i="6"/>
  <c r="Q249" i="6"/>
  <c r="Q250" i="6"/>
  <c r="O250" i="6"/>
  <c r="Q251" i="6"/>
  <c r="O251" i="6"/>
  <c r="Q252" i="6"/>
  <c r="O252" i="6"/>
  <c r="Q253" i="6"/>
  <c r="O253" i="6"/>
  <c r="O254" i="6"/>
  <c r="Q254" i="6"/>
  <c r="O255" i="6"/>
  <c r="Q255" i="6"/>
  <c r="O256" i="6"/>
  <c r="Q256" i="6"/>
  <c r="O257" i="6"/>
  <c r="Q257" i="6"/>
  <c r="O258" i="6"/>
  <c r="Q258" i="6"/>
  <c r="O259" i="6"/>
  <c r="Q259" i="6"/>
  <c r="Q260" i="6"/>
  <c r="O260" i="6"/>
  <c r="Q261" i="6"/>
  <c r="O261" i="6"/>
  <c r="Q262" i="6"/>
  <c r="O262" i="6"/>
  <c r="O263" i="6"/>
  <c r="Q263" i="6"/>
  <c r="Q264" i="6"/>
  <c r="O264" i="6"/>
  <c r="O265" i="6"/>
  <c r="Q265" i="6"/>
  <c r="O266" i="6"/>
  <c r="Q266" i="6"/>
  <c r="O267" i="6"/>
  <c r="Q267" i="6"/>
  <c r="Q268" i="6"/>
  <c r="O268" i="6"/>
  <c r="Q269" i="6"/>
  <c r="O269" i="6"/>
  <c r="Q270" i="6"/>
  <c r="O270" i="6"/>
  <c r="O271" i="6"/>
  <c r="Q271" i="6"/>
  <c r="O272" i="6"/>
  <c r="Q272" i="6"/>
  <c r="O273" i="6"/>
  <c r="Q273" i="6"/>
  <c r="O274" i="6"/>
  <c r="Q274" i="6"/>
  <c r="O275" i="6"/>
  <c r="Q275" i="6"/>
  <c r="O276" i="6"/>
  <c r="Q276" i="6"/>
  <c r="Q277" i="6"/>
  <c r="O277" i="6"/>
  <c r="Q278" i="6"/>
  <c r="O278" i="6"/>
  <c r="Q279" i="6"/>
  <c r="O279" i="6"/>
  <c r="Q280" i="6"/>
  <c r="O280" i="6"/>
  <c r="Q281" i="6"/>
  <c r="O281" i="6"/>
  <c r="Q282" i="6"/>
  <c r="O282" i="6"/>
  <c r="Q283" i="6"/>
  <c r="O283" i="6"/>
  <c r="O284" i="6"/>
  <c r="Q284" i="6"/>
  <c r="Q285" i="6"/>
  <c r="O285" i="6"/>
  <c r="Q286" i="6"/>
  <c r="O286" i="6"/>
  <c r="O287" i="6"/>
  <c r="Q287" i="6"/>
  <c r="Q288" i="6"/>
  <c r="O288" i="6"/>
  <c r="Q289" i="6"/>
  <c r="O289" i="6"/>
  <c r="Q290" i="6"/>
  <c r="O290" i="6"/>
  <c r="O291" i="6"/>
  <c r="Q291" i="6"/>
  <c r="O292" i="6"/>
  <c r="Q292" i="6"/>
  <c r="Q293" i="6"/>
  <c r="O293" i="6"/>
  <c r="Q294" i="6"/>
  <c r="O294" i="6"/>
  <c r="Q295" i="6"/>
  <c r="O295" i="6"/>
  <c r="Q296" i="6"/>
  <c r="O296" i="6"/>
  <c r="Q297" i="6"/>
  <c r="O297" i="6"/>
  <c r="Q298" i="6"/>
  <c r="O298" i="6"/>
  <c r="O299" i="6"/>
  <c r="Q299" i="6"/>
  <c r="O300" i="6"/>
  <c r="Q300" i="6"/>
  <c r="O301" i="6"/>
  <c r="Q301" i="6"/>
  <c r="O302" i="6"/>
  <c r="Q302" i="6"/>
  <c r="O303" i="6"/>
  <c r="Q303" i="6"/>
  <c r="O304" i="6"/>
  <c r="Q304" i="6"/>
  <c r="O305" i="6"/>
  <c r="Q305" i="6"/>
  <c r="O306" i="6"/>
  <c r="Q306" i="6"/>
  <c r="Q307" i="6"/>
  <c r="O307" i="6"/>
  <c r="Q308" i="6"/>
  <c r="O308" i="6"/>
  <c r="Q309" i="6"/>
  <c r="O309" i="6"/>
  <c r="Q310" i="6"/>
  <c r="O310" i="6"/>
  <c r="Q311" i="6"/>
  <c r="O311" i="6"/>
  <c r="Q312" i="6"/>
  <c r="O312" i="6"/>
  <c r="Q313" i="6"/>
  <c r="O313" i="6"/>
  <c r="Q314" i="6"/>
  <c r="O314" i="6"/>
  <c r="Q315" i="6"/>
  <c r="O315" i="6"/>
  <c r="Q316" i="6"/>
  <c r="O316" i="6"/>
  <c r="Q317" i="6"/>
  <c r="O317" i="6"/>
  <c r="Q318" i="6"/>
  <c r="O318" i="6"/>
  <c r="O319" i="6"/>
  <c r="Q319" i="6"/>
  <c r="Q320" i="6"/>
  <c r="O320" i="6"/>
  <c r="Q321" i="6"/>
  <c r="O321" i="6"/>
  <c r="Q322" i="6"/>
  <c r="O322" i="6"/>
  <c r="Q323" i="6"/>
  <c r="O323" i="6"/>
  <c r="O324" i="6"/>
  <c r="Q324" i="6"/>
  <c r="O325" i="6"/>
  <c r="Q325" i="6"/>
  <c r="Q326" i="6"/>
  <c r="O326" i="6"/>
  <c r="Q327" i="6"/>
  <c r="O327" i="6"/>
  <c r="Q328" i="6"/>
  <c r="O328" i="6"/>
  <c r="Q329" i="6"/>
  <c r="O329" i="6"/>
  <c r="O330" i="6"/>
  <c r="Q330" i="6"/>
  <c r="Q331" i="6"/>
  <c r="O331" i="6"/>
  <c r="Q332" i="6"/>
  <c r="O332" i="6"/>
  <c r="O333" i="6"/>
  <c r="Q333" i="6"/>
  <c r="O334" i="6"/>
  <c r="Q334" i="6"/>
  <c r="O335" i="6"/>
  <c r="Q335" i="6"/>
  <c r="O336" i="6"/>
  <c r="Q336" i="6"/>
  <c r="O337" i="6"/>
  <c r="Q337" i="6"/>
  <c r="O338" i="6"/>
  <c r="Q338" i="6"/>
  <c r="O339" i="6"/>
  <c r="Q339" i="6"/>
  <c r="O340" i="6"/>
  <c r="Q340" i="6"/>
  <c r="Q341" i="6"/>
  <c r="O341" i="6"/>
  <c r="O342" i="6"/>
  <c r="Q342" i="6"/>
  <c r="O5" i="6"/>
  <c r="Q5" i="6"/>
  <c r="BB220" i="6" a="1"/>
  <c r="BB234" i="6" a="1"/>
  <c r="BB262" i="6" a="1"/>
  <c r="BB267" i="6" a="1"/>
  <c r="BB289" i="6" a="1"/>
  <c r="BB300" i="6" a="1"/>
  <c r="BB311" i="6" a="1"/>
  <c r="BB335" i="6" a="1"/>
  <c r="BB245" i="6" a="1"/>
  <c r="BB270" i="6" a="1"/>
  <c r="BB294" i="6" a="1"/>
  <c r="BB308" i="6" a="1"/>
  <c r="BB264" i="6" a="1"/>
  <c r="BB280" i="6" a="1"/>
  <c r="BB304" i="6" a="1"/>
  <c r="BB329" i="6" a="1"/>
  <c r="BB218" i="6" a="1"/>
  <c r="BB222" i="6" a="1"/>
  <c r="BB238" i="6" a="1"/>
  <c r="BB263" i="6" a="1"/>
  <c r="BB278" i="6" a="1"/>
  <c r="BB292" i="6" a="1"/>
  <c r="BB306" i="6" a="1"/>
  <c r="BB337" i="6" a="1"/>
  <c r="G12" i="6"/>
  <c r="I12" i="6"/>
  <c r="K12" i="6" s="1"/>
  <c r="AJ12" i="6" s="1"/>
  <c r="AK12" i="6" s="1"/>
  <c r="BA12" i="6" s="1"/>
  <c r="AW12" i="6" s="1"/>
  <c r="BB12" i="6" a="1"/>
  <c r="G13" i="6"/>
  <c r="I13" i="6"/>
  <c r="K13" i="6" s="1"/>
  <c r="AJ13" i="6" s="1"/>
  <c r="AK13" i="6" s="1"/>
  <c r="BA13" i="6" s="1"/>
  <c r="AW13" i="6" s="1"/>
  <c r="BB13" i="6" a="1"/>
  <c r="G14" i="6"/>
  <c r="I14" i="6"/>
  <c r="K14" i="6" s="1"/>
  <c r="AJ14" i="6" s="1"/>
  <c r="AK14" i="6" s="1"/>
  <c r="BB14" i="6" a="1"/>
  <c r="G15" i="6"/>
  <c r="I15" i="6"/>
  <c r="K15" i="6" s="1"/>
  <c r="AJ15" i="6" s="1"/>
  <c r="AK15" i="6" s="1"/>
  <c r="G16" i="6"/>
  <c r="I16" i="6"/>
  <c r="K16" i="6" s="1"/>
  <c r="AJ16" i="6" s="1"/>
  <c r="AK16" i="6" s="1"/>
  <c r="BA16" i="6" s="1"/>
  <c r="AW16" i="6" s="1"/>
  <c r="G17" i="6"/>
  <c r="I17" i="6"/>
  <c r="K17" i="6" s="1"/>
  <c r="AJ17" i="6" s="1"/>
  <c r="AK17" i="6" s="1"/>
  <c r="BA17" i="6" s="1"/>
  <c r="AW17" i="6" s="1"/>
  <c r="G18" i="6"/>
  <c r="I18" i="6"/>
  <c r="K18" i="6" s="1"/>
  <c r="AJ18" i="6" s="1"/>
  <c r="AK18" i="6" s="1"/>
  <c r="BA18" i="6" s="1"/>
  <c r="AW18" i="6" s="1"/>
  <c r="G19" i="6"/>
  <c r="I19" i="6"/>
  <c r="K19" i="6" s="1"/>
  <c r="AJ19" i="6" s="1"/>
  <c r="AK19" i="6" s="1"/>
  <c r="BA19" i="6" s="1"/>
  <c r="AW19" i="6" s="1"/>
  <c r="G20" i="6"/>
  <c r="I20" i="6"/>
  <c r="K20" i="6" s="1"/>
  <c r="AJ20" i="6" s="1"/>
  <c r="AK20" i="6" s="1"/>
  <c r="BA20" i="6" s="1"/>
  <c r="AW20" i="6" s="1"/>
  <c r="G21" i="6"/>
  <c r="I21" i="6"/>
  <c r="K21" i="6" s="1"/>
  <c r="AJ21" i="6" s="1"/>
  <c r="AK21" i="6" s="1"/>
  <c r="BA21" i="6" s="1"/>
  <c r="AW21" i="6" s="1"/>
  <c r="G22" i="6"/>
  <c r="I22" i="6"/>
  <c r="K22" i="6" s="1"/>
  <c r="AJ22" i="6" s="1"/>
  <c r="AK22" i="6" s="1"/>
  <c r="BA22" i="6" s="1"/>
  <c r="AW22" i="6" s="1"/>
  <c r="G23" i="6"/>
  <c r="I23" i="6"/>
  <c r="K23" i="6" s="1"/>
  <c r="AJ23" i="6" s="1"/>
  <c r="AK23" i="6" s="1"/>
  <c r="BA23" i="6" s="1"/>
  <c r="AW23" i="6" s="1"/>
  <c r="G24" i="6"/>
  <c r="I24" i="6"/>
  <c r="K24" i="6" s="1"/>
  <c r="AJ24" i="6" s="1"/>
  <c r="AK24" i="6" s="1"/>
  <c r="BA24" i="6" s="1"/>
  <c r="AW24" i="6" s="1"/>
  <c r="G25" i="6"/>
  <c r="I25" i="6"/>
  <c r="K25" i="6" s="1"/>
  <c r="AJ25" i="6" s="1"/>
  <c r="AK25" i="6" s="1"/>
  <c r="BA25" i="6" s="1"/>
  <c r="AW25" i="6" s="1"/>
  <c r="G26" i="6"/>
  <c r="I26" i="6"/>
  <c r="K26" i="6" s="1"/>
  <c r="AJ26" i="6" s="1"/>
  <c r="AK26" i="6" s="1"/>
  <c r="G27" i="6"/>
  <c r="I27" i="6"/>
  <c r="K27" i="6" s="1"/>
  <c r="AJ27" i="6" s="1"/>
  <c r="AK27" i="6" s="1"/>
  <c r="BA27" i="6" s="1"/>
  <c r="AW27" i="6" s="1"/>
  <c r="G28" i="6"/>
  <c r="I28" i="6"/>
  <c r="K28" i="6" s="1"/>
  <c r="AJ28" i="6" s="1"/>
  <c r="AK28" i="6" s="1"/>
  <c r="G29" i="6"/>
  <c r="I29" i="6"/>
  <c r="K29" i="6" s="1"/>
  <c r="AJ29" i="6" s="1"/>
  <c r="AK29" i="6" s="1"/>
  <c r="BA29" i="6" s="1"/>
  <c r="AW29" i="6" s="1"/>
  <c r="G30" i="6"/>
  <c r="I30" i="6"/>
  <c r="K30" i="6" s="1"/>
  <c r="AJ30" i="6" s="1"/>
  <c r="AK30" i="6" s="1"/>
  <c r="BA30" i="6" s="1"/>
  <c r="AW30" i="6" s="1"/>
  <c r="G31" i="6"/>
  <c r="I31" i="6"/>
  <c r="K31" i="6" s="1"/>
  <c r="AJ31" i="6" s="1"/>
  <c r="AK31" i="6" s="1"/>
  <c r="BA31" i="6" s="1"/>
  <c r="AW31" i="6" s="1"/>
  <c r="G32" i="6"/>
  <c r="I32" i="6"/>
  <c r="K32" i="6" s="1"/>
  <c r="AJ32" i="6" s="1"/>
  <c r="AK32" i="6" s="1"/>
  <c r="BA32" i="6" s="1"/>
  <c r="AW32" i="6" s="1"/>
  <c r="G33" i="6"/>
  <c r="I33" i="6"/>
  <c r="K33" i="6" s="1"/>
  <c r="AJ33" i="6" s="1"/>
  <c r="AK33" i="6" s="1"/>
  <c r="G34" i="6"/>
  <c r="I34" i="6"/>
  <c r="K34" i="6" s="1"/>
  <c r="AJ34" i="6" s="1"/>
  <c r="AK34" i="6" s="1"/>
  <c r="G35" i="6"/>
  <c r="I35" i="6"/>
  <c r="K35" i="6" s="1"/>
  <c r="AJ35" i="6" s="1"/>
  <c r="AK35" i="6" s="1"/>
  <c r="G36" i="6"/>
  <c r="I36" i="6"/>
  <c r="K36" i="6" s="1"/>
  <c r="AJ36" i="6" s="1"/>
  <c r="AK36" i="6" s="1"/>
  <c r="BA36" i="6" s="1"/>
  <c r="AW36" i="6" s="1"/>
  <c r="G37" i="6"/>
  <c r="I37" i="6"/>
  <c r="K37" i="6" s="1"/>
  <c r="AJ37" i="6" s="1"/>
  <c r="AK37" i="6" s="1"/>
  <c r="BA37" i="6" s="1"/>
  <c r="AW37" i="6" s="1"/>
  <c r="G38" i="6"/>
  <c r="I38" i="6"/>
  <c r="K38" i="6" s="1"/>
  <c r="AJ38" i="6" s="1"/>
  <c r="AK38" i="6" s="1"/>
  <c r="BA38" i="6" s="1"/>
  <c r="AW38" i="6" s="1"/>
  <c r="G39" i="6"/>
  <c r="I39" i="6"/>
  <c r="K39" i="6" s="1"/>
  <c r="AJ39" i="6" s="1"/>
  <c r="AK39" i="6" s="1"/>
  <c r="BA39" i="6" s="1"/>
  <c r="AW39" i="6" s="1"/>
  <c r="G40" i="6"/>
  <c r="I40" i="6"/>
  <c r="K40" i="6" s="1"/>
  <c r="AJ40" i="6" s="1"/>
  <c r="AK40" i="6" s="1"/>
  <c r="BA40" i="6" s="1"/>
  <c r="AW40" i="6" s="1"/>
  <c r="G41" i="6"/>
  <c r="I41" i="6"/>
  <c r="K41" i="6" s="1"/>
  <c r="AJ41" i="6" s="1"/>
  <c r="AK41" i="6" s="1"/>
  <c r="G42" i="6"/>
  <c r="I42" i="6"/>
  <c r="K42" i="6" s="1"/>
  <c r="AJ42" i="6" s="1"/>
  <c r="AK42" i="6" s="1"/>
  <c r="BA42" i="6" s="1"/>
  <c r="AW42" i="6" s="1"/>
  <c r="G43" i="6"/>
  <c r="I43" i="6"/>
  <c r="K43" i="6" s="1"/>
  <c r="AJ43" i="6" s="1"/>
  <c r="AK43" i="6" s="1"/>
  <c r="BA43" i="6" s="1"/>
  <c r="AW43" i="6" s="1"/>
  <c r="G44" i="6"/>
  <c r="I44" i="6"/>
  <c r="K44" i="6" s="1"/>
  <c r="AJ44" i="6" s="1"/>
  <c r="AK44" i="6" s="1"/>
  <c r="BA44" i="6" s="1"/>
  <c r="AW44" i="6" s="1"/>
  <c r="G45" i="6"/>
  <c r="I45" i="6"/>
  <c r="K45" i="6" s="1"/>
  <c r="AJ45" i="6" s="1"/>
  <c r="AK45" i="6" s="1"/>
  <c r="BA45" i="6" s="1"/>
  <c r="AW45" i="6" s="1"/>
  <c r="G46" i="6"/>
  <c r="I46" i="6"/>
  <c r="K46" i="6" s="1"/>
  <c r="AJ46" i="6" s="1"/>
  <c r="AK46" i="6" s="1"/>
  <c r="BA46" i="6" s="1"/>
  <c r="AW46" i="6" s="1"/>
  <c r="G47" i="6"/>
  <c r="I47" i="6"/>
  <c r="K47" i="6" s="1"/>
  <c r="AJ47" i="6" s="1"/>
  <c r="AK47" i="6" s="1"/>
  <c r="BA47" i="6" s="1"/>
  <c r="AW47" i="6" s="1"/>
  <c r="G48" i="6"/>
  <c r="I48" i="6"/>
  <c r="K48" i="6" s="1"/>
  <c r="AJ48" i="6" s="1"/>
  <c r="AK48" i="6" s="1"/>
  <c r="BA48" i="6" s="1"/>
  <c r="AW48" i="6" s="1"/>
  <c r="G49" i="6"/>
  <c r="I49" i="6"/>
  <c r="K49" i="6" s="1"/>
  <c r="AJ49" i="6" s="1"/>
  <c r="AK49" i="6" s="1"/>
  <c r="BA49" i="6" s="1"/>
  <c r="AW49" i="6" s="1"/>
  <c r="G50" i="6"/>
  <c r="I50" i="6"/>
  <c r="K50" i="6" s="1"/>
  <c r="AJ50" i="6" s="1"/>
  <c r="AK50" i="6" s="1"/>
  <c r="BA50" i="6" s="1"/>
  <c r="AW50" i="6" s="1"/>
  <c r="G51" i="6"/>
  <c r="I51" i="6"/>
  <c r="K51" i="6" s="1"/>
  <c r="AJ51" i="6" s="1"/>
  <c r="AK51" i="6" s="1"/>
  <c r="BA51" i="6" s="1"/>
  <c r="AW51" i="6" s="1"/>
  <c r="G52" i="6"/>
  <c r="I52" i="6"/>
  <c r="K52" i="6" s="1"/>
  <c r="AJ52" i="6" s="1"/>
  <c r="AK52" i="6" s="1"/>
  <c r="G53" i="6"/>
  <c r="I53" i="6"/>
  <c r="K53" i="6" s="1"/>
  <c r="AJ53" i="6" s="1"/>
  <c r="AK53" i="6" s="1"/>
  <c r="G54" i="6"/>
  <c r="I54" i="6"/>
  <c r="K54" i="6" s="1"/>
  <c r="AJ54" i="6" s="1"/>
  <c r="AK54" i="6" s="1"/>
  <c r="BA54" i="6" s="1"/>
  <c r="AW54" i="6" s="1"/>
  <c r="G55" i="6"/>
  <c r="I55" i="6"/>
  <c r="K55" i="6" s="1"/>
  <c r="AJ55" i="6" s="1"/>
  <c r="AK55" i="6" s="1"/>
  <c r="BA55" i="6" s="1"/>
  <c r="AW55" i="6" s="1"/>
  <c r="G56" i="6"/>
  <c r="I56" i="6"/>
  <c r="K56" i="6" s="1"/>
  <c r="AJ56" i="6" s="1"/>
  <c r="AK56" i="6" s="1"/>
  <c r="BA56" i="6" s="1"/>
  <c r="AW56" i="6" s="1"/>
  <c r="G57" i="6"/>
  <c r="I57" i="6"/>
  <c r="K57" i="6" s="1"/>
  <c r="AJ57" i="6" s="1"/>
  <c r="AK57" i="6" s="1"/>
  <c r="BA57" i="6" s="1"/>
  <c r="AW57" i="6" s="1"/>
  <c r="G58" i="6"/>
  <c r="I58" i="6"/>
  <c r="K58" i="6" s="1"/>
  <c r="AJ58" i="6" s="1"/>
  <c r="AK58" i="6" s="1"/>
  <c r="BA58" i="6" s="1"/>
  <c r="AW58" i="6" s="1"/>
  <c r="G59" i="6"/>
  <c r="I59" i="6"/>
  <c r="K59" i="6" s="1"/>
  <c r="AJ59" i="6" s="1"/>
  <c r="AK59" i="6" s="1"/>
  <c r="BA59" i="6" s="1"/>
  <c r="AW59" i="6" s="1"/>
  <c r="G60" i="6"/>
  <c r="I60" i="6"/>
  <c r="K60" i="6" s="1"/>
  <c r="AJ60" i="6" s="1"/>
  <c r="AK60" i="6" s="1"/>
  <c r="BA60" i="6" s="1"/>
  <c r="AW60" i="6" s="1"/>
  <c r="G61" i="6"/>
  <c r="I61" i="6"/>
  <c r="K61" i="6" s="1"/>
  <c r="AJ61" i="6" s="1"/>
  <c r="AK61" i="6" s="1"/>
  <c r="BA61" i="6" s="1"/>
  <c r="AW61" i="6" s="1"/>
  <c r="G62" i="6"/>
  <c r="I62" i="6"/>
  <c r="K62" i="6" s="1"/>
  <c r="AJ62" i="6" s="1"/>
  <c r="AK62" i="6" s="1"/>
  <c r="BA62" i="6" s="1"/>
  <c r="AW62" i="6" s="1"/>
  <c r="G63" i="6"/>
  <c r="I63" i="6"/>
  <c r="K63" i="6" s="1"/>
  <c r="AJ63" i="6" s="1"/>
  <c r="AK63" i="6" s="1"/>
  <c r="BA63" i="6" s="1"/>
  <c r="AW63" i="6" s="1"/>
  <c r="G64" i="6"/>
  <c r="I64" i="6"/>
  <c r="K64" i="6" s="1"/>
  <c r="AJ64" i="6" s="1"/>
  <c r="AK64" i="6" s="1"/>
  <c r="BA64" i="6" s="1"/>
  <c r="AW64" i="6" s="1"/>
  <c r="G65" i="6"/>
  <c r="I65" i="6"/>
  <c r="K65" i="6" s="1"/>
  <c r="AJ65" i="6" s="1"/>
  <c r="AK65" i="6" s="1"/>
  <c r="BA65" i="6" s="1"/>
  <c r="AW65" i="6" s="1"/>
  <c r="G66" i="6"/>
  <c r="I66" i="6"/>
  <c r="K66" i="6" s="1"/>
  <c r="AJ66" i="6" s="1"/>
  <c r="AK66" i="6" s="1"/>
  <c r="G67" i="6"/>
  <c r="I67" i="6"/>
  <c r="K67" i="6" s="1"/>
  <c r="AJ67" i="6" s="1"/>
  <c r="AK67" i="6" s="1"/>
  <c r="BA67" i="6" s="1"/>
  <c r="AW67" i="6" s="1"/>
  <c r="G68" i="6"/>
  <c r="I68" i="6"/>
  <c r="K68" i="6" s="1"/>
  <c r="AJ68" i="6" s="1"/>
  <c r="AK68" i="6" s="1"/>
  <c r="G69" i="6"/>
  <c r="I69" i="6"/>
  <c r="K69" i="6" s="1"/>
  <c r="AJ69" i="6" s="1"/>
  <c r="AK69" i="6" s="1"/>
  <c r="BA69" i="6" s="1"/>
  <c r="AW69" i="6" s="1"/>
  <c r="G70" i="6"/>
  <c r="I70" i="6"/>
  <c r="K70" i="6" s="1"/>
  <c r="AJ70" i="6" s="1"/>
  <c r="AK70" i="6" s="1"/>
  <c r="BA70" i="6" s="1"/>
  <c r="AW70" i="6" s="1"/>
  <c r="G71" i="6"/>
  <c r="I71" i="6"/>
  <c r="K71" i="6" s="1"/>
  <c r="AJ71" i="6" s="1"/>
  <c r="AK71" i="6" s="1"/>
  <c r="BA71" i="6" s="1"/>
  <c r="AW71" i="6" s="1"/>
  <c r="G72" i="6"/>
  <c r="I72" i="6"/>
  <c r="K72" i="6" s="1"/>
  <c r="AJ72" i="6" s="1"/>
  <c r="AK72" i="6" s="1"/>
  <c r="BA72" i="6" s="1"/>
  <c r="AW72" i="6" s="1"/>
  <c r="G73" i="6"/>
  <c r="I73" i="6"/>
  <c r="K73" i="6" s="1"/>
  <c r="AJ73" i="6" s="1"/>
  <c r="AK73" i="6" s="1"/>
  <c r="BA73" i="6" s="1"/>
  <c r="AW73" i="6" s="1"/>
  <c r="G74" i="6"/>
  <c r="I74" i="6"/>
  <c r="K74" i="6" s="1"/>
  <c r="AJ74" i="6" s="1"/>
  <c r="AK74" i="6" s="1"/>
  <c r="BA74" i="6" s="1"/>
  <c r="AW74" i="6" s="1"/>
  <c r="G75" i="6"/>
  <c r="I75" i="6"/>
  <c r="K75" i="6" s="1"/>
  <c r="AJ75" i="6" s="1"/>
  <c r="AK75" i="6" s="1"/>
  <c r="BA75" i="6" s="1"/>
  <c r="AW75" i="6" s="1"/>
  <c r="G76" i="6"/>
  <c r="I76" i="6"/>
  <c r="K76" i="6" s="1"/>
  <c r="AJ76" i="6" s="1"/>
  <c r="AK76" i="6" s="1"/>
  <c r="BA76" i="6" s="1"/>
  <c r="AW76" i="6" s="1"/>
  <c r="G77" i="6"/>
  <c r="I77" i="6"/>
  <c r="K77" i="6" s="1"/>
  <c r="AJ77" i="6" s="1"/>
  <c r="AK77" i="6" s="1"/>
  <c r="BA77" i="6" s="1"/>
  <c r="AW77" i="6" s="1"/>
  <c r="G78" i="6"/>
  <c r="I78" i="6"/>
  <c r="K78" i="6" s="1"/>
  <c r="AJ78" i="6" s="1"/>
  <c r="AK78" i="6" s="1"/>
  <c r="BA78" i="6" s="1"/>
  <c r="AW78" i="6" s="1"/>
  <c r="G79" i="6"/>
  <c r="I79" i="6"/>
  <c r="K79" i="6" s="1"/>
  <c r="AJ79" i="6" s="1"/>
  <c r="AK79" i="6" s="1"/>
  <c r="BA79" i="6" s="1"/>
  <c r="AW79" i="6" s="1"/>
  <c r="G80" i="6"/>
  <c r="I80" i="6"/>
  <c r="K80" i="6" s="1"/>
  <c r="AJ80" i="6" s="1"/>
  <c r="AK80" i="6" s="1"/>
  <c r="G81" i="6"/>
  <c r="I81" i="6"/>
  <c r="K81" i="6" s="1"/>
  <c r="AJ81" i="6" s="1"/>
  <c r="AK81" i="6" s="1"/>
  <c r="BA81" i="6" s="1"/>
  <c r="AW81" i="6" s="1"/>
  <c r="G82" i="6"/>
  <c r="I82" i="6"/>
  <c r="K82" i="6" s="1"/>
  <c r="AJ82" i="6" s="1"/>
  <c r="AK82" i="6" s="1"/>
  <c r="BA82" i="6" s="1"/>
  <c r="AW82" i="6" s="1"/>
  <c r="G83" i="6"/>
  <c r="I83" i="6"/>
  <c r="K83" i="6" s="1"/>
  <c r="AJ83" i="6" s="1"/>
  <c r="AK83" i="6" s="1"/>
  <c r="BA83" i="6" s="1"/>
  <c r="AW83" i="6" s="1"/>
  <c r="G84" i="6"/>
  <c r="I84" i="6"/>
  <c r="K84" i="6" s="1"/>
  <c r="AJ84" i="6" s="1"/>
  <c r="AK84" i="6" s="1"/>
  <c r="G85" i="6"/>
  <c r="I85" i="6"/>
  <c r="K85" i="6" s="1"/>
  <c r="AJ85" i="6" s="1"/>
  <c r="AK85" i="6" s="1"/>
  <c r="G86" i="6"/>
  <c r="I86" i="6"/>
  <c r="K86" i="6" s="1"/>
  <c r="AJ86" i="6" s="1"/>
  <c r="AK86" i="6" s="1"/>
  <c r="BA86" i="6" s="1"/>
  <c r="AW86" i="6" s="1"/>
  <c r="G87" i="6"/>
  <c r="I87" i="6"/>
  <c r="K87" i="6" s="1"/>
  <c r="AJ87" i="6" s="1"/>
  <c r="AK87" i="6" s="1"/>
  <c r="G88" i="6"/>
  <c r="I88" i="6"/>
  <c r="K88" i="6" s="1"/>
  <c r="AJ88" i="6" s="1"/>
  <c r="AK88" i="6" s="1"/>
  <c r="BA88" i="6" s="1"/>
  <c r="AW88" i="6" s="1"/>
  <c r="G89" i="6"/>
  <c r="I89" i="6"/>
  <c r="K89" i="6" s="1"/>
  <c r="AJ89" i="6" s="1"/>
  <c r="AK89" i="6" s="1"/>
  <c r="BA89" i="6" s="1"/>
  <c r="AW89" i="6" s="1"/>
  <c r="G90" i="6"/>
  <c r="I90" i="6"/>
  <c r="K90" i="6" s="1"/>
  <c r="AJ90" i="6" s="1"/>
  <c r="AK90" i="6" s="1"/>
  <c r="G91" i="6"/>
  <c r="I91" i="6"/>
  <c r="K91" i="6" s="1"/>
  <c r="AJ91" i="6" s="1"/>
  <c r="AK91" i="6" s="1"/>
  <c r="BA91" i="6" s="1"/>
  <c r="AW91" i="6" s="1"/>
  <c r="G92" i="6"/>
  <c r="I92" i="6"/>
  <c r="K92" i="6" s="1"/>
  <c r="AJ92" i="6" s="1"/>
  <c r="AK92" i="6" s="1"/>
  <c r="BA92" i="6" s="1"/>
  <c r="AW92" i="6" s="1"/>
  <c r="G93" i="6"/>
  <c r="I93" i="6"/>
  <c r="K93" i="6" s="1"/>
  <c r="AJ93" i="6" s="1"/>
  <c r="AK93" i="6" s="1"/>
  <c r="BA93" i="6" s="1"/>
  <c r="AW93" i="6" s="1"/>
  <c r="G94" i="6"/>
  <c r="I94" i="6"/>
  <c r="K94" i="6" s="1"/>
  <c r="AJ94" i="6" s="1"/>
  <c r="AK94" i="6" s="1"/>
  <c r="BA94" i="6" s="1"/>
  <c r="AW94" i="6" s="1"/>
  <c r="G95" i="6"/>
  <c r="I95" i="6"/>
  <c r="K95" i="6" s="1"/>
  <c r="AJ95" i="6" s="1"/>
  <c r="AK95" i="6" s="1"/>
  <c r="BA95" i="6" s="1"/>
  <c r="AW95" i="6" s="1"/>
  <c r="G96" i="6"/>
  <c r="I96" i="6"/>
  <c r="K96" i="6" s="1"/>
  <c r="AJ96" i="6" s="1"/>
  <c r="AK96" i="6" s="1"/>
  <c r="BA96" i="6" s="1"/>
  <c r="AW96" i="6" s="1"/>
  <c r="G97" i="6"/>
  <c r="I97" i="6"/>
  <c r="K97" i="6" s="1"/>
  <c r="AJ97" i="6" s="1"/>
  <c r="AK97" i="6" s="1"/>
  <c r="BA97" i="6" s="1"/>
  <c r="AW97" i="6" s="1"/>
  <c r="G98" i="6"/>
  <c r="I98" i="6"/>
  <c r="K98" i="6" s="1"/>
  <c r="AJ98" i="6" s="1"/>
  <c r="AK98" i="6" s="1"/>
  <c r="BA98" i="6" s="1"/>
  <c r="AW98" i="6" s="1"/>
  <c r="G99" i="6"/>
  <c r="I99" i="6"/>
  <c r="K99" i="6" s="1"/>
  <c r="AJ99" i="6" s="1"/>
  <c r="AK99" i="6" s="1"/>
  <c r="BA99" i="6" s="1"/>
  <c r="AW99" i="6" s="1"/>
  <c r="G100" i="6"/>
  <c r="I100" i="6"/>
  <c r="K100" i="6" s="1"/>
  <c r="AJ100" i="6" s="1"/>
  <c r="AK100" i="6" s="1"/>
  <c r="BA100" i="6" s="1"/>
  <c r="AW100" i="6" s="1"/>
  <c r="G101" i="6"/>
  <c r="I101" i="6"/>
  <c r="K101" i="6" s="1"/>
  <c r="AJ101" i="6" s="1"/>
  <c r="AK101" i="6" s="1"/>
  <c r="BA101" i="6" s="1"/>
  <c r="AW101" i="6" s="1"/>
  <c r="G102" i="6"/>
  <c r="I102" i="6"/>
  <c r="K102" i="6" s="1"/>
  <c r="AJ102" i="6" s="1"/>
  <c r="AK102" i="6" s="1"/>
  <c r="BA102" i="6" s="1"/>
  <c r="AW102" i="6" s="1"/>
  <c r="G103" i="6"/>
  <c r="I103" i="6"/>
  <c r="K103" i="6" s="1"/>
  <c r="AJ103" i="6" s="1"/>
  <c r="AK103" i="6" s="1"/>
  <c r="BA103" i="6" s="1"/>
  <c r="AW103" i="6" s="1"/>
  <c r="G104" i="6"/>
  <c r="I104" i="6"/>
  <c r="K104" i="6" s="1"/>
  <c r="AJ104" i="6" s="1"/>
  <c r="AK104" i="6" s="1"/>
  <c r="G105" i="6"/>
  <c r="I105" i="6"/>
  <c r="K105" i="6" s="1"/>
  <c r="AJ105" i="6" s="1"/>
  <c r="AK105" i="6" s="1"/>
  <c r="BA105" i="6" s="1"/>
  <c r="AW105" i="6" s="1"/>
  <c r="G106" i="6"/>
  <c r="I106" i="6"/>
  <c r="K106" i="6" s="1"/>
  <c r="AJ106" i="6" s="1"/>
  <c r="AK106" i="6" s="1"/>
  <c r="BA106" i="6" s="1"/>
  <c r="AW106" i="6" s="1"/>
  <c r="G107" i="6"/>
  <c r="I107" i="6"/>
  <c r="K107" i="6" s="1"/>
  <c r="AJ107" i="6" s="1"/>
  <c r="AK107" i="6" s="1"/>
  <c r="BA107" i="6" s="1"/>
  <c r="AW107" i="6" s="1"/>
  <c r="G108" i="6"/>
  <c r="I108" i="6"/>
  <c r="K108" i="6" s="1"/>
  <c r="AJ108" i="6" s="1"/>
  <c r="AK108" i="6" s="1"/>
  <c r="G109" i="6"/>
  <c r="I109" i="6"/>
  <c r="K109" i="6" s="1"/>
  <c r="AJ109" i="6" s="1"/>
  <c r="AK109" i="6" s="1"/>
  <c r="BA109" i="6" s="1"/>
  <c r="AW109" i="6" s="1"/>
  <c r="G110" i="6"/>
  <c r="I110" i="6"/>
  <c r="K110" i="6" s="1"/>
  <c r="AJ110" i="6" s="1"/>
  <c r="AK110" i="6" s="1"/>
  <c r="G111" i="6"/>
  <c r="I111" i="6"/>
  <c r="K111" i="6" s="1"/>
  <c r="AJ111" i="6" s="1"/>
  <c r="AK111" i="6" s="1"/>
  <c r="G112" i="6"/>
  <c r="I112" i="6"/>
  <c r="K112" i="6" s="1"/>
  <c r="AJ112" i="6" s="1"/>
  <c r="AK112" i="6" s="1"/>
  <c r="G113" i="6"/>
  <c r="I113" i="6"/>
  <c r="K113" i="6" s="1"/>
  <c r="AJ113" i="6" s="1"/>
  <c r="AK113" i="6" s="1"/>
  <c r="G114" i="6"/>
  <c r="I114" i="6"/>
  <c r="K114" i="6" s="1"/>
  <c r="AJ114" i="6" s="1"/>
  <c r="AK114" i="6" s="1"/>
  <c r="G115" i="6"/>
  <c r="I115" i="6"/>
  <c r="K115" i="6" s="1"/>
  <c r="AJ115" i="6" s="1"/>
  <c r="AK115" i="6" s="1"/>
  <c r="BA115" i="6" s="1"/>
  <c r="AW115" i="6" s="1"/>
  <c r="G116" i="6"/>
  <c r="I116" i="6"/>
  <c r="K116" i="6" s="1"/>
  <c r="AJ116" i="6" s="1"/>
  <c r="AK116" i="6" s="1"/>
  <c r="BA116" i="6" s="1"/>
  <c r="AW116" i="6" s="1"/>
  <c r="G117" i="6"/>
  <c r="I117" i="6"/>
  <c r="K117" i="6" s="1"/>
  <c r="AJ117" i="6" s="1"/>
  <c r="AK117" i="6" s="1"/>
  <c r="BA117" i="6" s="1"/>
  <c r="AW117" i="6" s="1"/>
  <c r="G118" i="6"/>
  <c r="I118" i="6"/>
  <c r="K118" i="6" s="1"/>
  <c r="AJ118" i="6" s="1"/>
  <c r="AK118" i="6" s="1"/>
  <c r="G119" i="6"/>
  <c r="I119" i="6"/>
  <c r="K119" i="6" s="1"/>
  <c r="AJ119" i="6" s="1"/>
  <c r="AK119" i="6" s="1"/>
  <c r="BA119" i="6" s="1"/>
  <c r="AW119" i="6" s="1"/>
  <c r="G120" i="6"/>
  <c r="I120" i="6"/>
  <c r="K120" i="6" s="1"/>
  <c r="AJ120" i="6" s="1"/>
  <c r="AK120" i="6" s="1"/>
  <c r="BA120" i="6" s="1"/>
  <c r="AW120" i="6" s="1"/>
  <c r="G121" i="6"/>
  <c r="I121" i="6"/>
  <c r="K121" i="6" s="1"/>
  <c r="AJ121" i="6" s="1"/>
  <c r="AK121" i="6" s="1"/>
  <c r="BA121" i="6" s="1"/>
  <c r="AW121" i="6" s="1"/>
  <c r="G122" i="6"/>
  <c r="I122" i="6"/>
  <c r="K122" i="6" s="1"/>
  <c r="AJ122" i="6" s="1"/>
  <c r="AK122" i="6" s="1"/>
  <c r="BA122" i="6" s="1"/>
  <c r="AW122" i="6" s="1"/>
  <c r="G123" i="6"/>
  <c r="I123" i="6"/>
  <c r="K123" i="6" s="1"/>
  <c r="AJ123" i="6" s="1"/>
  <c r="AK123" i="6" s="1"/>
  <c r="BA123" i="6" s="1"/>
  <c r="AW123" i="6" s="1"/>
  <c r="G124" i="6"/>
  <c r="I124" i="6"/>
  <c r="K124" i="6" s="1"/>
  <c r="AJ124" i="6" s="1"/>
  <c r="AK124" i="6" s="1"/>
  <c r="BA124" i="6" s="1"/>
  <c r="AW124" i="6" s="1"/>
  <c r="G125" i="6"/>
  <c r="I125" i="6"/>
  <c r="K125" i="6" s="1"/>
  <c r="AJ125" i="6" s="1"/>
  <c r="AK125" i="6" s="1"/>
  <c r="BA125" i="6" s="1"/>
  <c r="AW125" i="6" s="1"/>
  <c r="G126" i="6"/>
  <c r="I126" i="6"/>
  <c r="K126" i="6" s="1"/>
  <c r="AJ126" i="6" s="1"/>
  <c r="AK126" i="6" s="1"/>
  <c r="BA126" i="6" s="1"/>
  <c r="AW126" i="6" s="1"/>
  <c r="G127" i="6"/>
  <c r="I127" i="6"/>
  <c r="K127" i="6" s="1"/>
  <c r="AJ127" i="6" s="1"/>
  <c r="AK127" i="6" s="1"/>
  <c r="BA127" i="6" s="1"/>
  <c r="AW127" i="6" s="1"/>
  <c r="G128" i="6"/>
  <c r="I128" i="6"/>
  <c r="K128" i="6" s="1"/>
  <c r="AJ128" i="6" s="1"/>
  <c r="AK128" i="6" s="1"/>
  <c r="BA128" i="6" s="1"/>
  <c r="AW128" i="6" s="1"/>
  <c r="G129" i="6"/>
  <c r="I129" i="6"/>
  <c r="K129" i="6" s="1"/>
  <c r="AJ129" i="6" s="1"/>
  <c r="AK129" i="6" s="1"/>
  <c r="BA129" i="6" s="1"/>
  <c r="AW129" i="6" s="1"/>
  <c r="G130" i="6"/>
  <c r="I130" i="6"/>
  <c r="K130" i="6" s="1"/>
  <c r="AJ130" i="6" s="1"/>
  <c r="AK130" i="6" s="1"/>
  <c r="BA130" i="6" s="1"/>
  <c r="AW130" i="6" s="1"/>
  <c r="G131" i="6"/>
  <c r="I131" i="6"/>
  <c r="K131" i="6" s="1"/>
  <c r="AJ131" i="6" s="1"/>
  <c r="AK131" i="6" s="1"/>
  <c r="BA131" i="6" s="1"/>
  <c r="AW131" i="6" s="1"/>
  <c r="G132" i="6"/>
  <c r="I132" i="6"/>
  <c r="K132" i="6" s="1"/>
  <c r="AJ132" i="6" s="1"/>
  <c r="AK132" i="6" s="1"/>
  <c r="BA132" i="6" s="1"/>
  <c r="AW132" i="6" s="1"/>
  <c r="G133" i="6"/>
  <c r="I133" i="6"/>
  <c r="K133" i="6" s="1"/>
  <c r="AJ133" i="6" s="1"/>
  <c r="AK133" i="6" s="1"/>
  <c r="BA133" i="6" s="1"/>
  <c r="AW133" i="6" s="1"/>
  <c r="G134" i="6"/>
  <c r="I134" i="6"/>
  <c r="K134" i="6" s="1"/>
  <c r="AJ134" i="6" s="1"/>
  <c r="AK134" i="6" s="1"/>
  <c r="BA134" i="6" s="1"/>
  <c r="AW134" i="6" s="1"/>
  <c r="G135" i="6"/>
  <c r="I135" i="6"/>
  <c r="K135" i="6" s="1"/>
  <c r="AJ135" i="6" s="1"/>
  <c r="AK135" i="6" s="1"/>
  <c r="BA135" i="6" s="1"/>
  <c r="AW135" i="6" s="1"/>
  <c r="G136" i="6"/>
  <c r="I136" i="6"/>
  <c r="K136" i="6" s="1"/>
  <c r="AJ136" i="6" s="1"/>
  <c r="AK136" i="6" s="1"/>
  <c r="BA136" i="6" s="1"/>
  <c r="AW136" i="6" s="1"/>
  <c r="G137" i="6"/>
  <c r="I137" i="6"/>
  <c r="K137" i="6" s="1"/>
  <c r="AJ137" i="6" s="1"/>
  <c r="AK137" i="6" s="1"/>
  <c r="BA137" i="6" s="1"/>
  <c r="AW137" i="6" s="1"/>
  <c r="G138" i="6"/>
  <c r="I138" i="6"/>
  <c r="K138" i="6" s="1"/>
  <c r="AJ138" i="6" s="1"/>
  <c r="AK138" i="6" s="1"/>
  <c r="BA138" i="6" s="1"/>
  <c r="AW138" i="6" s="1"/>
  <c r="G139" i="6"/>
  <c r="I139" i="6"/>
  <c r="K139" i="6" s="1"/>
  <c r="AJ139" i="6" s="1"/>
  <c r="AK139" i="6" s="1"/>
  <c r="BA139" i="6" s="1"/>
  <c r="AW139" i="6" s="1"/>
  <c r="G140" i="6"/>
  <c r="I140" i="6"/>
  <c r="K140" i="6" s="1"/>
  <c r="AJ140" i="6" s="1"/>
  <c r="AK140" i="6" s="1"/>
  <c r="BA140" i="6" s="1"/>
  <c r="AW140" i="6" s="1"/>
  <c r="G141" i="6"/>
  <c r="I141" i="6"/>
  <c r="K141" i="6" s="1"/>
  <c r="AJ141" i="6" s="1"/>
  <c r="AK141" i="6" s="1"/>
  <c r="BA141" i="6" s="1"/>
  <c r="AW141" i="6" s="1"/>
  <c r="G142" i="6"/>
  <c r="I142" i="6"/>
  <c r="K142" i="6" s="1"/>
  <c r="AJ142" i="6" s="1"/>
  <c r="AK142" i="6" s="1"/>
  <c r="BA142" i="6" s="1"/>
  <c r="AW142" i="6" s="1"/>
  <c r="G143" i="6"/>
  <c r="I143" i="6"/>
  <c r="K143" i="6" s="1"/>
  <c r="AJ143" i="6" s="1"/>
  <c r="AK143" i="6" s="1"/>
  <c r="BA143" i="6" s="1"/>
  <c r="AW143" i="6" s="1"/>
  <c r="G144" i="6"/>
  <c r="I144" i="6"/>
  <c r="K144" i="6" s="1"/>
  <c r="AJ144" i="6" s="1"/>
  <c r="AK144" i="6" s="1"/>
  <c r="BA144" i="6" s="1"/>
  <c r="AW144" i="6" s="1"/>
  <c r="G145" i="6"/>
  <c r="I145" i="6"/>
  <c r="K145" i="6" s="1"/>
  <c r="AJ145" i="6" s="1"/>
  <c r="AK145" i="6" s="1"/>
  <c r="BA145" i="6" s="1"/>
  <c r="AW145" i="6" s="1"/>
  <c r="G146" i="6"/>
  <c r="I146" i="6"/>
  <c r="K146" i="6" s="1"/>
  <c r="AJ146" i="6" s="1"/>
  <c r="AK146" i="6" s="1"/>
  <c r="BA146" i="6" s="1"/>
  <c r="AW146" i="6" s="1"/>
  <c r="G147" i="6"/>
  <c r="I147" i="6"/>
  <c r="K147" i="6" s="1"/>
  <c r="AJ147" i="6" s="1"/>
  <c r="AK147" i="6" s="1"/>
  <c r="BA147" i="6" s="1"/>
  <c r="AW147" i="6" s="1"/>
  <c r="G148" i="6"/>
  <c r="I148" i="6"/>
  <c r="K148" i="6" s="1"/>
  <c r="AJ148" i="6" s="1"/>
  <c r="AK148" i="6" s="1"/>
  <c r="BA148" i="6" s="1"/>
  <c r="AW148" i="6" s="1"/>
  <c r="G149" i="6"/>
  <c r="I149" i="6"/>
  <c r="K149" i="6" s="1"/>
  <c r="AJ149" i="6" s="1"/>
  <c r="AK149" i="6" s="1"/>
  <c r="BA149" i="6" s="1"/>
  <c r="AW149" i="6" s="1"/>
  <c r="G150" i="6"/>
  <c r="I150" i="6"/>
  <c r="K150" i="6" s="1"/>
  <c r="AJ150" i="6" s="1"/>
  <c r="AK150" i="6" s="1"/>
  <c r="BA150" i="6" s="1"/>
  <c r="AW150" i="6" s="1"/>
  <c r="G151" i="6"/>
  <c r="I151" i="6"/>
  <c r="K151" i="6" s="1"/>
  <c r="AJ151" i="6" s="1"/>
  <c r="AK151" i="6" s="1"/>
  <c r="BA151" i="6" s="1"/>
  <c r="AW151" i="6" s="1"/>
  <c r="G152" i="6"/>
  <c r="I152" i="6"/>
  <c r="K152" i="6" s="1"/>
  <c r="AJ152" i="6" s="1"/>
  <c r="AK152" i="6" s="1"/>
  <c r="BA152" i="6" s="1"/>
  <c r="AW152" i="6" s="1"/>
  <c r="G153" i="6"/>
  <c r="I153" i="6"/>
  <c r="K153" i="6" s="1"/>
  <c r="AJ153" i="6" s="1"/>
  <c r="AK153" i="6" s="1"/>
  <c r="BA153" i="6" s="1"/>
  <c r="AW153" i="6" s="1"/>
  <c r="G154" i="6"/>
  <c r="I154" i="6"/>
  <c r="K154" i="6" s="1"/>
  <c r="AJ154" i="6" s="1"/>
  <c r="AK154" i="6" s="1"/>
  <c r="G155" i="6"/>
  <c r="I155" i="6"/>
  <c r="K155" i="6" s="1"/>
  <c r="AJ155" i="6" s="1"/>
  <c r="AK155" i="6" s="1"/>
  <c r="BA155" i="6" s="1"/>
  <c r="AW155" i="6" s="1"/>
  <c r="G156" i="6"/>
  <c r="I156" i="6"/>
  <c r="K156" i="6" s="1"/>
  <c r="AJ156" i="6" s="1"/>
  <c r="AK156" i="6" s="1"/>
  <c r="BA156" i="6" s="1"/>
  <c r="AW156" i="6" s="1"/>
  <c r="G157" i="6"/>
  <c r="I157" i="6"/>
  <c r="K157" i="6" s="1"/>
  <c r="AJ157" i="6" s="1"/>
  <c r="AK157" i="6" s="1"/>
  <c r="G158" i="6"/>
  <c r="I158" i="6"/>
  <c r="K158" i="6" s="1"/>
  <c r="AJ158" i="6" s="1"/>
  <c r="AK158" i="6" s="1"/>
  <c r="BA158" i="6" s="1"/>
  <c r="AW158" i="6" s="1"/>
  <c r="G159" i="6"/>
  <c r="I159" i="6"/>
  <c r="K159" i="6" s="1"/>
  <c r="AJ159" i="6" s="1"/>
  <c r="AK159" i="6" s="1"/>
  <c r="BA159" i="6" s="1"/>
  <c r="AW159" i="6" s="1"/>
  <c r="G160" i="6"/>
  <c r="I160" i="6"/>
  <c r="K160" i="6" s="1"/>
  <c r="AJ160" i="6" s="1"/>
  <c r="AK160" i="6" s="1"/>
  <c r="G161" i="6"/>
  <c r="I161" i="6"/>
  <c r="K161" i="6" s="1"/>
  <c r="AJ161" i="6" s="1"/>
  <c r="AK161" i="6" s="1"/>
  <c r="BA161" i="6" s="1"/>
  <c r="AW161" i="6" s="1"/>
  <c r="G162" i="6"/>
  <c r="I162" i="6"/>
  <c r="K162" i="6" s="1"/>
  <c r="AJ162" i="6" s="1"/>
  <c r="AK162" i="6" s="1"/>
  <c r="BA162" i="6" s="1"/>
  <c r="AW162" i="6" s="1"/>
  <c r="G163" i="6"/>
  <c r="I163" i="6"/>
  <c r="K163" i="6" s="1"/>
  <c r="AJ163" i="6" s="1"/>
  <c r="AK163" i="6" s="1"/>
  <c r="BA163" i="6" s="1"/>
  <c r="AW163" i="6" s="1"/>
  <c r="G164" i="6"/>
  <c r="I164" i="6"/>
  <c r="K164" i="6" s="1"/>
  <c r="AJ164" i="6" s="1"/>
  <c r="AK164" i="6" s="1"/>
  <c r="BA164" i="6" s="1"/>
  <c r="AW164" i="6" s="1"/>
  <c r="G165" i="6"/>
  <c r="I165" i="6"/>
  <c r="K165" i="6" s="1"/>
  <c r="AJ165" i="6" s="1"/>
  <c r="AK165" i="6" s="1"/>
  <c r="BA165" i="6" s="1"/>
  <c r="AW165" i="6" s="1"/>
  <c r="G166" i="6"/>
  <c r="I166" i="6"/>
  <c r="K166" i="6" s="1"/>
  <c r="AJ166" i="6" s="1"/>
  <c r="AK166" i="6" s="1"/>
  <c r="G167" i="6"/>
  <c r="I167" i="6"/>
  <c r="K167" i="6" s="1"/>
  <c r="AJ167" i="6" s="1"/>
  <c r="AK167" i="6" s="1"/>
  <c r="BA167" i="6" s="1"/>
  <c r="AW167" i="6" s="1"/>
  <c r="G168" i="6"/>
  <c r="I168" i="6"/>
  <c r="K168" i="6" s="1"/>
  <c r="AJ168" i="6" s="1"/>
  <c r="AK168" i="6" s="1"/>
  <c r="BA168" i="6" s="1"/>
  <c r="AW168" i="6" s="1"/>
  <c r="G169" i="6"/>
  <c r="I169" i="6"/>
  <c r="K169" i="6" s="1"/>
  <c r="AJ169" i="6" s="1"/>
  <c r="AK169" i="6" s="1"/>
  <c r="BA169" i="6" s="1"/>
  <c r="AW169" i="6" s="1"/>
  <c r="G170" i="6"/>
  <c r="I170" i="6"/>
  <c r="K170" i="6" s="1"/>
  <c r="AJ170" i="6" s="1"/>
  <c r="AK170" i="6" s="1"/>
  <c r="BA170" i="6" s="1"/>
  <c r="AW170" i="6" s="1"/>
  <c r="G171" i="6"/>
  <c r="I171" i="6"/>
  <c r="K171" i="6" s="1"/>
  <c r="AJ171" i="6" s="1"/>
  <c r="AK171" i="6" s="1"/>
  <c r="G172" i="6"/>
  <c r="I172" i="6"/>
  <c r="K172" i="6" s="1"/>
  <c r="AJ172" i="6" s="1"/>
  <c r="AK172" i="6" s="1"/>
  <c r="BA172" i="6" s="1"/>
  <c r="AW172" i="6" s="1"/>
  <c r="G173" i="6"/>
  <c r="I173" i="6"/>
  <c r="K173" i="6" s="1"/>
  <c r="AJ173" i="6" s="1"/>
  <c r="AK173" i="6" s="1"/>
  <c r="BA173" i="6" s="1"/>
  <c r="AW173" i="6" s="1"/>
  <c r="G174" i="6"/>
  <c r="I174" i="6"/>
  <c r="K174" i="6" s="1"/>
  <c r="AJ174" i="6" s="1"/>
  <c r="AK174" i="6" s="1"/>
  <c r="BA174" i="6" s="1"/>
  <c r="AW174" i="6" s="1"/>
  <c r="G175" i="6"/>
  <c r="I175" i="6"/>
  <c r="K175" i="6" s="1"/>
  <c r="AJ175" i="6" s="1"/>
  <c r="AK175" i="6" s="1"/>
  <c r="BA175" i="6" s="1"/>
  <c r="AW175" i="6" s="1"/>
  <c r="G176" i="6"/>
  <c r="I176" i="6"/>
  <c r="K176" i="6" s="1"/>
  <c r="AJ176" i="6" s="1"/>
  <c r="AK176" i="6" s="1"/>
  <c r="BA176" i="6" s="1"/>
  <c r="AW176" i="6" s="1"/>
  <c r="G177" i="6"/>
  <c r="I177" i="6"/>
  <c r="K177" i="6" s="1"/>
  <c r="AJ177" i="6" s="1"/>
  <c r="AK177" i="6" s="1"/>
  <c r="BA177" i="6" s="1"/>
  <c r="AW177" i="6" s="1"/>
  <c r="G178" i="6"/>
  <c r="I178" i="6"/>
  <c r="K178" i="6" s="1"/>
  <c r="AJ178" i="6" s="1"/>
  <c r="AK178" i="6" s="1"/>
  <c r="BA178" i="6" s="1"/>
  <c r="AW178" i="6" s="1"/>
  <c r="G179" i="6"/>
  <c r="I179" i="6"/>
  <c r="K179" i="6" s="1"/>
  <c r="AJ179" i="6" s="1"/>
  <c r="AK179" i="6" s="1"/>
  <c r="BA179" i="6" s="1"/>
  <c r="AW179" i="6" s="1"/>
  <c r="G180" i="6"/>
  <c r="I180" i="6"/>
  <c r="K180" i="6" s="1"/>
  <c r="AJ180" i="6" s="1"/>
  <c r="AK180" i="6" s="1"/>
  <c r="G181" i="6"/>
  <c r="I181" i="6"/>
  <c r="K181" i="6" s="1"/>
  <c r="AJ181" i="6" s="1"/>
  <c r="AK181" i="6" s="1"/>
  <c r="BA181" i="6" s="1"/>
  <c r="AW181" i="6" s="1"/>
  <c r="G182" i="6"/>
  <c r="I182" i="6"/>
  <c r="K182" i="6" s="1"/>
  <c r="AJ182" i="6" s="1"/>
  <c r="AK182" i="6" s="1"/>
  <c r="G183" i="6"/>
  <c r="I183" i="6"/>
  <c r="K183" i="6" s="1"/>
  <c r="AJ183" i="6" s="1"/>
  <c r="AK183" i="6" s="1"/>
  <c r="BA183" i="6" s="1"/>
  <c r="AW183" i="6" s="1"/>
  <c r="G184" i="6"/>
  <c r="I184" i="6"/>
  <c r="K184" i="6" s="1"/>
  <c r="AJ184" i="6" s="1"/>
  <c r="AK184" i="6" s="1"/>
  <c r="BA184" i="6" s="1"/>
  <c r="AW184" i="6" s="1"/>
  <c r="G185" i="6"/>
  <c r="I185" i="6"/>
  <c r="K185" i="6" s="1"/>
  <c r="AJ185" i="6" s="1"/>
  <c r="AK185" i="6" s="1"/>
  <c r="BA185" i="6" s="1"/>
  <c r="AW185" i="6" s="1"/>
  <c r="G186" i="6"/>
  <c r="I186" i="6"/>
  <c r="K186" i="6" s="1"/>
  <c r="AJ186" i="6" s="1"/>
  <c r="AK186" i="6" s="1"/>
  <c r="BA186" i="6" s="1"/>
  <c r="AW186" i="6" s="1"/>
  <c r="G187" i="6"/>
  <c r="I187" i="6"/>
  <c r="K187" i="6" s="1"/>
  <c r="AJ187" i="6" s="1"/>
  <c r="AK187" i="6" s="1"/>
  <c r="BA187" i="6" s="1"/>
  <c r="AW187" i="6" s="1"/>
  <c r="G188" i="6"/>
  <c r="I188" i="6"/>
  <c r="K188" i="6" s="1"/>
  <c r="AJ188" i="6" s="1"/>
  <c r="AK188" i="6" s="1"/>
  <c r="BA188" i="6" s="1"/>
  <c r="AW188" i="6" s="1"/>
  <c r="G189" i="6"/>
  <c r="I189" i="6"/>
  <c r="K189" i="6" s="1"/>
  <c r="AJ189" i="6" s="1"/>
  <c r="AK189" i="6" s="1"/>
  <c r="BA189" i="6" s="1"/>
  <c r="AW189" i="6" s="1"/>
  <c r="G190" i="6"/>
  <c r="I190" i="6"/>
  <c r="K190" i="6" s="1"/>
  <c r="AJ190" i="6" s="1"/>
  <c r="AK190" i="6" s="1"/>
  <c r="G191" i="6"/>
  <c r="I191" i="6"/>
  <c r="K191" i="6" s="1"/>
  <c r="AJ191" i="6" s="1"/>
  <c r="AK191" i="6" s="1"/>
  <c r="BA191" i="6" s="1"/>
  <c r="AW191" i="6" s="1"/>
  <c r="G192" i="6"/>
  <c r="I192" i="6"/>
  <c r="K192" i="6" s="1"/>
  <c r="AJ192" i="6" s="1"/>
  <c r="AK192" i="6" s="1"/>
  <c r="BA192" i="6" s="1"/>
  <c r="AW192" i="6" s="1"/>
  <c r="G193" i="6"/>
  <c r="I193" i="6"/>
  <c r="K193" i="6" s="1"/>
  <c r="AJ193" i="6" s="1"/>
  <c r="AK193" i="6" s="1"/>
  <c r="BA193" i="6" s="1"/>
  <c r="AW193" i="6" s="1"/>
  <c r="G194" i="6"/>
  <c r="I194" i="6"/>
  <c r="K194" i="6" s="1"/>
  <c r="AJ194" i="6" s="1"/>
  <c r="AK194" i="6" s="1"/>
  <c r="BA194" i="6" s="1"/>
  <c r="AW194" i="6" s="1"/>
  <c r="G195" i="6"/>
  <c r="I195" i="6"/>
  <c r="K195" i="6" s="1"/>
  <c r="AJ195" i="6" s="1"/>
  <c r="AK195" i="6" s="1"/>
  <c r="BA195" i="6" s="1"/>
  <c r="AW195" i="6" s="1"/>
  <c r="G196" i="6"/>
  <c r="I196" i="6"/>
  <c r="K196" i="6" s="1"/>
  <c r="AJ196" i="6" s="1"/>
  <c r="AK196" i="6" s="1"/>
  <c r="BA196" i="6" s="1"/>
  <c r="AW196" i="6" s="1"/>
  <c r="G197" i="6"/>
  <c r="I197" i="6"/>
  <c r="K197" i="6" s="1"/>
  <c r="AJ197" i="6" s="1"/>
  <c r="AK197" i="6" s="1"/>
  <c r="BA197" i="6" s="1"/>
  <c r="AW197" i="6" s="1"/>
  <c r="G198" i="6"/>
  <c r="I198" i="6"/>
  <c r="K198" i="6" s="1"/>
  <c r="AJ198" i="6" s="1"/>
  <c r="AK198" i="6" s="1"/>
  <c r="BA198" i="6" s="1"/>
  <c r="AW198" i="6" s="1"/>
  <c r="G199" i="6"/>
  <c r="I199" i="6"/>
  <c r="K199" i="6" s="1"/>
  <c r="AJ199" i="6" s="1"/>
  <c r="AK199" i="6" s="1"/>
  <c r="BA199" i="6" s="1"/>
  <c r="AW199" i="6" s="1"/>
  <c r="G200" i="6"/>
  <c r="I200" i="6"/>
  <c r="K200" i="6" s="1"/>
  <c r="AJ200" i="6" s="1"/>
  <c r="AK200" i="6" s="1"/>
  <c r="BA200" i="6" s="1"/>
  <c r="AW200" i="6" s="1"/>
  <c r="G201" i="6"/>
  <c r="I201" i="6"/>
  <c r="K201" i="6" s="1"/>
  <c r="AJ201" i="6" s="1"/>
  <c r="AK201" i="6" s="1"/>
  <c r="BA201" i="6" s="1"/>
  <c r="AW201" i="6" s="1"/>
  <c r="G202" i="6"/>
  <c r="I202" i="6"/>
  <c r="K202" i="6" s="1"/>
  <c r="AJ202" i="6" s="1"/>
  <c r="AK202" i="6" s="1"/>
  <c r="BA202" i="6" s="1"/>
  <c r="AW202" i="6" s="1"/>
  <c r="G203" i="6"/>
  <c r="I203" i="6"/>
  <c r="K203" i="6" s="1"/>
  <c r="AJ203" i="6" s="1"/>
  <c r="AK203" i="6" s="1"/>
  <c r="BA203" i="6" s="1"/>
  <c r="AW203" i="6" s="1"/>
  <c r="G204" i="6"/>
  <c r="I204" i="6"/>
  <c r="K204" i="6" s="1"/>
  <c r="AJ204" i="6" s="1"/>
  <c r="AK204" i="6" s="1"/>
  <c r="G205" i="6"/>
  <c r="I205" i="6"/>
  <c r="K205" i="6" s="1"/>
  <c r="AJ205" i="6" s="1"/>
  <c r="AK205" i="6" s="1"/>
  <c r="BA205" i="6" s="1"/>
  <c r="AW205" i="6" s="1"/>
  <c r="G206" i="6"/>
  <c r="I206" i="6"/>
  <c r="K206" i="6" s="1"/>
  <c r="AJ206" i="6" s="1"/>
  <c r="AK206" i="6" s="1"/>
  <c r="BA206" i="6" s="1"/>
  <c r="AW206" i="6" s="1"/>
  <c r="G207" i="6"/>
  <c r="I207" i="6"/>
  <c r="K207" i="6" s="1"/>
  <c r="AJ207" i="6" s="1"/>
  <c r="AK207" i="6" s="1"/>
  <c r="BA207" i="6" s="1"/>
  <c r="AW207" i="6" s="1"/>
  <c r="G208" i="6"/>
  <c r="I208" i="6"/>
  <c r="K208" i="6" s="1"/>
  <c r="AJ208" i="6" s="1"/>
  <c r="AK208" i="6" s="1"/>
  <c r="G209" i="6"/>
  <c r="I209" i="6"/>
  <c r="K209" i="6" s="1"/>
  <c r="AJ209" i="6" s="1"/>
  <c r="AK209" i="6" s="1"/>
  <c r="BA209" i="6" s="1"/>
  <c r="AW209" i="6" s="1"/>
  <c r="G210" i="6"/>
  <c r="I210" i="6"/>
  <c r="K210" i="6" s="1"/>
  <c r="AJ210" i="6" s="1"/>
  <c r="AK210" i="6" s="1"/>
  <c r="BA210" i="6" s="1"/>
  <c r="AW210" i="6" s="1"/>
  <c r="G211" i="6"/>
  <c r="I211" i="6"/>
  <c r="K211" i="6" s="1"/>
  <c r="AJ211" i="6" s="1"/>
  <c r="AK211" i="6" s="1"/>
  <c r="BA211" i="6" s="1"/>
  <c r="AW211" i="6" s="1"/>
  <c r="G212" i="6"/>
  <c r="I212" i="6"/>
  <c r="K212" i="6" s="1"/>
  <c r="AJ212" i="6" s="1"/>
  <c r="AK212" i="6" s="1"/>
  <c r="BA212" i="6" s="1"/>
  <c r="AW212" i="6" s="1"/>
  <c r="G213" i="6"/>
  <c r="I213" i="6"/>
  <c r="K213" i="6" s="1"/>
  <c r="AJ213" i="6" s="1"/>
  <c r="AK213" i="6" s="1"/>
  <c r="BA213" i="6" s="1"/>
  <c r="AW213" i="6" s="1"/>
  <c r="G214" i="6"/>
  <c r="I214" i="6"/>
  <c r="K214" i="6" s="1"/>
  <c r="AJ214" i="6" s="1"/>
  <c r="AK214" i="6" s="1"/>
  <c r="BA214" i="6" s="1"/>
  <c r="AW214" i="6" s="1"/>
  <c r="G215" i="6"/>
  <c r="I215" i="6"/>
  <c r="K215" i="6" s="1"/>
  <c r="AJ215" i="6" s="1"/>
  <c r="AK215" i="6" s="1"/>
  <c r="BA215" i="6" s="1"/>
  <c r="AW215" i="6" s="1"/>
  <c r="G216" i="6"/>
  <c r="I216" i="6"/>
  <c r="K216" i="6" s="1"/>
  <c r="AJ216" i="6" s="1"/>
  <c r="AK216" i="6" s="1"/>
  <c r="BA216" i="6" s="1"/>
  <c r="AW216" i="6" s="1"/>
  <c r="G217" i="6"/>
  <c r="I217" i="6"/>
  <c r="K217" i="6" s="1"/>
  <c r="AJ217" i="6" s="1"/>
  <c r="AK217" i="6" s="1"/>
  <c r="BA217" i="6" s="1"/>
  <c r="AW217" i="6" s="1"/>
  <c r="G218" i="6"/>
  <c r="I218" i="6"/>
  <c r="K218" i="6" s="1"/>
  <c r="AJ218" i="6" s="1"/>
  <c r="AK218" i="6" s="1"/>
  <c r="BA218" i="6" s="1"/>
  <c r="AW218" i="6" s="1"/>
  <c r="G219" i="6"/>
  <c r="I219" i="6"/>
  <c r="K219" i="6" s="1"/>
  <c r="AJ219" i="6" s="1"/>
  <c r="AK219" i="6" s="1"/>
  <c r="BA219" i="6" s="1"/>
  <c r="AW219" i="6" s="1"/>
  <c r="G220" i="6"/>
  <c r="I220" i="6"/>
  <c r="K220" i="6" s="1"/>
  <c r="AJ220" i="6" s="1"/>
  <c r="AK220" i="6" s="1"/>
  <c r="BA220" i="6" s="1"/>
  <c r="AW220" i="6" s="1"/>
  <c r="G221" i="6"/>
  <c r="I221" i="6"/>
  <c r="K221" i="6" s="1"/>
  <c r="AJ221" i="6" s="1"/>
  <c r="AK221" i="6" s="1"/>
  <c r="BA221" i="6" s="1"/>
  <c r="AW221" i="6" s="1"/>
  <c r="G222" i="6"/>
  <c r="I222" i="6"/>
  <c r="K222" i="6" s="1"/>
  <c r="AJ222" i="6" s="1"/>
  <c r="AK222" i="6" s="1"/>
  <c r="BA222" i="6" s="1"/>
  <c r="AW222" i="6" s="1"/>
  <c r="G223" i="6"/>
  <c r="I223" i="6"/>
  <c r="K223" i="6" s="1"/>
  <c r="AJ223" i="6" s="1"/>
  <c r="AK223" i="6" s="1"/>
  <c r="BA223" i="6" s="1"/>
  <c r="AW223" i="6" s="1"/>
  <c r="G224" i="6"/>
  <c r="I224" i="6"/>
  <c r="K224" i="6" s="1"/>
  <c r="AJ224" i="6" s="1"/>
  <c r="AK224" i="6" s="1"/>
  <c r="BA224" i="6" s="1"/>
  <c r="AW224" i="6" s="1"/>
  <c r="G225" i="6"/>
  <c r="I225" i="6"/>
  <c r="K225" i="6" s="1"/>
  <c r="AJ225" i="6" s="1"/>
  <c r="AK225" i="6" s="1"/>
  <c r="BA225" i="6" s="1"/>
  <c r="AW225" i="6" s="1"/>
  <c r="G226" i="6"/>
  <c r="I226" i="6"/>
  <c r="K226" i="6" s="1"/>
  <c r="AJ226" i="6" s="1"/>
  <c r="AK226" i="6" s="1"/>
  <c r="BA226" i="6" s="1"/>
  <c r="AW226" i="6" s="1"/>
  <c r="G227" i="6"/>
  <c r="I227" i="6"/>
  <c r="K227" i="6" s="1"/>
  <c r="AJ227" i="6" s="1"/>
  <c r="AK227" i="6" s="1"/>
  <c r="BA227" i="6" s="1"/>
  <c r="AW227" i="6" s="1"/>
  <c r="G228" i="6"/>
  <c r="I228" i="6"/>
  <c r="K228" i="6" s="1"/>
  <c r="AJ228" i="6" s="1"/>
  <c r="AK228" i="6" s="1"/>
  <c r="BA228" i="6" s="1"/>
  <c r="AW228" i="6" s="1"/>
  <c r="G229" i="6"/>
  <c r="I229" i="6"/>
  <c r="K229" i="6" s="1"/>
  <c r="AJ229" i="6" s="1"/>
  <c r="AK229" i="6" s="1"/>
  <c r="BA229" i="6" s="1"/>
  <c r="AW229" i="6" s="1"/>
  <c r="G230" i="6"/>
  <c r="I230" i="6"/>
  <c r="K230" i="6" s="1"/>
  <c r="AJ230" i="6" s="1"/>
  <c r="AK230" i="6" s="1"/>
  <c r="BA230" i="6" s="1"/>
  <c r="AW230" i="6" s="1"/>
  <c r="G231" i="6"/>
  <c r="I231" i="6"/>
  <c r="K231" i="6" s="1"/>
  <c r="AJ231" i="6" s="1"/>
  <c r="AK231" i="6" s="1"/>
  <c r="BA231" i="6" s="1"/>
  <c r="AW231" i="6" s="1"/>
  <c r="G232" i="6"/>
  <c r="I232" i="6"/>
  <c r="K232" i="6" s="1"/>
  <c r="AJ232" i="6" s="1"/>
  <c r="AK232" i="6" s="1"/>
  <c r="BA232" i="6" s="1"/>
  <c r="AW232" i="6" s="1"/>
  <c r="G233" i="6"/>
  <c r="I233" i="6"/>
  <c r="K233" i="6" s="1"/>
  <c r="AJ233" i="6" s="1"/>
  <c r="AK233" i="6" s="1"/>
  <c r="G234" i="6"/>
  <c r="I234" i="6"/>
  <c r="K234" i="6" s="1"/>
  <c r="AJ234" i="6" s="1"/>
  <c r="AK234" i="6" s="1"/>
  <c r="BA234" i="6" s="1"/>
  <c r="AW234" i="6" s="1"/>
  <c r="G235" i="6"/>
  <c r="I235" i="6"/>
  <c r="K235" i="6" s="1"/>
  <c r="AJ235" i="6" s="1"/>
  <c r="AK235" i="6" s="1"/>
  <c r="BA235" i="6" s="1"/>
  <c r="AW235" i="6" s="1"/>
  <c r="G236" i="6"/>
  <c r="I236" i="6"/>
  <c r="K236" i="6" s="1"/>
  <c r="AJ236" i="6" s="1"/>
  <c r="AK236" i="6" s="1"/>
  <c r="G237" i="6"/>
  <c r="I237" i="6"/>
  <c r="K237" i="6" s="1"/>
  <c r="AJ237" i="6" s="1"/>
  <c r="AK237" i="6" s="1"/>
  <c r="BA237" i="6" s="1"/>
  <c r="AW237" i="6" s="1"/>
  <c r="G238" i="6"/>
  <c r="I238" i="6"/>
  <c r="K238" i="6" s="1"/>
  <c r="AJ238" i="6" s="1"/>
  <c r="AK238" i="6" s="1"/>
  <c r="BA238" i="6" s="1"/>
  <c r="AW238" i="6" s="1"/>
  <c r="G239" i="6"/>
  <c r="I239" i="6"/>
  <c r="K239" i="6" s="1"/>
  <c r="AJ239" i="6" s="1"/>
  <c r="AK239" i="6" s="1"/>
  <c r="BA239" i="6" s="1"/>
  <c r="AW239" i="6" s="1"/>
  <c r="G240" i="6"/>
  <c r="I240" i="6"/>
  <c r="K240" i="6" s="1"/>
  <c r="AJ240" i="6" s="1"/>
  <c r="AK240" i="6" s="1"/>
  <c r="BA240" i="6" s="1"/>
  <c r="AW240" i="6" s="1"/>
  <c r="G241" i="6"/>
  <c r="I241" i="6"/>
  <c r="K241" i="6" s="1"/>
  <c r="AJ241" i="6" s="1"/>
  <c r="AK241" i="6" s="1"/>
  <c r="BA241" i="6" s="1"/>
  <c r="AW241" i="6" s="1"/>
  <c r="G242" i="6"/>
  <c r="I242" i="6"/>
  <c r="K242" i="6" s="1"/>
  <c r="AJ242" i="6" s="1"/>
  <c r="AK242" i="6" s="1"/>
  <c r="G243" i="6"/>
  <c r="I243" i="6"/>
  <c r="K243" i="6" s="1"/>
  <c r="AJ243" i="6" s="1"/>
  <c r="AK243" i="6" s="1"/>
  <c r="G244" i="6"/>
  <c r="I244" i="6"/>
  <c r="K244" i="6" s="1"/>
  <c r="AJ244" i="6" s="1"/>
  <c r="AK244" i="6" s="1"/>
  <c r="BA244" i="6" s="1"/>
  <c r="AW244" i="6" s="1"/>
  <c r="G245" i="6"/>
  <c r="I245" i="6"/>
  <c r="K245" i="6" s="1"/>
  <c r="AJ245" i="6" s="1"/>
  <c r="AK245" i="6" s="1"/>
  <c r="G246" i="6"/>
  <c r="I246" i="6"/>
  <c r="K246" i="6" s="1"/>
  <c r="AJ246" i="6" s="1"/>
  <c r="AK246" i="6" s="1"/>
  <c r="BA246" i="6" s="1"/>
  <c r="AW246" i="6" s="1"/>
  <c r="G247" i="6"/>
  <c r="I247" i="6"/>
  <c r="K247" i="6" s="1"/>
  <c r="AJ247" i="6" s="1"/>
  <c r="AK247" i="6" s="1"/>
  <c r="BA247" i="6" s="1"/>
  <c r="AW247" i="6" s="1"/>
  <c r="G248" i="6"/>
  <c r="I248" i="6"/>
  <c r="K248" i="6" s="1"/>
  <c r="AJ248" i="6" s="1"/>
  <c r="AK248" i="6" s="1"/>
  <c r="BA248" i="6" s="1"/>
  <c r="AW248" i="6" s="1"/>
  <c r="G249" i="6"/>
  <c r="I249" i="6"/>
  <c r="K249" i="6" s="1"/>
  <c r="AJ249" i="6" s="1"/>
  <c r="AK249" i="6" s="1"/>
  <c r="BA249" i="6" s="1"/>
  <c r="AW249" i="6" s="1"/>
  <c r="G250" i="6"/>
  <c r="I250" i="6"/>
  <c r="K250" i="6" s="1"/>
  <c r="AJ250" i="6" s="1"/>
  <c r="AK250" i="6" s="1"/>
  <c r="G251" i="6"/>
  <c r="I251" i="6"/>
  <c r="K251" i="6" s="1"/>
  <c r="AJ251" i="6" s="1"/>
  <c r="AK251" i="6" s="1"/>
  <c r="BA251" i="6" s="1"/>
  <c r="AW251" i="6" s="1"/>
  <c r="G252" i="6"/>
  <c r="I252" i="6"/>
  <c r="K252" i="6" s="1"/>
  <c r="AJ252" i="6" s="1"/>
  <c r="AK252" i="6" s="1"/>
  <c r="BA252" i="6" s="1"/>
  <c r="AW252" i="6" s="1"/>
  <c r="G253" i="6"/>
  <c r="I253" i="6"/>
  <c r="K253" i="6" s="1"/>
  <c r="AJ253" i="6" s="1"/>
  <c r="AK253" i="6" s="1"/>
  <c r="G254" i="6"/>
  <c r="I254" i="6"/>
  <c r="K254" i="6" s="1"/>
  <c r="AJ254" i="6" s="1"/>
  <c r="AK254" i="6" s="1"/>
  <c r="BA254" i="6" s="1"/>
  <c r="AW254" i="6" s="1"/>
  <c r="G255" i="6"/>
  <c r="I255" i="6"/>
  <c r="K255" i="6" s="1"/>
  <c r="AJ255" i="6" s="1"/>
  <c r="AK255" i="6" s="1"/>
  <c r="BA255" i="6" s="1"/>
  <c r="AW255" i="6" s="1"/>
  <c r="G256" i="6"/>
  <c r="I256" i="6"/>
  <c r="K256" i="6" s="1"/>
  <c r="AJ256" i="6" s="1"/>
  <c r="AK256" i="6" s="1"/>
  <c r="BA256" i="6" s="1"/>
  <c r="AW256" i="6" s="1"/>
  <c r="G257" i="6"/>
  <c r="I257" i="6"/>
  <c r="K257" i="6" s="1"/>
  <c r="AJ257" i="6" s="1"/>
  <c r="AK257" i="6" s="1"/>
  <c r="G258" i="6"/>
  <c r="I258" i="6"/>
  <c r="K258" i="6" s="1"/>
  <c r="AJ258" i="6" s="1"/>
  <c r="AK258" i="6" s="1"/>
  <c r="BA258" i="6" s="1"/>
  <c r="AW258" i="6" s="1"/>
  <c r="G259" i="6"/>
  <c r="I259" i="6"/>
  <c r="K259" i="6" s="1"/>
  <c r="AJ259" i="6" s="1"/>
  <c r="AK259" i="6" s="1"/>
  <c r="BA259" i="6" s="1"/>
  <c r="AW259" i="6" s="1"/>
  <c r="G260" i="6"/>
  <c r="I260" i="6"/>
  <c r="K260" i="6" s="1"/>
  <c r="AJ260" i="6" s="1"/>
  <c r="AK260" i="6" s="1"/>
  <c r="BA260" i="6" s="1"/>
  <c r="AW260" i="6" s="1"/>
  <c r="G261" i="6"/>
  <c r="I261" i="6"/>
  <c r="K261" i="6" s="1"/>
  <c r="AJ261" i="6" s="1"/>
  <c r="AK261" i="6" s="1"/>
  <c r="G262" i="6"/>
  <c r="I262" i="6"/>
  <c r="K262" i="6" s="1"/>
  <c r="AJ262" i="6" s="1"/>
  <c r="AK262" i="6" s="1"/>
  <c r="G263" i="6"/>
  <c r="I263" i="6"/>
  <c r="K263" i="6" s="1"/>
  <c r="AJ263" i="6" s="1"/>
  <c r="AK263" i="6" s="1"/>
  <c r="BA263" i="6" s="1"/>
  <c r="AW263" i="6" s="1"/>
  <c r="G264" i="6"/>
  <c r="I264" i="6"/>
  <c r="K264" i="6" s="1"/>
  <c r="AJ264" i="6" s="1"/>
  <c r="AK264" i="6" s="1"/>
  <c r="BA264" i="6" s="1"/>
  <c r="AW264" i="6" s="1"/>
  <c r="G265" i="6"/>
  <c r="I265" i="6"/>
  <c r="K265" i="6" s="1"/>
  <c r="AJ265" i="6" s="1"/>
  <c r="AK265" i="6" s="1"/>
  <c r="G266" i="6"/>
  <c r="I266" i="6"/>
  <c r="K266" i="6" s="1"/>
  <c r="AJ266" i="6" s="1"/>
  <c r="AK266" i="6" s="1"/>
  <c r="BA266" i="6" s="1"/>
  <c r="AW266" i="6" s="1"/>
  <c r="G267" i="6"/>
  <c r="I267" i="6"/>
  <c r="K267" i="6" s="1"/>
  <c r="AJ267" i="6" s="1"/>
  <c r="AK267" i="6" s="1"/>
  <c r="BA267" i="6" s="1"/>
  <c r="AW267" i="6" s="1"/>
  <c r="G268" i="6"/>
  <c r="I268" i="6"/>
  <c r="K268" i="6" s="1"/>
  <c r="AJ268" i="6" s="1"/>
  <c r="AK268" i="6" s="1"/>
  <c r="BA268" i="6" s="1"/>
  <c r="AW268" i="6" s="1"/>
  <c r="G269" i="6"/>
  <c r="I269" i="6"/>
  <c r="K269" i="6" s="1"/>
  <c r="AJ269" i="6" s="1"/>
  <c r="AK269" i="6" s="1"/>
  <c r="BA269" i="6" s="1"/>
  <c r="AW269" i="6" s="1"/>
  <c r="G270" i="6"/>
  <c r="I270" i="6"/>
  <c r="K270" i="6" s="1"/>
  <c r="AJ270" i="6" s="1"/>
  <c r="AK270" i="6" s="1"/>
  <c r="BA270" i="6" s="1"/>
  <c r="AW270" i="6" s="1"/>
  <c r="G271" i="6"/>
  <c r="I271" i="6"/>
  <c r="K271" i="6" s="1"/>
  <c r="AJ271" i="6" s="1"/>
  <c r="AK271" i="6" s="1"/>
  <c r="BA271" i="6" s="1"/>
  <c r="AW271" i="6" s="1"/>
  <c r="G272" i="6"/>
  <c r="I272" i="6"/>
  <c r="K272" i="6" s="1"/>
  <c r="AJ272" i="6" s="1"/>
  <c r="AK272" i="6" s="1"/>
  <c r="BA272" i="6" s="1"/>
  <c r="AW272" i="6" s="1"/>
  <c r="G273" i="6"/>
  <c r="I273" i="6"/>
  <c r="K273" i="6" s="1"/>
  <c r="AJ273" i="6" s="1"/>
  <c r="AK273" i="6" s="1"/>
  <c r="G274" i="6"/>
  <c r="I274" i="6"/>
  <c r="K274" i="6" s="1"/>
  <c r="AJ274" i="6" s="1"/>
  <c r="AK274" i="6" s="1"/>
  <c r="BA274" i="6" s="1"/>
  <c r="AW274" i="6" s="1"/>
  <c r="G275" i="6"/>
  <c r="I275" i="6"/>
  <c r="K275" i="6" s="1"/>
  <c r="AJ275" i="6" s="1"/>
  <c r="AK275" i="6" s="1"/>
  <c r="BA275" i="6" s="1"/>
  <c r="AW275" i="6" s="1"/>
  <c r="G276" i="6"/>
  <c r="I276" i="6"/>
  <c r="K276" i="6" s="1"/>
  <c r="AJ276" i="6" s="1"/>
  <c r="AK276" i="6" s="1"/>
  <c r="BA276" i="6" s="1"/>
  <c r="AW276" i="6" s="1"/>
  <c r="G277" i="6"/>
  <c r="I277" i="6"/>
  <c r="K277" i="6" s="1"/>
  <c r="AJ277" i="6" s="1"/>
  <c r="AK277" i="6" s="1"/>
  <c r="BA277" i="6" s="1"/>
  <c r="AW277" i="6" s="1"/>
  <c r="G278" i="6"/>
  <c r="I278" i="6"/>
  <c r="K278" i="6" s="1"/>
  <c r="AJ278" i="6" s="1"/>
  <c r="AK278" i="6" s="1"/>
  <c r="BA278" i="6" s="1"/>
  <c r="AW278" i="6" s="1"/>
  <c r="G279" i="6"/>
  <c r="I279" i="6"/>
  <c r="K279" i="6" s="1"/>
  <c r="AJ279" i="6" s="1"/>
  <c r="AK279" i="6" s="1"/>
  <c r="BA279" i="6" s="1"/>
  <c r="AW279" i="6" s="1"/>
  <c r="G280" i="6"/>
  <c r="I280" i="6"/>
  <c r="K280" i="6" s="1"/>
  <c r="AJ280" i="6" s="1"/>
  <c r="AK280" i="6" s="1"/>
  <c r="BA280" i="6" s="1"/>
  <c r="AW280" i="6" s="1"/>
  <c r="G281" i="6"/>
  <c r="I281" i="6"/>
  <c r="K281" i="6" s="1"/>
  <c r="AJ281" i="6" s="1"/>
  <c r="AK281" i="6" s="1"/>
  <c r="BA281" i="6" s="1"/>
  <c r="AW281" i="6" s="1"/>
  <c r="G282" i="6"/>
  <c r="I282" i="6"/>
  <c r="K282" i="6" s="1"/>
  <c r="AJ282" i="6" s="1"/>
  <c r="AK282" i="6" s="1"/>
  <c r="BA282" i="6" s="1"/>
  <c r="AW282" i="6" s="1"/>
  <c r="G283" i="6"/>
  <c r="I283" i="6"/>
  <c r="K283" i="6" s="1"/>
  <c r="AJ283" i="6" s="1"/>
  <c r="AK283" i="6" s="1"/>
  <c r="BA283" i="6" s="1"/>
  <c r="AW283" i="6" s="1"/>
  <c r="G284" i="6"/>
  <c r="I284" i="6"/>
  <c r="K284" i="6" s="1"/>
  <c r="AJ284" i="6" s="1"/>
  <c r="AK284" i="6" s="1"/>
  <c r="G285" i="6"/>
  <c r="I285" i="6"/>
  <c r="K285" i="6" s="1"/>
  <c r="AJ285" i="6" s="1"/>
  <c r="AK285" i="6" s="1"/>
  <c r="BA285" i="6" s="1"/>
  <c r="AW285" i="6" s="1"/>
  <c r="G286" i="6"/>
  <c r="I286" i="6"/>
  <c r="K286" i="6" s="1"/>
  <c r="AJ286" i="6" s="1"/>
  <c r="AK286" i="6" s="1"/>
  <c r="BA286" i="6" s="1"/>
  <c r="AW286" i="6" s="1"/>
  <c r="G287" i="6"/>
  <c r="I287" i="6"/>
  <c r="K287" i="6" s="1"/>
  <c r="AJ287" i="6" s="1"/>
  <c r="AK287" i="6" s="1"/>
  <c r="BA287" i="6" s="1"/>
  <c r="AW287" i="6" s="1"/>
  <c r="G288" i="6"/>
  <c r="I288" i="6"/>
  <c r="K288" i="6" s="1"/>
  <c r="AJ288" i="6" s="1"/>
  <c r="AK288" i="6" s="1"/>
  <c r="G289" i="6"/>
  <c r="I289" i="6"/>
  <c r="K289" i="6" s="1"/>
  <c r="AJ289" i="6" s="1"/>
  <c r="AK289" i="6" s="1"/>
  <c r="BA289" i="6" s="1"/>
  <c r="AW289" i="6" s="1"/>
  <c r="G290" i="6"/>
  <c r="I290" i="6"/>
  <c r="K290" i="6" s="1"/>
  <c r="AJ290" i="6" s="1"/>
  <c r="AK290" i="6" s="1"/>
  <c r="BA290" i="6" s="1"/>
  <c r="AW290" i="6" s="1"/>
  <c r="G291" i="6"/>
  <c r="I291" i="6"/>
  <c r="K291" i="6" s="1"/>
  <c r="AJ291" i="6" s="1"/>
  <c r="AK291" i="6" s="1"/>
  <c r="G292" i="6"/>
  <c r="I292" i="6"/>
  <c r="K292" i="6" s="1"/>
  <c r="AJ292" i="6" s="1"/>
  <c r="AK292" i="6" s="1"/>
  <c r="BA292" i="6" s="1"/>
  <c r="AW292" i="6" s="1"/>
  <c r="G293" i="6"/>
  <c r="I293" i="6"/>
  <c r="K293" i="6" s="1"/>
  <c r="AJ293" i="6" s="1"/>
  <c r="AK293" i="6" s="1"/>
  <c r="G294" i="6"/>
  <c r="I294" i="6"/>
  <c r="K294" i="6" s="1"/>
  <c r="AJ294" i="6" s="1"/>
  <c r="AK294" i="6" s="1"/>
  <c r="BA294" i="6" s="1"/>
  <c r="AW294" i="6" s="1"/>
  <c r="G295" i="6"/>
  <c r="I295" i="6"/>
  <c r="K295" i="6" s="1"/>
  <c r="AJ295" i="6" s="1"/>
  <c r="AK295" i="6" s="1"/>
  <c r="BA295" i="6" s="1"/>
  <c r="AW295" i="6" s="1"/>
  <c r="G296" i="6"/>
  <c r="I296" i="6"/>
  <c r="K296" i="6" s="1"/>
  <c r="AJ296" i="6" s="1"/>
  <c r="AK296" i="6" s="1"/>
  <c r="BA296" i="6" s="1"/>
  <c r="AW296" i="6" s="1"/>
  <c r="G297" i="6"/>
  <c r="I297" i="6"/>
  <c r="K297" i="6" s="1"/>
  <c r="AJ297" i="6" s="1"/>
  <c r="AK297" i="6" s="1"/>
  <c r="G298" i="6"/>
  <c r="I298" i="6"/>
  <c r="K298" i="6" s="1"/>
  <c r="AJ298" i="6" s="1"/>
  <c r="AK298" i="6" s="1"/>
  <c r="BA298" i="6" s="1"/>
  <c r="AW298" i="6" s="1"/>
  <c r="G299" i="6"/>
  <c r="I299" i="6"/>
  <c r="K299" i="6" s="1"/>
  <c r="AJ299" i="6" s="1"/>
  <c r="AK299" i="6" s="1"/>
  <c r="BA299" i="6" s="1"/>
  <c r="AW299" i="6" s="1"/>
  <c r="G300" i="6"/>
  <c r="I300" i="6"/>
  <c r="K300" i="6" s="1"/>
  <c r="AJ300" i="6" s="1"/>
  <c r="AK300" i="6" s="1"/>
  <c r="G301" i="6"/>
  <c r="I301" i="6"/>
  <c r="K301" i="6" s="1"/>
  <c r="AJ301" i="6" s="1"/>
  <c r="AK301" i="6" s="1"/>
  <c r="BA301" i="6" s="1"/>
  <c r="AW301" i="6" s="1"/>
  <c r="G302" i="6"/>
  <c r="I302" i="6"/>
  <c r="K302" i="6" s="1"/>
  <c r="AJ302" i="6" s="1"/>
  <c r="AK302" i="6" s="1"/>
  <c r="BA302" i="6" s="1"/>
  <c r="AW302" i="6" s="1"/>
  <c r="G303" i="6"/>
  <c r="I303" i="6"/>
  <c r="K303" i="6" s="1"/>
  <c r="AJ303" i="6" s="1"/>
  <c r="AK303" i="6" s="1"/>
  <c r="BA303" i="6" s="1"/>
  <c r="AW303" i="6" s="1"/>
  <c r="G304" i="6"/>
  <c r="I304" i="6"/>
  <c r="K304" i="6" s="1"/>
  <c r="AJ304" i="6" s="1"/>
  <c r="AK304" i="6" s="1"/>
  <c r="BA304" i="6" s="1"/>
  <c r="AW304" i="6" s="1"/>
  <c r="G305" i="6"/>
  <c r="I305" i="6"/>
  <c r="K305" i="6" s="1"/>
  <c r="AJ305" i="6" s="1"/>
  <c r="AK305" i="6" s="1"/>
  <c r="G306" i="6"/>
  <c r="I306" i="6"/>
  <c r="K306" i="6" s="1"/>
  <c r="AJ306" i="6" s="1"/>
  <c r="AK306" i="6" s="1"/>
  <c r="BA306" i="6" s="1"/>
  <c r="AW306" i="6" s="1"/>
  <c r="G307" i="6"/>
  <c r="I307" i="6"/>
  <c r="K307" i="6" s="1"/>
  <c r="AJ307" i="6" s="1"/>
  <c r="AK307" i="6" s="1"/>
  <c r="BA307" i="6" s="1"/>
  <c r="AW307" i="6" s="1"/>
  <c r="G308" i="6"/>
  <c r="I308" i="6"/>
  <c r="K308" i="6" s="1"/>
  <c r="AJ308" i="6" s="1"/>
  <c r="AK308" i="6" s="1"/>
  <c r="G309" i="6"/>
  <c r="I309" i="6"/>
  <c r="K309" i="6" s="1"/>
  <c r="AJ309" i="6" s="1"/>
  <c r="AK309" i="6" s="1"/>
  <c r="BA309" i="6" s="1"/>
  <c r="AW309" i="6" s="1"/>
  <c r="G310" i="6"/>
  <c r="I310" i="6"/>
  <c r="K310" i="6" s="1"/>
  <c r="AJ310" i="6" s="1"/>
  <c r="AK310" i="6" s="1"/>
  <c r="BA310" i="6" s="1"/>
  <c r="AW310" i="6" s="1"/>
  <c r="G311" i="6"/>
  <c r="I311" i="6"/>
  <c r="K311" i="6" s="1"/>
  <c r="AJ311" i="6" s="1"/>
  <c r="AK311" i="6" s="1"/>
  <c r="G312" i="6"/>
  <c r="I312" i="6"/>
  <c r="K312" i="6" s="1"/>
  <c r="AJ312" i="6" s="1"/>
  <c r="AK312" i="6" s="1"/>
  <c r="G313" i="6"/>
  <c r="I313" i="6"/>
  <c r="K313" i="6" s="1"/>
  <c r="AJ313" i="6" s="1"/>
  <c r="AK313" i="6" s="1"/>
  <c r="BA313" i="6" s="1"/>
  <c r="AW313" i="6" s="1"/>
  <c r="G314" i="6"/>
  <c r="I314" i="6"/>
  <c r="K314" i="6" s="1"/>
  <c r="AJ314" i="6" s="1"/>
  <c r="AK314" i="6" s="1"/>
  <c r="BA314" i="6" s="1"/>
  <c r="AW314" i="6" s="1"/>
  <c r="G315" i="6"/>
  <c r="I315" i="6"/>
  <c r="K315" i="6" s="1"/>
  <c r="AJ315" i="6" s="1"/>
  <c r="AK315" i="6" s="1"/>
  <c r="BA315" i="6" s="1"/>
  <c r="AW315" i="6" s="1"/>
  <c r="G316" i="6"/>
  <c r="I316" i="6"/>
  <c r="K316" i="6" s="1"/>
  <c r="AJ316" i="6" s="1"/>
  <c r="AK316" i="6" s="1"/>
  <c r="BA316" i="6" s="1"/>
  <c r="AW316" i="6" s="1"/>
  <c r="G317" i="6"/>
  <c r="I317" i="6"/>
  <c r="K317" i="6" s="1"/>
  <c r="AJ317" i="6" s="1"/>
  <c r="AK317" i="6" s="1"/>
  <c r="G318" i="6"/>
  <c r="I318" i="6"/>
  <c r="K318" i="6" s="1"/>
  <c r="AJ318" i="6" s="1"/>
  <c r="AK318" i="6" s="1"/>
  <c r="BA318" i="6" s="1"/>
  <c r="AW318" i="6" s="1"/>
  <c r="G319" i="6"/>
  <c r="I319" i="6"/>
  <c r="K319" i="6" s="1"/>
  <c r="AJ319" i="6" s="1"/>
  <c r="AK319" i="6" s="1"/>
  <c r="BA319" i="6" s="1"/>
  <c r="AW319" i="6" s="1"/>
  <c r="G320" i="6"/>
  <c r="I320" i="6"/>
  <c r="K320" i="6" s="1"/>
  <c r="AJ320" i="6" s="1"/>
  <c r="AK320" i="6" s="1"/>
  <c r="BA320" i="6" s="1"/>
  <c r="AW320" i="6" s="1"/>
  <c r="G321" i="6"/>
  <c r="I321" i="6"/>
  <c r="K321" i="6" s="1"/>
  <c r="AJ321" i="6" s="1"/>
  <c r="AK321" i="6" s="1"/>
  <c r="BA321" i="6" s="1"/>
  <c r="AW321" i="6" s="1"/>
  <c r="G322" i="6"/>
  <c r="I322" i="6"/>
  <c r="K322" i="6" s="1"/>
  <c r="AJ322" i="6" s="1"/>
  <c r="AK322" i="6" s="1"/>
  <c r="BA322" i="6" s="1"/>
  <c r="AW322" i="6" s="1"/>
  <c r="G323" i="6"/>
  <c r="I323" i="6"/>
  <c r="K323" i="6" s="1"/>
  <c r="AJ323" i="6" s="1"/>
  <c r="AK323" i="6" s="1"/>
  <c r="BA323" i="6" s="1"/>
  <c r="AW323" i="6" s="1"/>
  <c r="G324" i="6"/>
  <c r="I324" i="6"/>
  <c r="K324" i="6" s="1"/>
  <c r="AJ324" i="6" s="1"/>
  <c r="AK324" i="6" s="1"/>
  <c r="G325" i="6"/>
  <c r="I325" i="6"/>
  <c r="K325" i="6" s="1"/>
  <c r="AJ325" i="6" s="1"/>
  <c r="AK325" i="6" s="1"/>
  <c r="G326" i="6"/>
  <c r="I326" i="6"/>
  <c r="K326" i="6" s="1"/>
  <c r="AJ326" i="6" s="1"/>
  <c r="AK326" i="6" s="1"/>
  <c r="BA326" i="6" s="1"/>
  <c r="AW326" i="6" s="1"/>
  <c r="G327" i="6"/>
  <c r="I327" i="6"/>
  <c r="K327" i="6" s="1"/>
  <c r="AJ327" i="6" s="1"/>
  <c r="AK327" i="6" s="1"/>
  <c r="BA327" i="6" s="1"/>
  <c r="AW327" i="6" s="1"/>
  <c r="G328" i="6"/>
  <c r="I328" i="6"/>
  <c r="K328" i="6" s="1"/>
  <c r="AJ328" i="6" s="1"/>
  <c r="AK328" i="6" s="1"/>
  <c r="BA328" i="6" s="1"/>
  <c r="AW328" i="6" s="1"/>
  <c r="G329" i="6"/>
  <c r="I329" i="6"/>
  <c r="K329" i="6" s="1"/>
  <c r="AJ329" i="6" s="1"/>
  <c r="AK329" i="6" s="1"/>
  <c r="BA329" i="6" s="1"/>
  <c r="AW329" i="6" s="1"/>
  <c r="G330" i="6"/>
  <c r="I330" i="6"/>
  <c r="K330" i="6" s="1"/>
  <c r="AJ330" i="6" s="1"/>
  <c r="AK330" i="6" s="1"/>
  <c r="BA330" i="6" s="1"/>
  <c r="AW330" i="6" s="1"/>
  <c r="G331" i="6"/>
  <c r="I331" i="6"/>
  <c r="K331" i="6" s="1"/>
  <c r="AJ331" i="6" s="1"/>
  <c r="AK331" i="6" s="1"/>
  <c r="BA331" i="6" s="1"/>
  <c r="AW331" i="6" s="1"/>
  <c r="G332" i="6"/>
  <c r="I332" i="6"/>
  <c r="K332" i="6" s="1"/>
  <c r="AJ332" i="6" s="1"/>
  <c r="AK332" i="6" s="1"/>
  <c r="BA332" i="6" s="1"/>
  <c r="AW332" i="6" s="1"/>
  <c r="G333" i="6"/>
  <c r="I333" i="6"/>
  <c r="K333" i="6" s="1"/>
  <c r="AJ333" i="6" s="1"/>
  <c r="AK333" i="6" s="1"/>
  <c r="BA333" i="6" s="1"/>
  <c r="AW333" i="6" s="1"/>
  <c r="G334" i="6"/>
  <c r="I334" i="6"/>
  <c r="K334" i="6" s="1"/>
  <c r="AJ334" i="6" s="1"/>
  <c r="AK334" i="6" s="1"/>
  <c r="BA334" i="6" s="1"/>
  <c r="AW334" i="6" s="1"/>
  <c r="G335" i="6"/>
  <c r="I335" i="6"/>
  <c r="K335" i="6" s="1"/>
  <c r="AJ335" i="6" s="1"/>
  <c r="AK335" i="6" s="1"/>
  <c r="BA335" i="6" s="1"/>
  <c r="AW335" i="6" s="1"/>
  <c r="G336" i="6"/>
  <c r="I336" i="6"/>
  <c r="K336" i="6" s="1"/>
  <c r="AJ336" i="6" s="1"/>
  <c r="AK336" i="6" s="1"/>
  <c r="G337" i="6"/>
  <c r="I337" i="6"/>
  <c r="K337" i="6" s="1"/>
  <c r="AJ337" i="6" s="1"/>
  <c r="AK337" i="6" s="1"/>
  <c r="G338" i="6"/>
  <c r="I338" i="6"/>
  <c r="K338" i="6" s="1"/>
  <c r="AJ338" i="6" s="1"/>
  <c r="AK338" i="6" s="1"/>
  <c r="BA338" i="6" s="1"/>
  <c r="AW338" i="6" s="1"/>
  <c r="G339" i="6"/>
  <c r="I339" i="6"/>
  <c r="K339" i="6" s="1"/>
  <c r="AJ339" i="6" s="1"/>
  <c r="AK339" i="6" s="1"/>
  <c r="G340" i="6"/>
  <c r="I340" i="6"/>
  <c r="K340" i="6" s="1"/>
  <c r="AJ340" i="6" s="1"/>
  <c r="AK340" i="6" s="1"/>
  <c r="BA340" i="6" s="1"/>
  <c r="AW340" i="6" s="1"/>
  <c r="G341" i="6"/>
  <c r="I341" i="6"/>
  <c r="K341" i="6" s="1"/>
  <c r="AJ341" i="6" s="1"/>
  <c r="AK341" i="6" s="1"/>
  <c r="G342" i="6"/>
  <c r="I342" i="6"/>
  <c r="K342" i="6" s="1"/>
  <c r="AJ342" i="6" s="1"/>
  <c r="AK342" i="6" s="1"/>
  <c r="BA342" i="6" s="1"/>
  <c r="AW342" i="6" s="1"/>
  <c r="G7" i="6"/>
  <c r="I7" i="6"/>
  <c r="K7" i="6" s="1"/>
  <c r="AJ7" i="6" s="1"/>
  <c r="AK7" i="6" s="1"/>
  <c r="BA7" i="6" s="1"/>
  <c r="AW7" i="6" s="1"/>
  <c r="BB7" i="6" a="1"/>
  <c r="G8" i="6"/>
  <c r="I8" i="6"/>
  <c r="K8" i="6" s="1"/>
  <c r="AJ8" i="6" s="1"/>
  <c r="AK8" i="6" s="1"/>
  <c r="BA8" i="6" s="1"/>
  <c r="AW8" i="6" s="1"/>
  <c r="BB8" i="6" a="1"/>
  <c r="G9" i="6"/>
  <c r="I9" i="6"/>
  <c r="K9" i="6" s="1"/>
  <c r="AJ9" i="6" s="1"/>
  <c r="AK9" i="6" s="1"/>
  <c r="BA9" i="6" s="1"/>
  <c r="AW9" i="6" s="1"/>
  <c r="BB9" i="6" a="1"/>
  <c r="G10" i="6"/>
  <c r="I10" i="6"/>
  <c r="K10" i="6" s="1"/>
  <c r="AJ10" i="6" s="1"/>
  <c r="AK10" i="6" s="1"/>
  <c r="BA10" i="6" s="1"/>
  <c r="AW10" i="6" s="1"/>
  <c r="BB10" i="6" a="1"/>
  <c r="G11" i="6"/>
  <c r="I11" i="6"/>
  <c r="K11" i="6" s="1"/>
  <c r="AJ11" i="6" s="1"/>
  <c r="AK11" i="6" s="1"/>
  <c r="BA11" i="6" s="1"/>
  <c r="AW11" i="6" s="1"/>
  <c r="BB11" i="6" a="1"/>
  <c r="I6" i="6"/>
  <c r="K6" i="6" s="1"/>
  <c r="AJ6" i="6" s="1"/>
  <c r="AK6" i="6" s="1"/>
  <c r="BB6" i="6" a="1"/>
  <c r="G6" i="6"/>
  <c r="I5" i="6"/>
  <c r="K5" i="6" s="1"/>
  <c r="AJ5" i="6" s="1"/>
  <c r="AK5" i="6" s="1"/>
  <c r="BB5" i="6" a="1"/>
  <c r="G5" i="6"/>
  <c r="BA250" i="6" l="1"/>
  <c r="BA53" i="6"/>
  <c r="AW53" i="6" s="1"/>
  <c r="BA80" i="6"/>
  <c r="BA84" i="6"/>
  <c r="AW84" i="6" s="1"/>
  <c r="BA308" i="6"/>
  <c r="BA261" i="6"/>
  <c r="BA5" i="6"/>
  <c r="AW5" i="6" s="1"/>
  <c r="BA6" i="6"/>
  <c r="AW6" i="6" s="1"/>
  <c r="BA14" i="6"/>
  <c r="BA15" i="6"/>
  <c r="BA26" i="6"/>
  <c r="BA28" i="6"/>
  <c r="BA33" i="6"/>
  <c r="BA34" i="6"/>
  <c r="BA35" i="6"/>
  <c r="BA41" i="6"/>
  <c r="BA52" i="6"/>
  <c r="BA66" i="6"/>
  <c r="BA68" i="6"/>
  <c r="BA85" i="6"/>
  <c r="BA87" i="6"/>
  <c r="BA90" i="6"/>
  <c r="BA104" i="6"/>
  <c r="BA108" i="6"/>
  <c r="BA110" i="6"/>
  <c r="BA111" i="6"/>
  <c r="BA112" i="6"/>
  <c r="BA113" i="6"/>
  <c r="BA114" i="6"/>
  <c r="BA118" i="6"/>
  <c r="BA154" i="6"/>
  <c r="BA157" i="6"/>
  <c r="BA160" i="6"/>
  <c r="BA166" i="6"/>
  <c r="BA171" i="6"/>
  <c r="BA180" i="6"/>
  <c r="BA182" i="6"/>
  <c r="BA190" i="6"/>
  <c r="BA204" i="6"/>
  <c r="BA208" i="6"/>
  <c r="BA233" i="6"/>
  <c r="BA236" i="6"/>
  <c r="BA242" i="6"/>
  <c r="BA243" i="6"/>
  <c r="BA245" i="6"/>
  <c r="BA253" i="6"/>
  <c r="BA257" i="6"/>
  <c r="BA262" i="6"/>
  <c r="BA265" i="6"/>
  <c r="BA273" i="6"/>
  <c r="BA284" i="6"/>
  <c r="BA288" i="6"/>
  <c r="BA291" i="6"/>
  <c r="BA293" i="6"/>
  <c r="BA297" i="6"/>
  <c r="BA300" i="6"/>
  <c r="BA305" i="6"/>
  <c r="BA311" i="6"/>
  <c r="BA312" i="6"/>
  <c r="BA317" i="6"/>
  <c r="BA324" i="6"/>
  <c r="BA325" i="6"/>
  <c r="BA336" i="6"/>
  <c r="BA337" i="6"/>
  <c r="BA339" i="6"/>
  <c r="BA341" i="6"/>
  <c r="BC23" i="6"/>
  <c r="BC24" i="6"/>
  <c r="BC25" i="6"/>
  <c r="BC27" i="6"/>
  <c r="BC29" i="6"/>
  <c r="BC30" i="6"/>
  <c r="BC31" i="6"/>
  <c r="BC32" i="6"/>
  <c r="BC36" i="6"/>
  <c r="BC37" i="6"/>
  <c r="BC38" i="6"/>
  <c r="BC39" i="6"/>
  <c r="BC40" i="6"/>
  <c r="BC42" i="6"/>
  <c r="BC43" i="6"/>
  <c r="BC44" i="6"/>
  <c r="BC45" i="6"/>
  <c r="BC46" i="6"/>
  <c r="BC47" i="6"/>
  <c r="BC48" i="6"/>
  <c r="BC49" i="6"/>
  <c r="BC50" i="6"/>
  <c r="BC51" i="6"/>
  <c r="BC53" i="6"/>
  <c r="BC54" i="6"/>
  <c r="BC55" i="6"/>
  <c r="BC56" i="6"/>
  <c r="BC57" i="6"/>
  <c r="BC58" i="6"/>
  <c r="BC59" i="6"/>
  <c r="BC60" i="6"/>
  <c r="BC61" i="6"/>
  <c r="BC62" i="6"/>
  <c r="BC63" i="6"/>
  <c r="BC64" i="6"/>
  <c r="BC65" i="6"/>
  <c r="BC67" i="6"/>
  <c r="BC69" i="6"/>
  <c r="BC70" i="6"/>
  <c r="BC71" i="6"/>
  <c r="BC72" i="6"/>
  <c r="BC73" i="6"/>
  <c r="BC74" i="6"/>
  <c r="BC76" i="6"/>
  <c r="BC77" i="6"/>
  <c r="BC78" i="6"/>
  <c r="BC79" i="6"/>
  <c r="BC81" i="6"/>
  <c r="BC82" i="6"/>
  <c r="BC83" i="6"/>
  <c r="BC86" i="6"/>
  <c r="BC88" i="6"/>
  <c r="BC89" i="6"/>
  <c r="BC91" i="6"/>
  <c r="BC92" i="6"/>
  <c r="BC93" i="6"/>
  <c r="BC94" i="6"/>
  <c r="BC95" i="6"/>
  <c r="BC96" i="6"/>
  <c r="BC98" i="6"/>
  <c r="BC99" i="6"/>
  <c r="BC100" i="6"/>
  <c r="BC101" i="6"/>
  <c r="BC102" i="6"/>
  <c r="BC103" i="6"/>
  <c r="BC105" i="6"/>
  <c r="BC106" i="6"/>
  <c r="BC107" i="6"/>
  <c r="BC109" i="6"/>
  <c r="BC115" i="6"/>
  <c r="BC116" i="6"/>
  <c r="BC117" i="6"/>
  <c r="BC119" i="6"/>
  <c r="BC120" i="6"/>
  <c r="BC121" i="6"/>
  <c r="BC122" i="6"/>
  <c r="BC123" i="6"/>
  <c r="BC124" i="6"/>
  <c r="BC125" i="6"/>
  <c r="BC126" i="6"/>
  <c r="BC127" i="6"/>
  <c r="BC128" i="6"/>
  <c r="BC129" i="6"/>
  <c r="BC130" i="6"/>
  <c r="BC131" i="6"/>
  <c r="BC133" i="6"/>
  <c r="BC134" i="6"/>
  <c r="BC135" i="6"/>
  <c r="BC136" i="6"/>
  <c r="BC137" i="6"/>
  <c r="BC138" i="6"/>
  <c r="BC139" i="6"/>
  <c r="BC140" i="6"/>
  <c r="BC141" i="6"/>
  <c r="BC143" i="6"/>
  <c r="BC144" i="6"/>
  <c r="BC145" i="6"/>
  <c r="BC146" i="6"/>
  <c r="BC147" i="6"/>
  <c r="BC148" i="6"/>
  <c r="BC149" i="6"/>
  <c r="BC150" i="6"/>
  <c r="BC151" i="6"/>
  <c r="BC152" i="6"/>
  <c r="BC153" i="6"/>
  <c r="BC155" i="6"/>
  <c r="BC156" i="6"/>
  <c r="BC158" i="6"/>
  <c r="BC159" i="6"/>
  <c r="BC161" i="6"/>
  <c r="BC162" i="6"/>
  <c r="BC163" i="6"/>
  <c r="BC164" i="6"/>
  <c r="BC165" i="6"/>
  <c r="BC167" i="6"/>
  <c r="BC168" i="6"/>
  <c r="BC169" i="6"/>
  <c r="BC170" i="6"/>
  <c r="BC172" i="6"/>
  <c r="BC173" i="6"/>
  <c r="BC174" i="6"/>
  <c r="BC175" i="6"/>
  <c r="BC176" i="6"/>
  <c r="BC177" i="6"/>
  <c r="BC178" i="6"/>
  <c r="BC179" i="6"/>
  <c r="BC181" i="6"/>
  <c r="BC183" i="6"/>
  <c r="BC184" i="6"/>
  <c r="BC185" i="6"/>
  <c r="BC186" i="6"/>
  <c r="BC188" i="6"/>
  <c r="BC189" i="6"/>
  <c r="BC191" i="6"/>
  <c r="BC192" i="6"/>
  <c r="BC193" i="6"/>
  <c r="BC194" i="6"/>
  <c r="BC195" i="6"/>
  <c r="BC196" i="6"/>
  <c r="BC197" i="6"/>
  <c r="BC198" i="6"/>
  <c r="BC199" i="6"/>
  <c r="BC200" i="6"/>
  <c r="BC201" i="6"/>
  <c r="BC202" i="6"/>
  <c r="BC203" i="6"/>
  <c r="BC205" i="6"/>
  <c r="BC206" i="6"/>
  <c r="BC207" i="6"/>
  <c r="BC209" i="6"/>
  <c r="BC210" i="6"/>
  <c r="BC211" i="6"/>
  <c r="BC212" i="6"/>
  <c r="BC213" i="6"/>
  <c r="BC214" i="6"/>
  <c r="BC215" i="6"/>
  <c r="BC216" i="6"/>
  <c r="BC217" i="6"/>
  <c r="BC218" i="6"/>
  <c r="BC219" i="6"/>
  <c r="BC220" i="6"/>
  <c r="BC221" i="6"/>
  <c r="BC222" i="6"/>
  <c r="BC223" i="6"/>
  <c r="BC224" i="6"/>
  <c r="BC225" i="6"/>
  <c r="BC226" i="6"/>
  <c r="BC227" i="6"/>
  <c r="BC228" i="6"/>
  <c r="BC229" i="6"/>
  <c r="BC230" i="6"/>
  <c r="BC231" i="6"/>
  <c r="BC232" i="6"/>
  <c r="BC234" i="6"/>
  <c r="BC235" i="6"/>
  <c r="BC237" i="6"/>
  <c r="BC238" i="6"/>
  <c r="BC239" i="6"/>
  <c r="BC240" i="6"/>
  <c r="BC241" i="6"/>
  <c r="BC246" i="6"/>
  <c r="BC247" i="6"/>
  <c r="BC248" i="6"/>
  <c r="BC249" i="6"/>
  <c r="BC251" i="6"/>
  <c r="BC252" i="6"/>
  <c r="BC254" i="6"/>
  <c r="BC255" i="6"/>
  <c r="BC256" i="6"/>
  <c r="BC258" i="6"/>
  <c r="BC259" i="6"/>
  <c r="BC260" i="6"/>
  <c r="BC263" i="6"/>
  <c r="BC264" i="6"/>
  <c r="BC266" i="6"/>
  <c r="BC267" i="6"/>
  <c r="BC268" i="6"/>
  <c r="BC269" i="6"/>
  <c r="BC270" i="6"/>
  <c r="BC271" i="6"/>
  <c r="BC272" i="6"/>
  <c r="BC274" i="6"/>
  <c r="BC275" i="6"/>
  <c r="BC276" i="6"/>
  <c r="BC277" i="6"/>
  <c r="BC278" i="6"/>
  <c r="BC279" i="6"/>
  <c r="BC280" i="6"/>
  <c r="BC281" i="6"/>
  <c r="BC282" i="6"/>
  <c r="BC283" i="6"/>
  <c r="BC285" i="6"/>
  <c r="BC286" i="6"/>
  <c r="BC287" i="6"/>
  <c r="BC289" i="6"/>
  <c r="BC290" i="6"/>
  <c r="BC292" i="6"/>
  <c r="BC294" i="6"/>
  <c r="BC295" i="6"/>
  <c r="BC296" i="6"/>
  <c r="BC298" i="6"/>
  <c r="BC299" i="6"/>
  <c r="BC301" i="6"/>
  <c r="BC302" i="6"/>
  <c r="BC303" i="6"/>
  <c r="BC304" i="6"/>
  <c r="BC306" i="6"/>
  <c r="BC307" i="6"/>
  <c r="BC309" i="6"/>
  <c r="BC310" i="6"/>
  <c r="BC313" i="6"/>
  <c r="BC314" i="6"/>
  <c r="BC316" i="6"/>
  <c r="BC318" i="6"/>
  <c r="BC319" i="6"/>
  <c r="BC320" i="6"/>
  <c r="BC321" i="6"/>
  <c r="BC322" i="6"/>
  <c r="BC326" i="6"/>
  <c r="BC327" i="6"/>
  <c r="BC328" i="6"/>
  <c r="BC329" i="6"/>
  <c r="BC330" i="6"/>
  <c r="BC331" i="6"/>
  <c r="BC332" i="6"/>
  <c r="BC333" i="6"/>
  <c r="BC334" i="6"/>
  <c r="BC335" i="6"/>
  <c r="BC338" i="6"/>
  <c r="BC340" i="6"/>
  <c r="BC342" i="6"/>
  <c r="BC7" i="6"/>
  <c r="BC8" i="6"/>
  <c r="BC9" i="6"/>
  <c r="BC10" i="6"/>
  <c r="BC11" i="6"/>
  <c r="BC12" i="6"/>
  <c r="BC13" i="6"/>
  <c r="BC16" i="6"/>
  <c r="BC17" i="6"/>
  <c r="BC18" i="6"/>
  <c r="BC19" i="6"/>
  <c r="BC20" i="6"/>
  <c r="BC21" i="6"/>
  <c r="BC22" i="6"/>
  <c r="AW250" i="6" l="1"/>
  <c r="BC250" i="6"/>
  <c r="AW80" i="6"/>
  <c r="BC80" i="6"/>
  <c r="AW26" i="6"/>
  <c r="BC26" i="6"/>
  <c r="AW28" i="6"/>
  <c r="BC28" i="6"/>
  <c r="AW33" i="6"/>
  <c r="BC33" i="6"/>
  <c r="AW34" i="6"/>
  <c r="BC34" i="6"/>
  <c r="AW35" i="6"/>
  <c r="BC35" i="6"/>
  <c r="AW41" i="6"/>
  <c r="BC41" i="6"/>
  <c r="AW52" i="6"/>
  <c r="BC52" i="6"/>
  <c r="AW308" i="6"/>
  <c r="BC308" i="6"/>
  <c r="AW261" i="6"/>
  <c r="BC261" i="6"/>
  <c r="BC68" i="6"/>
  <c r="AW68" i="6"/>
  <c r="BC85" i="6"/>
  <c r="AW85" i="6"/>
  <c r="BC90" i="6"/>
  <c r="AW90" i="6"/>
  <c r="BC14" i="6"/>
  <c r="AW14" i="6"/>
  <c r="AW15" i="6"/>
  <c r="BC15" i="6"/>
  <c r="BC66" i="6"/>
  <c r="AW66" i="6"/>
  <c r="BC87" i="6"/>
  <c r="AW87" i="6"/>
  <c r="BC104" i="6"/>
  <c r="AW104" i="6"/>
  <c r="AW108" i="6"/>
  <c r="BC108" i="6"/>
  <c r="BC110" i="6"/>
  <c r="AW110" i="6"/>
  <c r="BC111" i="6"/>
  <c r="AW111" i="6"/>
  <c r="BC112" i="6"/>
  <c r="AW112" i="6"/>
  <c r="BC113" i="6"/>
  <c r="AW113" i="6"/>
  <c r="BC114" i="6"/>
  <c r="AW114" i="6"/>
  <c r="BC118" i="6"/>
  <c r="AW118" i="6"/>
  <c r="AW154" i="6"/>
  <c r="BC154" i="6"/>
  <c r="AW157" i="6"/>
  <c r="BC157" i="6"/>
  <c r="AW160" i="6"/>
  <c r="BC160" i="6"/>
  <c r="AW166" i="6"/>
  <c r="BC166" i="6"/>
  <c r="BC171" i="6"/>
  <c r="AW171" i="6"/>
  <c r="AW180" i="6"/>
  <c r="BC180" i="6"/>
  <c r="AW182" i="6"/>
  <c r="BC182" i="6"/>
  <c r="BC190" i="6"/>
  <c r="AW190" i="6"/>
  <c r="AW204" i="6"/>
  <c r="BC204" i="6"/>
  <c r="AW208" i="6"/>
  <c r="BC208" i="6"/>
  <c r="BC233" i="6"/>
  <c r="AW233" i="6"/>
  <c r="BC236" i="6"/>
  <c r="AW236" i="6"/>
  <c r="AW242" i="6"/>
  <c r="BC242" i="6"/>
  <c r="BC243" i="6"/>
  <c r="AW243" i="6"/>
  <c r="AW245" i="6"/>
  <c r="BC245" i="6"/>
  <c r="BC253" i="6"/>
  <c r="AW253" i="6"/>
  <c r="BC257" i="6"/>
  <c r="AW257" i="6"/>
  <c r="BC262" i="6"/>
  <c r="AW262" i="6"/>
  <c r="BC265" i="6"/>
  <c r="AW265" i="6"/>
  <c r="BC273" i="6"/>
  <c r="AW273" i="6"/>
  <c r="BC284" i="6"/>
  <c r="AW284" i="6"/>
  <c r="AW288" i="6"/>
  <c r="BC288" i="6"/>
  <c r="BC291" i="6"/>
  <c r="AW291" i="6"/>
  <c r="BC293" i="6"/>
  <c r="AW293" i="6"/>
  <c r="AW297" i="6"/>
  <c r="BC297" i="6"/>
  <c r="BC300" i="6"/>
  <c r="AW300" i="6"/>
  <c r="BC305" i="6"/>
  <c r="AW305" i="6"/>
  <c r="BC311" i="6"/>
  <c r="AW311" i="6"/>
  <c r="BC312" i="6"/>
  <c r="AW312" i="6"/>
  <c r="BC317" i="6"/>
  <c r="AW317" i="6"/>
  <c r="AW324" i="6"/>
  <c r="BC324" i="6"/>
  <c r="BC325" i="6"/>
  <c r="AW325" i="6"/>
  <c r="BC336" i="6"/>
  <c r="AW336" i="6"/>
  <c r="AW337" i="6"/>
  <c r="BC337" i="6"/>
  <c r="BC339" i="6"/>
  <c r="AW339" i="6"/>
  <c r="BC341" i="6"/>
  <c r="AW341" i="6"/>
  <c r="BC142" i="6"/>
  <c r="BC84" i="6"/>
  <c r="BC97" i="6"/>
  <c r="BC315" i="6"/>
  <c r="BC323" i="6"/>
  <c r="BC5" i="6"/>
  <c r="BC75" i="6"/>
  <c r="BC6" i="6"/>
  <c r="BC132" i="6"/>
  <c r="BC187" i="6"/>
  <c r="BC244" i="6"/>
  <c r="A1" i="7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<sst xmlns="http://schemas.openxmlformats.org/spreadsheetml/2006/main" count="17077" uniqueCount="5341">
  <si>
    <t>SALES REPORT - system export (DO NOT TOUCH!!!)</t>
  </si>
  <si>
    <t>transaction id</t>
  </si>
  <si>
    <t>date</t>
  </si>
  <si>
    <t>Delivery Date</t>
  </si>
  <si>
    <t>Product Code</t>
  </si>
  <si>
    <t xml:space="preserve">Product Name </t>
  </si>
  <si>
    <t>category</t>
  </si>
  <si>
    <t>Quantity</t>
  </si>
  <si>
    <t>Unit Price</t>
  </si>
  <si>
    <t>Discount %</t>
  </si>
  <si>
    <t>Total</t>
  </si>
  <si>
    <t>Currency</t>
  </si>
  <si>
    <t>Employee ID</t>
  </si>
  <si>
    <t>Sales Rep</t>
  </si>
  <si>
    <t>Region</t>
  </si>
  <si>
    <t>City</t>
  </si>
  <si>
    <t>Customer</t>
  </si>
  <si>
    <t>Tax ID</t>
  </si>
  <si>
    <t xml:space="preserve">CUSTOMER EMAIL </t>
  </si>
  <si>
    <t>Phone</t>
  </si>
  <si>
    <t xml:space="preserve"> Address</t>
  </si>
  <si>
    <t>ZIP Code</t>
  </si>
  <si>
    <t xml:space="preserve">  country </t>
  </si>
  <si>
    <t>Payment Method</t>
  </si>
  <si>
    <t>Status</t>
  </si>
  <si>
    <t xml:space="preserve">Payment Status   </t>
  </si>
  <si>
    <t>Invoice No.</t>
  </si>
  <si>
    <t>Sales Channel</t>
  </si>
  <si>
    <t>Quarter</t>
  </si>
  <si>
    <t xml:space="preserve"> Month  </t>
  </si>
  <si>
    <t xml:space="preserve">Year  </t>
  </si>
  <si>
    <t>Payment Terms</t>
  </si>
  <si>
    <t>Days Overdue</t>
  </si>
  <si>
    <t>VAT</t>
  </si>
  <si>
    <t>VAT Amount</t>
  </si>
  <si>
    <t>Amount incl. VAT</t>
  </si>
  <si>
    <t>Shipping Cost</t>
  </si>
  <si>
    <t>Courier</t>
  </si>
  <si>
    <t xml:space="preserve">tracking no. </t>
  </si>
  <si>
    <t xml:space="preserve">  WEIGHT (KG) </t>
  </si>
  <si>
    <t>Warehouse</t>
  </si>
  <si>
    <t>Stock</t>
  </si>
  <si>
    <t>Customer Rating</t>
  </si>
  <si>
    <t xml:space="preserve">COMMENT </t>
  </si>
  <si>
    <t>Returned?</t>
  </si>
  <si>
    <t>return reason</t>
  </si>
  <si>
    <t>Margin</t>
  </si>
  <si>
    <t>Rep Commission</t>
  </si>
  <si>
    <t>Customer Full Name</t>
  </si>
  <si>
    <t>Contact Person</t>
  </si>
  <si>
    <t>NOTES</t>
  </si>
  <si>
    <t>TR-2025001</t>
  </si>
  <si>
    <t>09.09.2025.</t>
  </si>
  <si>
    <t>23-Sep-25</t>
  </si>
  <si>
    <t>P33</t>
  </si>
  <si>
    <t>Printer X 33</t>
  </si>
  <si>
    <t>Office</t>
  </si>
  <si>
    <t>129.06 USD</t>
  </si>
  <si>
    <t>10%</t>
  </si>
  <si>
    <t>$</t>
  </si>
  <si>
    <t xml:space="preserve">E016 </t>
  </si>
  <si>
    <t xml:space="preserve">  chris anderson</t>
  </si>
  <si>
    <t>East</t>
  </si>
  <si>
    <t>houston</t>
  </si>
  <si>
    <t>wayne llc</t>
  </si>
  <si>
    <t>EIN: 388875967</t>
  </si>
  <si>
    <t>daniel.gmail.com</t>
  </si>
  <si>
    <t>(536) 760-6300</t>
  </si>
  <si>
    <t>344 Davis Street</t>
  </si>
  <si>
    <t>63212</t>
  </si>
  <si>
    <t>US</t>
  </si>
  <si>
    <t>credit card</t>
  </si>
  <si>
    <t>DELIVERED</t>
  </si>
  <si>
    <t>Paid</t>
  </si>
  <si>
    <t>INV/2025/0001</t>
  </si>
  <si>
    <t>Online</t>
  </si>
  <si>
    <t>1st quarter</t>
  </si>
  <si>
    <t>immediate</t>
  </si>
  <si>
    <t>15,21</t>
  </si>
  <si>
    <t>DHL</t>
  </si>
  <si>
    <t>1Z806032141</t>
  </si>
  <si>
    <t>23.5 kg</t>
  </si>
  <si>
    <t>wh b</t>
  </si>
  <si>
    <t>doesn't fit</t>
  </si>
  <si>
    <t>Daniel Davis</t>
  </si>
  <si>
    <t>duplicate?</t>
  </si>
  <si>
    <t>TR-2025002</t>
  </si>
  <si>
    <t>24.08.2025</t>
  </si>
  <si>
    <t>31-Aug-25</t>
  </si>
  <si>
    <t>P-052</t>
  </si>
  <si>
    <t>Furniture</t>
  </si>
  <si>
    <t>-</t>
  </si>
  <si>
    <t>usd</t>
  </si>
  <si>
    <t>e-023</t>
  </si>
  <si>
    <t>laura anderson</t>
  </si>
  <si>
    <t>North</t>
  </si>
  <si>
    <t>New Yrok</t>
  </si>
  <si>
    <t xml:space="preserve">Wayne inc   </t>
  </si>
  <si>
    <t>790161495</t>
  </si>
  <si>
    <t>john.company.com</t>
  </si>
  <si>
    <t>+1 836 781 3186</t>
  </si>
  <si>
    <t>276 Johnson St.</t>
  </si>
  <si>
    <t>89566</t>
  </si>
  <si>
    <t>U.S.</t>
  </si>
  <si>
    <t>Cash</t>
  </si>
  <si>
    <t>Cancelled</t>
  </si>
  <si>
    <t>Partial</t>
  </si>
  <si>
    <t>INV/2025/0002</t>
  </si>
  <si>
    <t>Q1</t>
  </si>
  <si>
    <t>Aug</t>
  </si>
  <si>
    <t>Net 60</t>
  </si>
  <si>
    <t>8%</t>
  </si>
  <si>
    <t>14.48</t>
  </si>
  <si>
    <t>ups</t>
  </si>
  <si>
    <t>FX515375252</t>
  </si>
  <si>
    <t>6,4</t>
  </si>
  <si>
    <t>Warehouse A</t>
  </si>
  <si>
    <t>late delivery!!</t>
  </si>
  <si>
    <t>NO</t>
  </si>
  <si>
    <t>15 %</t>
  </si>
  <si>
    <t>$88.07</t>
  </si>
  <si>
    <t xml:space="preserve">  John Williams</t>
  </si>
  <si>
    <t>same</t>
  </si>
  <si>
    <t>TR-2025003</t>
  </si>
  <si>
    <t>07-Apr-26</t>
  </si>
  <si>
    <t>13.04.2026</t>
  </si>
  <si>
    <t>P-032</t>
  </si>
  <si>
    <t>Cable Basic 32</t>
  </si>
  <si>
    <t xml:space="preserve">   software</t>
  </si>
  <si>
    <t>20 kom.</t>
  </si>
  <si>
    <t>USD 1,480</t>
  </si>
  <si>
    <t>29595.40</t>
  </si>
  <si>
    <t xml:space="preserve">USD </t>
  </si>
  <si>
    <t>EMP22</t>
  </si>
  <si>
    <t>N/A</t>
  </si>
  <si>
    <t>South</t>
  </si>
  <si>
    <t>Huston</t>
  </si>
  <si>
    <t>Umbrella inc</t>
  </si>
  <si>
    <t>943040526</t>
  </si>
  <si>
    <t>emma.company.com</t>
  </si>
  <si>
    <t>949.620.8386</t>
  </si>
  <si>
    <t>771 Williams Ave</t>
  </si>
  <si>
    <t>null</t>
  </si>
  <si>
    <t>INV/2026/0003</t>
  </si>
  <si>
    <t>Store</t>
  </si>
  <si>
    <t>April</t>
  </si>
  <si>
    <t>2026</t>
  </si>
  <si>
    <t>Fed Ex</t>
  </si>
  <si>
    <t>DH273577842</t>
  </si>
  <si>
    <t>24,37</t>
  </si>
  <si>
    <t>WH-A</t>
  </si>
  <si>
    <t>OK</t>
  </si>
  <si>
    <t>0,18</t>
  </si>
  <si>
    <t>Emma Williams</t>
  </si>
  <si>
    <t>TR-2025004</t>
  </si>
  <si>
    <t>28.01.2026</t>
  </si>
  <si>
    <t>02/05/2026</t>
  </si>
  <si>
    <t>P48</t>
  </si>
  <si>
    <t>LICENSE PLUS 48</t>
  </si>
  <si>
    <t xml:space="preserve">software  </t>
  </si>
  <si>
    <t>34 kom.</t>
  </si>
  <si>
    <t>$471.22</t>
  </si>
  <si>
    <t>5%</t>
  </si>
  <si>
    <t>#N/A</t>
  </si>
  <si>
    <t xml:space="preserve">E014 </t>
  </si>
  <si>
    <t>SOPHIA BROWN</t>
  </si>
  <si>
    <t>west</t>
  </si>
  <si>
    <t xml:space="preserve"> initech inc   </t>
  </si>
  <si>
    <t>EIN: 986261507</t>
  </si>
  <si>
    <t>sarah.gmail.com</t>
  </si>
  <si>
    <t>(240) 201-3058</t>
  </si>
  <si>
    <t>642 Jones Blvd</t>
  </si>
  <si>
    <t>92564</t>
  </si>
  <si>
    <t>USA</t>
  </si>
  <si>
    <t>Credit Card</t>
  </si>
  <si>
    <t>Processing</t>
  </si>
  <si>
    <t>YES</t>
  </si>
  <si>
    <t>INV/2026/0004</t>
  </si>
  <si>
    <t>online</t>
  </si>
  <si>
    <t>q1</t>
  </si>
  <si>
    <t>January</t>
  </si>
  <si>
    <t>15</t>
  </si>
  <si>
    <t>$49.82</t>
  </si>
  <si>
    <t>USPS</t>
  </si>
  <si>
    <t>1Z610354022</t>
  </si>
  <si>
    <t>16.5 kg</t>
  </si>
  <si>
    <t>Warehouse B</t>
  </si>
  <si>
    <t>excellent</t>
  </si>
  <si>
    <t>Yes</t>
  </si>
  <si>
    <t>Sarah Davis</t>
  </si>
  <si>
    <t>Sarah</t>
  </si>
  <si>
    <t>urgent</t>
  </si>
  <si>
    <t>TR-2025005</t>
  </si>
  <si>
    <t>2026-06-01</t>
  </si>
  <si>
    <t>2026-06-09</t>
  </si>
  <si>
    <t>P1</t>
  </si>
  <si>
    <t>DESK X 1</t>
  </si>
  <si>
    <t xml:space="preserve">E010 </t>
  </si>
  <si>
    <t>NYC</t>
  </si>
  <si>
    <t>initech inc</t>
  </si>
  <si>
    <t>EIN: 134245587</t>
  </si>
  <si>
    <t>laura.company.com</t>
  </si>
  <si>
    <t>+1 373 311 1047</t>
  </si>
  <si>
    <t>431 Johnson St.</t>
  </si>
  <si>
    <t>50824</t>
  </si>
  <si>
    <t>United States</t>
  </si>
  <si>
    <t>Wire Transfer</t>
  </si>
  <si>
    <t>Delivered</t>
  </si>
  <si>
    <t>INV/2026/0005</t>
  </si>
  <si>
    <t>June</t>
  </si>
  <si>
    <t>'26</t>
  </si>
  <si>
    <t>8</t>
  </si>
  <si>
    <t>USD 2</t>
  </si>
  <si>
    <t>FX143647055</t>
  </si>
  <si>
    <t>5/5</t>
  </si>
  <si>
    <t>damaged</t>
  </si>
  <si>
    <t>Laura Brown</t>
  </si>
  <si>
    <t>TR-2025006</t>
  </si>
  <si>
    <t>20-Apr-25</t>
  </si>
  <si>
    <t>04-May-25</t>
  </si>
  <si>
    <t xml:space="preserve">P-053 </t>
  </si>
  <si>
    <t>monitor basic 53</t>
  </si>
  <si>
    <t>Equipment</t>
  </si>
  <si>
    <t>30 kom</t>
  </si>
  <si>
    <t>553.22 USD</t>
  </si>
  <si>
    <t xml:space="preserve">E008 </t>
  </si>
  <si>
    <t>Houston</t>
  </si>
  <si>
    <t xml:space="preserve"> vortex inc</t>
  </si>
  <si>
    <t>862110984</t>
  </si>
  <si>
    <t>chris.gmail.com</t>
  </si>
  <si>
    <t>+1 965 751 2985</t>
  </si>
  <si>
    <t>581 Jones Ave</t>
  </si>
  <si>
    <t>34299</t>
  </si>
  <si>
    <t>delivered</t>
  </si>
  <si>
    <t>paid</t>
  </si>
  <si>
    <t>INV/2025/0006</t>
  </si>
  <si>
    <t>Web</t>
  </si>
  <si>
    <t>2025</t>
  </si>
  <si>
    <t>0,08</t>
  </si>
  <si>
    <t>25,37</t>
  </si>
  <si>
    <t>FedEx</t>
  </si>
  <si>
    <t>DH598125683</t>
  </si>
  <si>
    <t>all good</t>
  </si>
  <si>
    <t>No</t>
  </si>
  <si>
    <t>497,90</t>
  </si>
  <si>
    <t>Chris Davis</t>
  </si>
  <si>
    <t>VIP customer</t>
  </si>
  <si>
    <t>TR-2025118</t>
  </si>
  <si>
    <t>06/14/2026</t>
  </si>
  <si>
    <t>20-Jun-26</t>
  </si>
  <si>
    <t xml:space="preserve"> P_004</t>
  </si>
  <si>
    <t>printer plus 4</t>
  </si>
  <si>
    <t>7 kom.</t>
  </si>
  <si>
    <t>10</t>
  </si>
  <si>
    <t>E015</t>
  </si>
  <si>
    <t xml:space="preserve">Sarah Jones </t>
  </si>
  <si>
    <t xml:space="preserve"> Stark Inc.</t>
  </si>
  <si>
    <t>EIN: 986739414</t>
  </si>
  <si>
    <t>sophia.gmail.com</t>
  </si>
  <si>
    <t>348.471.3029</t>
  </si>
  <si>
    <t>450 Brown St.</t>
  </si>
  <si>
    <t>58661</t>
  </si>
  <si>
    <t>INV/2026/0118</t>
  </si>
  <si>
    <t>Q3</t>
  </si>
  <si>
    <t>Jun</t>
  </si>
  <si>
    <t>1Z412227285</t>
  </si>
  <si>
    <t>22,73</t>
  </si>
  <si>
    <t>Warehouse C</t>
  </si>
  <si>
    <t>USD 77</t>
  </si>
  <si>
    <t xml:space="preserve">  Sophia Johnson</t>
  </si>
  <si>
    <t>check price</t>
  </si>
  <si>
    <t>TR-2025007</t>
  </si>
  <si>
    <t>07.01.2025</t>
  </si>
  <si>
    <t>01/13/2025</t>
  </si>
  <si>
    <t>p039</t>
  </si>
  <si>
    <t xml:space="preserve">   Cable Plus 39</t>
  </si>
  <si>
    <t>SOFTWARE</t>
  </si>
  <si>
    <t>39 kom</t>
  </si>
  <si>
    <t>601.47</t>
  </si>
  <si>
    <t>USD 23,457</t>
  </si>
  <si>
    <t>USD</t>
  </si>
  <si>
    <t xml:space="preserve">E009 </t>
  </si>
  <si>
    <t>OLIVIA WILSON</t>
  </si>
  <si>
    <t>new york</t>
  </si>
  <si>
    <t>Initech INC</t>
  </si>
  <si>
    <t>EIN: 430278432</t>
  </si>
  <si>
    <t>emma.gmail.com</t>
  </si>
  <si>
    <t>859.401.7401</t>
  </si>
  <si>
    <t>415 Brown Street</t>
  </si>
  <si>
    <t>57906</t>
  </si>
  <si>
    <t>usa</t>
  </si>
  <si>
    <t>INV/2025/0007</t>
  </si>
  <si>
    <t>4,45</t>
  </si>
  <si>
    <t>DH284346077</t>
  </si>
  <si>
    <t>EMMA ANDERSON</t>
  </si>
  <si>
    <t>TR-2025008</t>
  </si>
  <si>
    <t>20-Jul-25</t>
  </si>
  <si>
    <t>2025-07-29</t>
  </si>
  <si>
    <t>P-040</t>
  </si>
  <si>
    <t>Software</t>
  </si>
  <si>
    <t>31 kom.</t>
  </si>
  <si>
    <t>98,06</t>
  </si>
  <si>
    <t>EMP13</t>
  </si>
  <si>
    <t>Robert Williams</t>
  </si>
  <si>
    <t>Miami</t>
  </si>
  <si>
    <t>GLOBEX INC.</t>
  </si>
  <si>
    <t>EIN: 579768106</t>
  </si>
  <si>
    <t>michael.gmail.com</t>
  </si>
  <si>
    <t>574.293.8241</t>
  </si>
  <si>
    <t>523 Smith Street</t>
  </si>
  <si>
    <t>84419</t>
  </si>
  <si>
    <t>PayPal</t>
  </si>
  <si>
    <t>INV/2025/0008</t>
  </si>
  <si>
    <t>July</t>
  </si>
  <si>
    <t>'25</t>
  </si>
  <si>
    <t>USD 10</t>
  </si>
  <si>
    <t>DH946518213</t>
  </si>
  <si>
    <t>25,01</t>
  </si>
  <si>
    <t>complaint</t>
  </si>
  <si>
    <t>yes</t>
  </si>
  <si>
    <t>91,20</t>
  </si>
  <si>
    <t>Michael Anderson</t>
  </si>
  <si>
    <t>TR-2025009</t>
  </si>
  <si>
    <t>23-Jul-25</t>
  </si>
  <si>
    <t>07/26/2025</t>
  </si>
  <si>
    <t xml:space="preserve"> P_024</t>
  </si>
  <si>
    <t>CHAIR PLUS 24</t>
  </si>
  <si>
    <t>Electronics</t>
  </si>
  <si>
    <t>26 kom.</t>
  </si>
  <si>
    <t>USD 2,488</t>
  </si>
  <si>
    <t>EUR</t>
  </si>
  <si>
    <t>e-002</t>
  </si>
  <si>
    <t>los angeles</t>
  </si>
  <si>
    <t>Wayne inc</t>
  </si>
  <si>
    <t>812640864</t>
  </si>
  <si>
    <t>(497) 830-8081</t>
  </si>
  <si>
    <t>628 Smith Street</t>
  </si>
  <si>
    <t>Unpaid</t>
  </si>
  <si>
    <t>INV/2025/0009</t>
  </si>
  <si>
    <t>7.93</t>
  </si>
  <si>
    <t>DH260323700</t>
  </si>
  <si>
    <t>4,43</t>
  </si>
  <si>
    <t>74,65</t>
  </si>
  <si>
    <t>Michael Jones</t>
  </si>
  <si>
    <t>TR-2025010</t>
  </si>
  <si>
    <t>2025-02-15</t>
  </si>
  <si>
    <t>P-058</t>
  </si>
  <si>
    <t xml:space="preserve"> Laptop Pro 58</t>
  </si>
  <si>
    <t>$711.00</t>
  </si>
  <si>
    <t>24885.00 USD</t>
  </si>
  <si>
    <t>E001</t>
  </si>
  <si>
    <t>Globex INC</t>
  </si>
  <si>
    <t>EIN: 460257622</t>
  </si>
  <si>
    <t>(851) 767-8144</t>
  </si>
  <si>
    <t>902 Taylor Street</t>
  </si>
  <si>
    <t>23252</t>
  </si>
  <si>
    <t>INV/2025/0010</t>
  </si>
  <si>
    <t>February</t>
  </si>
  <si>
    <t>23,61</t>
  </si>
  <si>
    <t>FX878058375</t>
  </si>
  <si>
    <t>26.6 kg</t>
  </si>
  <si>
    <t>25%</t>
  </si>
  <si>
    <t>746.55</t>
  </si>
  <si>
    <t>john davis</t>
  </si>
  <si>
    <t>John Davis</t>
  </si>
  <si>
    <t>TR-2025011</t>
  </si>
  <si>
    <t>02/13/2025</t>
  </si>
  <si>
    <t>17.02.2025.</t>
  </si>
  <si>
    <t>P-009</t>
  </si>
  <si>
    <t>Chair Plus 9</t>
  </si>
  <si>
    <t>5 kom.</t>
  </si>
  <si>
    <t>813.33</t>
  </si>
  <si>
    <t>4066.65 USD</t>
  </si>
  <si>
    <t>EMP23</t>
  </si>
  <si>
    <t>Laura Anderson</t>
  </si>
  <si>
    <t>seattle</t>
  </si>
  <si>
    <t>Acme Ltd.</t>
  </si>
  <si>
    <t>EIN: 640883830</t>
  </si>
  <si>
    <t>emma.yahoo.com</t>
  </si>
  <si>
    <t>555.680.1788</t>
  </si>
  <si>
    <t>580 Brown Street</t>
  </si>
  <si>
    <t>76306</t>
  </si>
  <si>
    <t>INV/2025/0011</t>
  </si>
  <si>
    <t>29.63 USD</t>
  </si>
  <si>
    <t>1Z404652501</t>
  </si>
  <si>
    <t>EMMA SMITH</t>
  </si>
  <si>
    <t>Emma Smith</t>
  </si>
  <si>
    <t>TR-2025012</t>
  </si>
  <si>
    <t>26.01.2025.</t>
  </si>
  <si>
    <t>29-Jan-25</t>
  </si>
  <si>
    <t>P-057</t>
  </si>
  <si>
    <t>keyboard x 57</t>
  </si>
  <si>
    <t>14</t>
  </si>
  <si>
    <t>741.71 USD</t>
  </si>
  <si>
    <t>10383,94</t>
  </si>
  <si>
    <t xml:space="preserve">E021 </t>
  </si>
  <si>
    <t>West</t>
  </si>
  <si>
    <t>chicago</t>
  </si>
  <si>
    <t>Umbrella Ltd.</t>
  </si>
  <si>
    <t>987473445</t>
  </si>
  <si>
    <t>david.company.com</t>
  </si>
  <si>
    <t>(453) 940-6350</t>
  </si>
  <si>
    <t>265 Johnson St.</t>
  </si>
  <si>
    <t>87232</t>
  </si>
  <si>
    <t>INV/2025/0012</t>
  </si>
  <si>
    <t>Q2</t>
  </si>
  <si>
    <t>Net 30</t>
  </si>
  <si>
    <t>FX949334392</t>
  </si>
  <si>
    <t>6.8 kg</t>
  </si>
  <si>
    <t xml:space="preserve">David Jones   </t>
  </si>
  <si>
    <t>TR-2025013</t>
  </si>
  <si>
    <t>10-Apr-26</t>
  </si>
  <si>
    <t>20260422</t>
  </si>
  <si>
    <t>P42</t>
  </si>
  <si>
    <t xml:space="preserve">Desk Max 42  </t>
  </si>
  <si>
    <t>USD 158</t>
  </si>
  <si>
    <t>e-004</t>
  </si>
  <si>
    <t>NORTH</t>
  </si>
  <si>
    <t>Umbrella INC</t>
  </si>
  <si>
    <t>EIN: 896834466</t>
  </si>
  <si>
    <t>david.gmail.com</t>
  </si>
  <si>
    <t>+1 981 325 6824</t>
  </si>
  <si>
    <t>392 Davis Street</t>
  </si>
  <si>
    <t>02744</t>
  </si>
  <si>
    <t>Pending</t>
  </si>
  <si>
    <t>INV/2026/0013</t>
  </si>
  <si>
    <t>USD 50</t>
  </si>
  <si>
    <t>1Z933875961</t>
  </si>
  <si>
    <t>5,88</t>
  </si>
  <si>
    <t>wrong item</t>
  </si>
  <si>
    <t>$99.58</t>
  </si>
  <si>
    <t>David Johnson</t>
  </si>
  <si>
    <t>TR-2025014</t>
  </si>
  <si>
    <t>09/17/2025</t>
  </si>
  <si>
    <t>20250921</t>
  </si>
  <si>
    <t xml:space="preserve">P-046 </t>
  </si>
  <si>
    <t xml:space="preserve">   Equipment</t>
  </si>
  <si>
    <t>12</t>
  </si>
  <si>
    <t>549,42</t>
  </si>
  <si>
    <t>E013</t>
  </si>
  <si>
    <t xml:space="preserve">Robert Williams </t>
  </si>
  <si>
    <t xml:space="preserve">  Vortex inc</t>
  </si>
  <si>
    <t>280294956</t>
  </si>
  <si>
    <t>743.280.8185</t>
  </si>
  <si>
    <t>904 Johnson Street</t>
  </si>
  <si>
    <t>35667</t>
  </si>
  <si>
    <t>INV/2025/0014</t>
  </si>
  <si>
    <t>September</t>
  </si>
  <si>
    <t>$8.02</t>
  </si>
  <si>
    <t>FX814361021</t>
  </si>
  <si>
    <t>12,83</t>
  </si>
  <si>
    <t>197.79 USD</t>
  </si>
  <si>
    <t>Laura Smith</t>
  </si>
  <si>
    <t>TR-2025015</t>
  </si>
  <si>
    <t>10.05.2025.</t>
  </si>
  <si>
    <t>2025-05-19</t>
  </si>
  <si>
    <t>P46</t>
  </si>
  <si>
    <t>Chair Basic 46</t>
  </si>
  <si>
    <t>7 kom</t>
  </si>
  <si>
    <t>3845.94</t>
  </si>
  <si>
    <t>EMP14</t>
  </si>
  <si>
    <t>Chicago</t>
  </si>
  <si>
    <t xml:space="preserve"> Initech LLC  </t>
  </si>
  <si>
    <t>753571200</t>
  </si>
  <si>
    <t>sophia.company.com</t>
  </si>
  <si>
    <t>417.240.8501</t>
  </si>
  <si>
    <t>781 Williams Street</t>
  </si>
  <si>
    <t>87981</t>
  </si>
  <si>
    <t>INV/2025/0015</t>
  </si>
  <si>
    <t>1,02</t>
  </si>
  <si>
    <t>FX709356414</t>
  </si>
  <si>
    <t>24.8 kg</t>
  </si>
  <si>
    <t>115,38</t>
  </si>
  <si>
    <t xml:space="preserve">  Sophia Miller</t>
  </si>
  <si>
    <t>Sophia Miller</t>
  </si>
  <si>
    <t>TR-2025016</t>
  </si>
  <si>
    <t>2025-01-16</t>
  </si>
  <si>
    <t>30.01.2025</t>
  </si>
  <si>
    <t>P-014</t>
  </si>
  <si>
    <t>license max 14</t>
  </si>
  <si>
    <t>1</t>
  </si>
  <si>
    <t xml:space="preserve">E005 </t>
  </si>
  <si>
    <t>VORTEX INC.</t>
  </si>
  <si>
    <t>EIN: 517630478</t>
  </si>
  <si>
    <t>john.yahoo.com</t>
  </si>
  <si>
    <t>(369) 698-1979</t>
  </si>
  <si>
    <t>990 Johnson Ave</t>
  </si>
  <si>
    <t>85526</t>
  </si>
  <si>
    <t>INV/2025/0016</t>
  </si>
  <si>
    <t>DH994024254</t>
  </si>
  <si>
    <t>12.9 kg</t>
  </si>
  <si>
    <t>john johnson</t>
  </si>
  <si>
    <t>John Johnson</t>
  </si>
  <si>
    <t>TR-2025017</t>
  </si>
  <si>
    <t>08/09/2026</t>
  </si>
  <si>
    <t>18.08.2026</t>
  </si>
  <si>
    <t xml:space="preserve">P-054 </t>
  </si>
  <si>
    <t xml:space="preserve">   Mouse Basic 54</t>
  </si>
  <si>
    <t>18 kom</t>
  </si>
  <si>
    <t>801,23</t>
  </si>
  <si>
    <t>USD 14,422</t>
  </si>
  <si>
    <t>EMP5</t>
  </si>
  <si>
    <t>Los Angles</t>
  </si>
  <si>
    <t xml:space="preserve"> Wayne LLC </t>
  </si>
  <si>
    <t>EIN: 852761906</t>
  </si>
  <si>
    <t>sophia.yahoo.com</t>
  </si>
  <si>
    <t>+1 352 452 1730</t>
  </si>
  <si>
    <t>648 Wilson Street</t>
  </si>
  <si>
    <t>21467</t>
  </si>
  <si>
    <t>INV/2026/0017</t>
  </si>
  <si>
    <t>13.08 USD</t>
  </si>
  <si>
    <t>FX923827298</t>
  </si>
  <si>
    <t>432,66</t>
  </si>
  <si>
    <t>Sophia Taylor</t>
  </si>
  <si>
    <t>TR-2025018</t>
  </si>
  <si>
    <t>20250503</t>
  </si>
  <si>
    <t>20250505</t>
  </si>
  <si>
    <t>p041</t>
  </si>
  <si>
    <t xml:space="preserve"> Monitor X 41</t>
  </si>
  <si>
    <t>247.64 USD</t>
  </si>
  <si>
    <t>1485.84 USD</t>
  </si>
  <si>
    <t xml:space="preserve">ROBERT WILLIAMS </t>
  </si>
  <si>
    <t xml:space="preserve">Stark INC  </t>
  </si>
  <si>
    <t>EIN: 375962955</t>
  </si>
  <si>
    <t>(588) 372-8231</t>
  </si>
  <si>
    <t>161 Brown Street</t>
  </si>
  <si>
    <t>82088</t>
  </si>
  <si>
    <t>INV/2025/0018</t>
  </si>
  <si>
    <t>Q4</t>
  </si>
  <si>
    <t>$5.78</t>
  </si>
  <si>
    <t>DH160909509</t>
  </si>
  <si>
    <t>13.6 kg</t>
  </si>
  <si>
    <t xml:space="preserve">  david miller</t>
  </si>
  <si>
    <t>David Miller</t>
  </si>
  <si>
    <t>TR-2025019</t>
  </si>
  <si>
    <t>2025-08-05</t>
  </si>
  <si>
    <t>11-Aug-25</t>
  </si>
  <si>
    <t>p033</t>
  </si>
  <si>
    <t>OFFICE</t>
  </si>
  <si>
    <t>31</t>
  </si>
  <si>
    <t>4.000,86</t>
  </si>
  <si>
    <t xml:space="preserve">E002 </t>
  </si>
  <si>
    <t xml:space="preserve">sarah wilson </t>
  </si>
  <si>
    <t>BOSTON</t>
  </si>
  <si>
    <t>acme inc</t>
  </si>
  <si>
    <t>EIN: 884743535</t>
  </si>
  <si>
    <t>+1 796 515 4314</t>
  </si>
  <si>
    <t>862 Smith Ave</t>
  </si>
  <si>
    <t>44937</t>
  </si>
  <si>
    <t>INV/2025/0019</t>
  </si>
  <si>
    <t>1Z482420536</t>
  </si>
  <si>
    <t>120.03 USD</t>
  </si>
  <si>
    <t xml:space="preserve">   sophia jones</t>
  </si>
  <si>
    <t>Sophia Jones</t>
  </si>
  <si>
    <t>TR-2025020</t>
  </si>
  <si>
    <t>2025-05-18</t>
  </si>
  <si>
    <t>05/20/2025</t>
  </si>
  <si>
    <t>LAPTOP MAX 52</t>
  </si>
  <si>
    <t>16 kom.</t>
  </si>
  <si>
    <t>1467.86</t>
  </si>
  <si>
    <t xml:space="preserve">E018 </t>
  </si>
  <si>
    <t xml:space="preserve">NY </t>
  </si>
  <si>
    <t xml:space="preserve">Stark INC   </t>
  </si>
  <si>
    <t>EIN: 901632584</t>
  </si>
  <si>
    <t>emily.gmail.com</t>
  </si>
  <si>
    <t>+1 910 630 9611</t>
  </si>
  <si>
    <t>347 Davis St.</t>
  </si>
  <si>
    <t>44919</t>
  </si>
  <si>
    <t>INV/2025/0020</t>
  </si>
  <si>
    <t>May</t>
  </si>
  <si>
    <t>18,22</t>
  </si>
  <si>
    <t>UPS</t>
  </si>
  <si>
    <t>FX315591108</t>
  </si>
  <si>
    <t>0.7 kg</t>
  </si>
  <si>
    <t xml:space="preserve">Emily Brown </t>
  </si>
  <si>
    <t>TR-2025021</t>
  </si>
  <si>
    <t>20260321</t>
  </si>
  <si>
    <t>24.03.2026</t>
  </si>
  <si>
    <t xml:space="preserve"> P_034</t>
  </si>
  <si>
    <t>3 kom</t>
  </si>
  <si>
    <t>23,03</t>
  </si>
  <si>
    <t>e-001</t>
  </si>
  <si>
    <t xml:space="preserve">   Sarah Wilson</t>
  </si>
  <si>
    <t xml:space="preserve">Initech inc </t>
  </si>
  <si>
    <t>EIN: 650238460</t>
  </si>
  <si>
    <t>(561) 366-4908</t>
  </si>
  <si>
    <t>303 Smith Street</t>
  </si>
  <si>
    <t>21783</t>
  </si>
  <si>
    <t>INV/2026/0021</t>
  </si>
  <si>
    <t>March</t>
  </si>
  <si>
    <t>1Z761743464</t>
  </si>
  <si>
    <t>TR-2025022</t>
  </si>
  <si>
    <t>04/24/2025</t>
  </si>
  <si>
    <t>30-Apr-25</t>
  </si>
  <si>
    <t xml:space="preserve"> P_055</t>
  </si>
  <si>
    <t>Cable Basic 55</t>
  </si>
  <si>
    <t xml:space="preserve">Office  </t>
  </si>
  <si>
    <t>29 kom.</t>
  </si>
  <si>
    <t>921,78</t>
  </si>
  <si>
    <t>26731.62</t>
  </si>
  <si>
    <t>EMP9</t>
  </si>
  <si>
    <t>INITECH INC</t>
  </si>
  <si>
    <t>EIN: 930519543</t>
  </si>
  <si>
    <t>(647) 729-9474</t>
  </si>
  <si>
    <t>609 Miller Blvd</t>
  </si>
  <si>
    <t>02360</t>
  </si>
  <si>
    <t>INV/2025/0022</t>
  </si>
  <si>
    <t>20.08 USD</t>
  </si>
  <si>
    <t>FX842576360</t>
  </si>
  <si>
    <t>24.5 kg</t>
  </si>
  <si>
    <t>satisfied</t>
  </si>
  <si>
    <t>Emma Wilson</t>
  </si>
  <si>
    <t>TR-2025023</t>
  </si>
  <si>
    <t>01.08.2025.</t>
  </si>
  <si>
    <t>08/03/2025</t>
  </si>
  <si>
    <t>P-019</t>
  </si>
  <si>
    <t xml:space="preserve">  Monitor Max 19 </t>
  </si>
  <si>
    <t>251,62</t>
  </si>
  <si>
    <t>3271,06</t>
  </si>
  <si>
    <t>e-017</t>
  </si>
  <si>
    <t xml:space="preserve">Robert Davis </t>
  </si>
  <si>
    <t>Boston</t>
  </si>
  <si>
    <t xml:space="preserve">   ACME LTD.</t>
  </si>
  <si>
    <t>EIN: 758208298</t>
  </si>
  <si>
    <t>james.gmail.com</t>
  </si>
  <si>
    <t>(900) 989-6289</t>
  </si>
  <si>
    <t>274 Johnson Street</t>
  </si>
  <si>
    <t>46730</t>
  </si>
  <si>
    <t>INV/2025/0023</t>
  </si>
  <si>
    <t>11,14</t>
  </si>
  <si>
    <t>FX106617834</t>
  </si>
  <si>
    <t>9,18</t>
  </si>
  <si>
    <t>98,13</t>
  </si>
  <si>
    <t xml:space="preserve">James Williams </t>
  </si>
  <si>
    <t>James Williams</t>
  </si>
  <si>
    <t>TR-2025024</t>
  </si>
  <si>
    <t>01/24/2026</t>
  </si>
  <si>
    <t>01/26/2026</t>
  </si>
  <si>
    <t xml:space="preserve">P-011 </t>
  </si>
  <si>
    <t>Mouse Pro 11</t>
  </si>
  <si>
    <t>1 kom</t>
  </si>
  <si>
    <t>858,95</t>
  </si>
  <si>
    <t>e-012</t>
  </si>
  <si>
    <t>LA</t>
  </si>
  <si>
    <t>umbrella ltd.</t>
  </si>
  <si>
    <t>504686425</t>
  </si>
  <si>
    <t>ryan.yahoo.com</t>
  </si>
  <si>
    <t>923.467.8214</t>
  </si>
  <si>
    <t>377 Taylor St.</t>
  </si>
  <si>
    <t>53972</t>
  </si>
  <si>
    <t>INV/2026/0024</t>
  </si>
  <si>
    <t>Jan</t>
  </si>
  <si>
    <t>USD 16</t>
  </si>
  <si>
    <t>1Z933371692</t>
  </si>
  <si>
    <t xml:space="preserve">   ryan jones</t>
  </si>
  <si>
    <t>TR-2025025</t>
  </si>
  <si>
    <t>16-May-25</t>
  </si>
  <si>
    <t>20250517</t>
  </si>
  <si>
    <t xml:space="preserve">P-055 </t>
  </si>
  <si>
    <t>cable basic 55</t>
  </si>
  <si>
    <t xml:space="preserve">   office</t>
  </si>
  <si>
    <t>11.061,36</t>
  </si>
  <si>
    <t xml:space="preserve">E015 </t>
  </si>
  <si>
    <t>Sarah Jones</t>
  </si>
  <si>
    <t>EIN: 819550596</t>
  </si>
  <si>
    <t>john.gmail.com</t>
  </si>
  <si>
    <t>(982) 995-5691</t>
  </si>
  <si>
    <t>811 Miller St.</t>
  </si>
  <si>
    <t>46306</t>
  </si>
  <si>
    <t>INV/2025/0025</t>
  </si>
  <si>
    <t>DH772107295</t>
  </si>
  <si>
    <t>1.7 kg</t>
  </si>
  <si>
    <t xml:space="preserve"> John Miller</t>
  </si>
  <si>
    <t>TR-2025026</t>
  </si>
  <si>
    <t>20250302</t>
  </si>
  <si>
    <t>2025-03-07</t>
  </si>
  <si>
    <t>P-017</t>
  </si>
  <si>
    <t>23</t>
  </si>
  <si>
    <t>$1,313.33</t>
  </si>
  <si>
    <t>30206,59</t>
  </si>
  <si>
    <t>e-008</t>
  </si>
  <si>
    <t>Michael Williams</t>
  </si>
  <si>
    <t xml:space="preserve">ACME INC  </t>
  </si>
  <si>
    <t>426314041</t>
  </si>
  <si>
    <t>jessica.company.com</t>
  </si>
  <si>
    <t>(315) 365-6316</t>
  </si>
  <si>
    <t>12 Wilson Blvd</t>
  </si>
  <si>
    <t>12006</t>
  </si>
  <si>
    <t>INV/2025/0026</t>
  </si>
  <si>
    <t>0.42</t>
  </si>
  <si>
    <t>DH884520761</t>
  </si>
  <si>
    <t>906.20 USD</t>
  </si>
  <si>
    <t xml:space="preserve">   Jessica Davis</t>
  </si>
  <si>
    <t>TR-2025027</t>
  </si>
  <si>
    <t>12/31/2025</t>
  </si>
  <si>
    <t>P-012</t>
  </si>
  <si>
    <t xml:space="preserve">Electronics  </t>
  </si>
  <si>
    <t>823,88</t>
  </si>
  <si>
    <t>12.358,20</t>
  </si>
  <si>
    <t>E021</t>
  </si>
  <si>
    <t>Stark inc</t>
  </si>
  <si>
    <t>EIN: 253719173</t>
  </si>
  <si>
    <t>jessica.gmail.com</t>
  </si>
  <si>
    <t>209.882.3888</t>
  </si>
  <si>
    <t>169 Davis Ave</t>
  </si>
  <si>
    <t>01549</t>
  </si>
  <si>
    <t>INV/2025/0027</t>
  </si>
  <si>
    <t>48,72</t>
  </si>
  <si>
    <t>DH826328507</t>
  </si>
  <si>
    <t>19.8 kg</t>
  </si>
  <si>
    <t>jessica williams</t>
  </si>
  <si>
    <t>TR-2025028</t>
  </si>
  <si>
    <t>18-Aug-26</t>
  </si>
  <si>
    <t>23.08.2026</t>
  </si>
  <si>
    <t>p024</t>
  </si>
  <si>
    <t xml:space="preserve">  Electronics   </t>
  </si>
  <si>
    <t>95.70 USD</t>
  </si>
  <si>
    <t>2296.80 USD</t>
  </si>
  <si>
    <t>E018</t>
  </si>
  <si>
    <t>John Miller</t>
  </si>
  <si>
    <t xml:space="preserve">Stark LLC  </t>
  </si>
  <si>
    <t>932128440</t>
  </si>
  <si>
    <t>robert.yahoo.com</t>
  </si>
  <si>
    <t>+1 248 581 1683</t>
  </si>
  <si>
    <t>308 Johnson St.</t>
  </si>
  <si>
    <t>56833</t>
  </si>
  <si>
    <t>wire</t>
  </si>
  <si>
    <t>INV/2026/0028</t>
  </si>
  <si>
    <t>August</t>
  </si>
  <si>
    <t>41.28</t>
  </si>
  <si>
    <t>DH663401775</t>
  </si>
  <si>
    <t>1,4</t>
  </si>
  <si>
    <t>robert brown</t>
  </si>
  <si>
    <t>Robert</t>
  </si>
  <si>
    <t>TR-2025029</t>
  </si>
  <si>
    <t>15.05.2026.</t>
  </si>
  <si>
    <t>20260520</t>
  </si>
  <si>
    <t>p051</t>
  </si>
  <si>
    <t>Cable Basic 51</t>
  </si>
  <si>
    <t xml:space="preserve">office </t>
  </si>
  <si>
    <t>5.183,25</t>
  </si>
  <si>
    <t xml:space="preserve">E001 </t>
  </si>
  <si>
    <t>Sarah Wilson</t>
  </si>
  <si>
    <t>434209630</t>
  </si>
  <si>
    <t>(569) 944-8663</t>
  </si>
  <si>
    <t>344 Anderson Blvd</t>
  </si>
  <si>
    <t>44749</t>
  </si>
  <si>
    <t>INV/2026/0029</t>
  </si>
  <si>
    <t>17,84</t>
  </si>
  <si>
    <t>DH136627024</t>
  </si>
  <si>
    <t>155.50 USD</t>
  </si>
  <si>
    <t xml:space="preserve">  CHRIS JONES</t>
  </si>
  <si>
    <t>TR-2025030</t>
  </si>
  <si>
    <t>20-Feb-26</t>
  </si>
  <si>
    <t>03/01/2026</t>
  </si>
  <si>
    <t>p056</t>
  </si>
  <si>
    <t xml:space="preserve"> Keyboard X 56   </t>
  </si>
  <si>
    <t>1.111,11</t>
  </si>
  <si>
    <t>$4,444.44</t>
  </si>
  <si>
    <t>EMP18</t>
  </si>
  <si>
    <t>CHICAGO</t>
  </si>
  <si>
    <t>EIN: 620244895</t>
  </si>
  <si>
    <t>(463) 759-1378</t>
  </si>
  <si>
    <t>49 Davis Blvd</t>
  </si>
  <si>
    <t>27259</t>
  </si>
  <si>
    <t>INV/2026/0030</t>
  </si>
  <si>
    <t>Feb</t>
  </si>
  <si>
    <t>35.95</t>
  </si>
  <si>
    <t>DH116113610</t>
  </si>
  <si>
    <t>27.7 kg</t>
  </si>
  <si>
    <t>133.33</t>
  </si>
  <si>
    <t>Emma Miller</t>
  </si>
  <si>
    <t>TR-2025031</t>
  </si>
  <si>
    <t>27.01.2025.</t>
  </si>
  <si>
    <t>20250208</t>
  </si>
  <si>
    <t xml:space="preserve"> KEYBOARD X 56</t>
  </si>
  <si>
    <t>37</t>
  </si>
  <si>
    <t>Chicgo</t>
  </si>
  <si>
    <t>Acme LLC</t>
  </si>
  <si>
    <t>EIN: 241588570</t>
  </si>
  <si>
    <t>(302) 871-6939</t>
  </si>
  <si>
    <t>640 Williams Street</t>
  </si>
  <si>
    <t>08886</t>
  </si>
  <si>
    <t>INV/2025/0031</t>
  </si>
  <si>
    <t>38,91</t>
  </si>
  <si>
    <t>1Z783034651</t>
  </si>
  <si>
    <t xml:space="preserve">  </t>
  </si>
  <si>
    <t>1233.33 USD</t>
  </si>
  <si>
    <t xml:space="preserve">Daniel Miller   </t>
  </si>
  <si>
    <t>Daniel</t>
  </si>
  <si>
    <t>TR-2025032</t>
  </si>
  <si>
    <t>2025-08-18</t>
  </si>
  <si>
    <t>08/22/2025</t>
  </si>
  <si>
    <t xml:space="preserve">P-059 </t>
  </si>
  <si>
    <t>Keyboard Max 59</t>
  </si>
  <si>
    <t>17 kom</t>
  </si>
  <si>
    <t>673.61</t>
  </si>
  <si>
    <t>11451.37 USD</t>
  </si>
  <si>
    <t>WAYNE LLC</t>
  </si>
  <si>
    <t>EIN: 250107754</t>
  </si>
  <si>
    <t>(355) 209-3185</t>
  </si>
  <si>
    <t>476 Davis Street</t>
  </si>
  <si>
    <t>55290</t>
  </si>
  <si>
    <t>INV/2025/0032</t>
  </si>
  <si>
    <t>1Z439828953</t>
  </si>
  <si>
    <t>343.54</t>
  </si>
  <si>
    <t xml:space="preserve">John Jones </t>
  </si>
  <si>
    <t>TR-2025193</t>
  </si>
  <si>
    <t>01/22/2025</t>
  </si>
  <si>
    <t>02/03/2025</t>
  </si>
  <si>
    <t>P21</t>
  </si>
  <si>
    <t>Monitor Max 21</t>
  </si>
  <si>
    <t>30</t>
  </si>
  <si>
    <t>1184,70</t>
  </si>
  <si>
    <t>35541,00</t>
  </si>
  <si>
    <t>E012</t>
  </si>
  <si>
    <t>Acme Inc.</t>
  </si>
  <si>
    <t>499269182</t>
  </si>
  <si>
    <t>laura.gmail.com</t>
  </si>
  <si>
    <t>(798) 468-6016</t>
  </si>
  <si>
    <t>428 Jones Street</t>
  </si>
  <si>
    <t>51354</t>
  </si>
  <si>
    <t>INV/2025/0193</t>
  </si>
  <si>
    <t>21.04</t>
  </si>
  <si>
    <t>FX387168701</t>
  </si>
  <si>
    <t>25.4 kg</t>
  </si>
  <si>
    <t>1066.23</t>
  </si>
  <si>
    <t>Laura Williams</t>
  </si>
  <si>
    <t>TR-2025033</t>
  </si>
  <si>
    <t>01.07.2025.</t>
  </si>
  <si>
    <t>02-Jul-25</t>
  </si>
  <si>
    <t>P18</t>
  </si>
  <si>
    <t xml:space="preserve">license basic 18  </t>
  </si>
  <si>
    <t>USD 1,470</t>
  </si>
  <si>
    <t>USD 24,996</t>
  </si>
  <si>
    <t xml:space="preserve">E023 </t>
  </si>
  <si>
    <t>New York</t>
  </si>
  <si>
    <t>EIN: 755957168</t>
  </si>
  <si>
    <t>615.910.6314</t>
  </si>
  <si>
    <t>662 Wilson Ave</t>
  </si>
  <si>
    <t>60702</t>
  </si>
  <si>
    <t>INV/2025/0033</t>
  </si>
  <si>
    <t>17.76</t>
  </si>
  <si>
    <t>FX758003774</t>
  </si>
  <si>
    <t>2,25</t>
  </si>
  <si>
    <t>749,88</t>
  </si>
  <si>
    <t xml:space="preserve">David Johnson   </t>
  </si>
  <si>
    <t>TR-2025034</t>
  </si>
  <si>
    <t>2025-06-23</t>
  </si>
  <si>
    <t>20250704</t>
  </si>
  <si>
    <t>License Max 14</t>
  </si>
  <si>
    <t>24 kom</t>
  </si>
  <si>
    <t>USD 1,167</t>
  </si>
  <si>
    <t xml:space="preserve">E017 </t>
  </si>
  <si>
    <t>miami</t>
  </si>
  <si>
    <t xml:space="preserve">  Globex LLC</t>
  </si>
  <si>
    <t>EIN: 509238663</t>
  </si>
  <si>
    <t>+1 259 804 3923</t>
  </si>
  <si>
    <t>939 Miller Ave</t>
  </si>
  <si>
    <t>32697</t>
  </si>
  <si>
    <t>INV/2025/0034</t>
  </si>
  <si>
    <t>1Z865080132</t>
  </si>
  <si>
    <t>12,99</t>
  </si>
  <si>
    <t>840.21</t>
  </si>
  <si>
    <t xml:space="preserve">  Sarah Williams</t>
  </si>
  <si>
    <t>TR-2025035</t>
  </si>
  <si>
    <t>27-Jan-25</t>
  </si>
  <si>
    <t>2025-02-04</t>
  </si>
  <si>
    <t xml:space="preserve">P-060 </t>
  </si>
  <si>
    <t xml:space="preserve"> Desk Basic 60</t>
  </si>
  <si>
    <t xml:space="preserve">   Electronics</t>
  </si>
  <si>
    <t>38 kom.</t>
  </si>
  <si>
    <t>334.59 USD</t>
  </si>
  <si>
    <t>12.714,42</t>
  </si>
  <si>
    <t xml:space="preserve">   Umbrella LLC</t>
  </si>
  <si>
    <t>EIN: 250559903</t>
  </si>
  <si>
    <t>olivia.gmail.com</t>
  </si>
  <si>
    <t>390.751.5500</t>
  </si>
  <si>
    <t>269 Johnson Ave</t>
  </si>
  <si>
    <t>51295</t>
  </si>
  <si>
    <t>INV/2025/0035</t>
  </si>
  <si>
    <t>$42.83</t>
  </si>
  <si>
    <t>1Z322808127</t>
  </si>
  <si>
    <t>11.3 kg</t>
  </si>
  <si>
    <t>Olivia Wilson</t>
  </si>
  <si>
    <t>TR-2025036</t>
  </si>
  <si>
    <t>26.03.2026.</t>
  </si>
  <si>
    <t>03-Apr-26</t>
  </si>
  <si>
    <t xml:space="preserve">P-018 </t>
  </si>
  <si>
    <t xml:space="preserve"> license basic 18</t>
  </si>
  <si>
    <t xml:space="preserve">EQUIPMENT   </t>
  </si>
  <si>
    <t>19.114,68</t>
  </si>
  <si>
    <t xml:space="preserve">   Michael Williams </t>
  </si>
  <si>
    <t>Vortex Ltd.</t>
  </si>
  <si>
    <t>EIN: 858287081</t>
  </si>
  <si>
    <t>500.976.4812</t>
  </si>
  <si>
    <t>817 Miller St.</t>
  </si>
  <si>
    <t>41575</t>
  </si>
  <si>
    <t>INV/2026/0036</t>
  </si>
  <si>
    <t>1Z881941210</t>
  </si>
  <si>
    <t>$573.44</t>
  </si>
  <si>
    <t>EMMA BROWN</t>
  </si>
  <si>
    <t>Emma Brown</t>
  </si>
  <si>
    <t>TR-2025037</t>
  </si>
  <si>
    <t>07-Nov-25</t>
  </si>
  <si>
    <t>2025-11-12</t>
  </si>
  <si>
    <t>P32</t>
  </si>
  <si>
    <t>CABLE BASIC 32</t>
  </si>
  <si>
    <t xml:space="preserve">Software  </t>
  </si>
  <si>
    <t>1.479,77</t>
  </si>
  <si>
    <t xml:space="preserve">GLOBEX INC   </t>
  </si>
  <si>
    <t>EIN: 241701002</t>
  </si>
  <si>
    <t>robert.company.com</t>
  </si>
  <si>
    <t>+1 568 373 2475</t>
  </si>
  <si>
    <t>153 Jones Street</t>
  </si>
  <si>
    <t>14963</t>
  </si>
  <si>
    <t>INV/2025/0037</t>
  </si>
  <si>
    <t>$25.34</t>
  </si>
  <si>
    <t>FX696240173</t>
  </si>
  <si>
    <t>7,27</t>
  </si>
  <si>
    <t>1.686,94</t>
  </si>
  <si>
    <t xml:space="preserve">robert johnson  </t>
  </si>
  <si>
    <t>Robert Johnson</t>
  </si>
  <si>
    <t>TR-2025038</t>
  </si>
  <si>
    <t>2026-06-15</t>
  </si>
  <si>
    <t>2026-06-19</t>
  </si>
  <si>
    <t xml:space="preserve"> P_026</t>
  </si>
  <si>
    <t xml:space="preserve"> Printer Basic 26  </t>
  </si>
  <si>
    <t>ELECTRONICS</t>
  </si>
  <si>
    <t>19 kom</t>
  </si>
  <si>
    <t>1411.27</t>
  </si>
  <si>
    <t>26814,13</t>
  </si>
  <si>
    <t>EMP20</t>
  </si>
  <si>
    <t xml:space="preserve">  Acme Ltd.</t>
  </si>
  <si>
    <t>318762581</t>
  </si>
  <si>
    <t>olivia.company.com</t>
  </si>
  <si>
    <t>997.537.2131</t>
  </si>
  <si>
    <t>652 Johnson St.</t>
  </si>
  <si>
    <t>82940</t>
  </si>
  <si>
    <t>INV/2026/0038</t>
  </si>
  <si>
    <t>DH276871522</t>
  </si>
  <si>
    <t>23,55</t>
  </si>
  <si>
    <t>804.42 USD</t>
  </si>
  <si>
    <t xml:space="preserve">olivia johnson </t>
  </si>
  <si>
    <t>Olivia</t>
  </si>
  <si>
    <t>TR-2025039</t>
  </si>
  <si>
    <t>12-Aug-26</t>
  </si>
  <si>
    <t>19.08.2026</t>
  </si>
  <si>
    <t>P-016</t>
  </si>
  <si>
    <t>Keyboard X 16</t>
  </si>
  <si>
    <t xml:space="preserve">  Office</t>
  </si>
  <si>
    <t>4 kom.</t>
  </si>
  <si>
    <t>USD 127</t>
  </si>
  <si>
    <t>E016</t>
  </si>
  <si>
    <t>Seattle</t>
  </si>
  <si>
    <t>Vortex inc</t>
  </si>
  <si>
    <t>966650888</t>
  </si>
  <si>
    <t>(242) 584-4016</t>
  </si>
  <si>
    <t>360 Anderson Blvd</t>
  </si>
  <si>
    <t>41444</t>
  </si>
  <si>
    <t>INV/2026/0039</t>
  </si>
  <si>
    <t>DH208348261</t>
  </si>
  <si>
    <t>22,62</t>
  </si>
  <si>
    <t>15,28</t>
  </si>
  <si>
    <t>james davis</t>
  </si>
  <si>
    <t>James</t>
  </si>
  <si>
    <t>TR-2025315</t>
  </si>
  <si>
    <t>2026-05-02</t>
  </si>
  <si>
    <t>20260511</t>
  </si>
  <si>
    <t>P-051</t>
  </si>
  <si>
    <t xml:space="preserve">OFFICE   </t>
  </si>
  <si>
    <t>1036.65 USD</t>
  </si>
  <si>
    <t>3109,95</t>
  </si>
  <si>
    <t>EMP8</t>
  </si>
  <si>
    <t xml:space="preserve">Globex LLC   </t>
  </si>
  <si>
    <t>EIN: 676954297</t>
  </si>
  <si>
    <t>sarah.yahoo.com</t>
  </si>
  <si>
    <t>(873) 709-9403</t>
  </si>
  <si>
    <t>961 Johnson Street</t>
  </si>
  <si>
    <t>49274</t>
  </si>
  <si>
    <t>INV/2026/0315</t>
  </si>
  <si>
    <t>5,85</t>
  </si>
  <si>
    <t>DH773058896</t>
  </si>
  <si>
    <t>Sarah Johnson</t>
  </si>
  <si>
    <t>TR-2025040</t>
  </si>
  <si>
    <t>03.03.2025</t>
  </si>
  <si>
    <t>20250317</t>
  </si>
  <si>
    <t xml:space="preserve">P-052 </t>
  </si>
  <si>
    <t>Laptop Max 52</t>
  </si>
  <si>
    <t>32</t>
  </si>
  <si>
    <t>1.467,86</t>
  </si>
  <si>
    <t xml:space="preserve">   Chris Williams   </t>
  </si>
  <si>
    <t>Wayne Inc.</t>
  </si>
  <si>
    <t>EIN: 486805686</t>
  </si>
  <si>
    <t>laura.yahoo.com</t>
  </si>
  <si>
    <t>(788) 707-1791</t>
  </si>
  <si>
    <t>316 Taylor St.</t>
  </si>
  <si>
    <t>90313</t>
  </si>
  <si>
    <t>INV/2025/0040</t>
  </si>
  <si>
    <t>FX513945836</t>
  </si>
  <si>
    <t>3,46</t>
  </si>
  <si>
    <t>$1,409.15</t>
  </si>
  <si>
    <t>Laura Miller</t>
  </si>
  <si>
    <t>TR-2025142</t>
  </si>
  <si>
    <t>16-Sep-25</t>
  </si>
  <si>
    <t>P-010</t>
  </si>
  <si>
    <t>25</t>
  </si>
  <si>
    <t>USD 1,225</t>
  </si>
  <si>
    <t>30627.75</t>
  </si>
  <si>
    <t>EMP19</t>
  </si>
  <si>
    <t>Globex Inc.</t>
  </si>
  <si>
    <t>115358037</t>
  </si>
  <si>
    <t>(685) 870-5970</t>
  </si>
  <si>
    <t>614 Williams St.</t>
  </si>
  <si>
    <t>26466</t>
  </si>
  <si>
    <t>INV/2025/0142</t>
  </si>
  <si>
    <t>DH682392370</t>
  </si>
  <si>
    <t>918,83</t>
  </si>
  <si>
    <t xml:space="preserve">chris jones   </t>
  </si>
  <si>
    <t>Chris</t>
  </si>
  <si>
    <t>TR-2025041</t>
  </si>
  <si>
    <t>10.02.2026</t>
  </si>
  <si>
    <t>11.02.2026.</t>
  </si>
  <si>
    <t>Printer Basic 26</t>
  </si>
  <si>
    <t xml:space="preserve">Electronics   </t>
  </si>
  <si>
    <t>19 kom.</t>
  </si>
  <si>
    <t>1411.27 USD</t>
  </si>
  <si>
    <t xml:space="preserve">E012 </t>
  </si>
  <si>
    <t>Bostn</t>
  </si>
  <si>
    <t xml:space="preserve"> Initech LLC</t>
  </si>
  <si>
    <t>EIN: 544142395</t>
  </si>
  <si>
    <t>787.883.4859</t>
  </si>
  <si>
    <t>443 Davis St.</t>
  </si>
  <si>
    <t>76198</t>
  </si>
  <si>
    <t>INV/2026/0041</t>
  </si>
  <si>
    <t>DH395362069</t>
  </si>
  <si>
    <t>18,18</t>
  </si>
  <si>
    <t xml:space="preserve">  Sophia Johnson  </t>
  </si>
  <si>
    <t>TR-2025042</t>
  </si>
  <si>
    <t>02.03.2025</t>
  </si>
  <si>
    <t>11-Mar-25</t>
  </si>
  <si>
    <t>p018</t>
  </si>
  <si>
    <t>license basic 18</t>
  </si>
  <si>
    <t>equipment</t>
  </si>
  <si>
    <t>1.470,36</t>
  </si>
  <si>
    <t>55873.68 USD</t>
  </si>
  <si>
    <t>EMP17</t>
  </si>
  <si>
    <t>ROBERT DAVIS</t>
  </si>
  <si>
    <t xml:space="preserve">Vortex Inc. </t>
  </si>
  <si>
    <t>EIN: 498732700</t>
  </si>
  <si>
    <t>(273) 857-8829</t>
  </si>
  <si>
    <t>350 Anderson St.</t>
  </si>
  <si>
    <t>15664</t>
  </si>
  <si>
    <t>INV/2025/0042</t>
  </si>
  <si>
    <t>37.38</t>
  </si>
  <si>
    <t>DH872570652</t>
  </si>
  <si>
    <t>12,6</t>
  </si>
  <si>
    <t xml:space="preserve">Robert Anderson   </t>
  </si>
  <si>
    <t>TR-2025043</t>
  </si>
  <si>
    <t>07-Jun-25</t>
  </si>
  <si>
    <t>2025-06-21</t>
  </si>
  <si>
    <t xml:space="preserve"> P_022</t>
  </si>
  <si>
    <t xml:space="preserve">Desk Basic 22  </t>
  </si>
  <si>
    <t xml:space="preserve">  Furniture</t>
  </si>
  <si>
    <t>893.58 USD</t>
  </si>
  <si>
    <t>27.700,98</t>
  </si>
  <si>
    <t xml:space="preserve">   Initech inc</t>
  </si>
  <si>
    <t>EIN: 447211740</t>
  </si>
  <si>
    <t>(672) 696-4370</t>
  </si>
  <si>
    <t>606 Williams St.</t>
  </si>
  <si>
    <t>58676</t>
  </si>
  <si>
    <t>INV/2025/0043</t>
  </si>
  <si>
    <t>USD 35</t>
  </si>
  <si>
    <t>FX743248426</t>
  </si>
  <si>
    <t>831.03</t>
  </si>
  <si>
    <t xml:space="preserve">  laura johnson </t>
  </si>
  <si>
    <t>TR-2025044</t>
  </si>
  <si>
    <t>15-Aug-26</t>
  </si>
  <si>
    <t>28.08.2026</t>
  </si>
  <si>
    <t>P-060</t>
  </si>
  <si>
    <t xml:space="preserve">   DESK BASIC 60   </t>
  </si>
  <si>
    <t>5688,03</t>
  </si>
  <si>
    <t xml:space="preserve"> Umbrella Inc.</t>
  </si>
  <si>
    <t>EIN: 999035931</t>
  </si>
  <si>
    <t>827.288.9947</t>
  </si>
  <si>
    <t>361 Johnson Street</t>
  </si>
  <si>
    <t>96705</t>
  </si>
  <si>
    <t>INV/2026/0044</t>
  </si>
  <si>
    <t>38.44</t>
  </si>
  <si>
    <t>1Z833233426</t>
  </si>
  <si>
    <t>18.0 kg</t>
  </si>
  <si>
    <t>John Williams</t>
  </si>
  <si>
    <t>TR-2025045</t>
  </si>
  <si>
    <t>29.03.2026</t>
  </si>
  <si>
    <t>04-Apr-26</t>
  </si>
  <si>
    <t xml:space="preserve">P-040 </t>
  </si>
  <si>
    <t>monitor plus 40</t>
  </si>
  <si>
    <t>9</t>
  </si>
  <si>
    <t>98.06</t>
  </si>
  <si>
    <t>E010</t>
  </si>
  <si>
    <t>Olivia Anderson</t>
  </si>
  <si>
    <t>VORTEX INC</t>
  </si>
  <si>
    <t>EIN: 461801009</t>
  </si>
  <si>
    <t>450.617.9500</t>
  </si>
  <si>
    <t>796 Johnson St.</t>
  </si>
  <si>
    <t>29581</t>
  </si>
  <si>
    <t>INV/2026/0045</t>
  </si>
  <si>
    <t>Mar</t>
  </si>
  <si>
    <t>37,66</t>
  </si>
  <si>
    <t>1Z842113802</t>
  </si>
  <si>
    <t>18,59</t>
  </si>
  <si>
    <t>26.48</t>
  </si>
  <si>
    <t xml:space="preserve"> David Jones </t>
  </si>
  <si>
    <t>David</t>
  </si>
  <si>
    <t>TR-2025046</t>
  </si>
  <si>
    <t>20260406</t>
  </si>
  <si>
    <t>2026-04-18</t>
  </si>
  <si>
    <t>P-045</t>
  </si>
  <si>
    <t>Keyboard Max 45</t>
  </si>
  <si>
    <t>1589.56</t>
  </si>
  <si>
    <t>E009</t>
  </si>
  <si>
    <t>olivia wilson</t>
  </si>
  <si>
    <t>Los Angeles</t>
  </si>
  <si>
    <t xml:space="preserve"> UMBRELLA LLC</t>
  </si>
  <si>
    <t>800324313</t>
  </si>
  <si>
    <t>+1 563 572 9883</t>
  </si>
  <si>
    <t>807 Jones Ave</t>
  </si>
  <si>
    <t>49002</t>
  </si>
  <si>
    <t>INV/2026/0046</t>
  </si>
  <si>
    <t>USD 12</t>
  </si>
  <si>
    <t>1Z206951192</t>
  </si>
  <si>
    <t>David Jones</t>
  </si>
  <si>
    <t>TR-2025047</t>
  </si>
  <si>
    <t>30.09.2025</t>
  </si>
  <si>
    <t>02.10.2025.</t>
  </si>
  <si>
    <t>P-013</t>
  </si>
  <si>
    <t>monitor max 13</t>
  </si>
  <si>
    <t xml:space="preserve">  Electronics</t>
  </si>
  <si>
    <t>29</t>
  </si>
  <si>
    <t>930,42</t>
  </si>
  <si>
    <t xml:space="preserve">E003 </t>
  </si>
  <si>
    <t>INITECH LTD.</t>
  </si>
  <si>
    <t>376295913</t>
  </si>
  <si>
    <t>+1 903 958 1527</t>
  </si>
  <si>
    <t>681 Anderson St.</t>
  </si>
  <si>
    <t>86345</t>
  </si>
  <si>
    <t>INV/2025/0047</t>
  </si>
  <si>
    <t>Sep</t>
  </si>
  <si>
    <t>1Z426893931</t>
  </si>
  <si>
    <t>17.5 kg</t>
  </si>
  <si>
    <t>$809.47</t>
  </si>
  <si>
    <t>TR-2025048</t>
  </si>
  <si>
    <t>26.07.2025</t>
  </si>
  <si>
    <t>2025-08-02</t>
  </si>
  <si>
    <t>P-054</t>
  </si>
  <si>
    <t>Mouse Basic 54</t>
  </si>
  <si>
    <t>30 kom.</t>
  </si>
  <si>
    <t>e-016</t>
  </si>
  <si>
    <t>371847290</t>
  </si>
  <si>
    <t>(475) 929-7680</t>
  </si>
  <si>
    <t>296 Williams St.</t>
  </si>
  <si>
    <t>56061</t>
  </si>
  <si>
    <t>INV/2025/0048</t>
  </si>
  <si>
    <t>44,94</t>
  </si>
  <si>
    <t>DH372030581</t>
  </si>
  <si>
    <t>5.5 kg</t>
  </si>
  <si>
    <t>721,11</t>
  </si>
  <si>
    <t>david brown</t>
  </si>
  <si>
    <t>TR-2025049</t>
  </si>
  <si>
    <t>2025-07-04</t>
  </si>
  <si>
    <t>13-Jul-25</t>
  </si>
  <si>
    <t>p022</t>
  </si>
  <si>
    <t xml:space="preserve">   Desk Basic 22</t>
  </si>
  <si>
    <t>21 kom</t>
  </si>
  <si>
    <t>18765,18</t>
  </si>
  <si>
    <t xml:space="preserve">E022 </t>
  </si>
  <si>
    <t>Umbrella Inc.</t>
  </si>
  <si>
    <t>EIN: 272806008</t>
  </si>
  <si>
    <t>chris.yahoo.com</t>
  </si>
  <si>
    <t>+1 763 857 4342</t>
  </si>
  <si>
    <t>785 Jones Ave</t>
  </si>
  <si>
    <t>22418</t>
  </si>
  <si>
    <t>INV/2025/0049</t>
  </si>
  <si>
    <t>39.92 USD</t>
  </si>
  <si>
    <t>1Z104225747</t>
  </si>
  <si>
    <t>562.96</t>
  </si>
  <si>
    <t>Chris Brown</t>
  </si>
  <si>
    <t>TR-2025050</t>
  </si>
  <si>
    <t>20250928</t>
  </si>
  <si>
    <t>2025-10-03</t>
  </si>
  <si>
    <t>P-004</t>
  </si>
  <si>
    <t xml:space="preserve">Printer Plus 4   </t>
  </si>
  <si>
    <t xml:space="preserve"> Electronics</t>
  </si>
  <si>
    <t>6201.43</t>
  </si>
  <si>
    <t>E003</t>
  </si>
  <si>
    <t xml:space="preserve">   Laura Miller</t>
  </si>
  <si>
    <t>Stark Inc.</t>
  </si>
  <si>
    <t>114117891</t>
  </si>
  <si>
    <t>(668) 446-5235</t>
  </si>
  <si>
    <t>235 Smith St.</t>
  </si>
  <si>
    <t>68212</t>
  </si>
  <si>
    <t>INV/2025/0050</t>
  </si>
  <si>
    <t>FX525758121</t>
  </si>
  <si>
    <t>1,76</t>
  </si>
  <si>
    <t xml:space="preserve"> Emily Johnson</t>
  </si>
  <si>
    <t>TR-2025051</t>
  </si>
  <si>
    <t>18.03.2025</t>
  </si>
  <si>
    <t>20250323</t>
  </si>
  <si>
    <t xml:space="preserve">P-034 </t>
  </si>
  <si>
    <t>Mouse X 34</t>
  </si>
  <si>
    <t>23.03</t>
  </si>
  <si>
    <t>Umbrella LLC</t>
  </si>
  <si>
    <t>465930425</t>
  </si>
  <si>
    <t>+1 232 494 3212</t>
  </si>
  <si>
    <t>168 Taylor Blvd</t>
  </si>
  <si>
    <t>23165</t>
  </si>
  <si>
    <t>INV/2025/0051</t>
  </si>
  <si>
    <t>23,64</t>
  </si>
  <si>
    <t>FX522196969</t>
  </si>
  <si>
    <t>$3.45</t>
  </si>
  <si>
    <t>Olivia Davis</t>
  </si>
  <si>
    <t>TR-2025052</t>
  </si>
  <si>
    <t>2025-12-16</t>
  </si>
  <si>
    <t xml:space="preserve"> P_012</t>
  </si>
  <si>
    <t xml:space="preserve">  KEYBOARD BASIC 12  </t>
  </si>
  <si>
    <t>electronics</t>
  </si>
  <si>
    <t>13 kom.</t>
  </si>
  <si>
    <t>$823.88</t>
  </si>
  <si>
    <t>10710.44</t>
  </si>
  <si>
    <t>e-024</t>
  </si>
  <si>
    <t>Seatle</t>
  </si>
  <si>
    <t>429757560</t>
  </si>
  <si>
    <t>daniel.company.com</t>
  </si>
  <si>
    <t>962.893.9889</t>
  </si>
  <si>
    <t>933 Smith Blvd</t>
  </si>
  <si>
    <t>45474</t>
  </si>
  <si>
    <t>INV/2025/0052</t>
  </si>
  <si>
    <t>45.15</t>
  </si>
  <si>
    <t>DH172650775</t>
  </si>
  <si>
    <t>25,81</t>
  </si>
  <si>
    <t>$321.31</t>
  </si>
  <si>
    <t>TR-2025311</t>
  </si>
  <si>
    <t>08-Feb-25</t>
  </si>
  <si>
    <t>02/11/2025</t>
  </si>
  <si>
    <t>P-006</t>
  </si>
  <si>
    <t xml:space="preserve"> monitor x 6</t>
  </si>
  <si>
    <t>14 kom.</t>
  </si>
  <si>
    <t>1.421,82</t>
  </si>
  <si>
    <t>USD 19,905</t>
  </si>
  <si>
    <t>Initech LLC</t>
  </si>
  <si>
    <t>891637245</t>
  </si>
  <si>
    <t>robert.gmail.com</t>
  </si>
  <si>
    <t>+1 588 405 8590</t>
  </si>
  <si>
    <t>170 Wilson Street</t>
  </si>
  <si>
    <t>27723</t>
  </si>
  <si>
    <t>INV/2025/0311</t>
  </si>
  <si>
    <t>13,63</t>
  </si>
  <si>
    <t>1Z598689555</t>
  </si>
  <si>
    <t>18.1 kg</t>
  </si>
  <si>
    <t xml:space="preserve">ROBERT ANDERSON   </t>
  </si>
  <si>
    <t>TR-2025053</t>
  </si>
  <si>
    <t>2025-03-12</t>
  </si>
  <si>
    <t>03/16/2025</t>
  </si>
  <si>
    <t>P-038</t>
  </si>
  <si>
    <t xml:space="preserve">   Cable Max 38   </t>
  </si>
  <si>
    <t xml:space="preserve"> ELECTRONICS  </t>
  </si>
  <si>
    <t>29 kom</t>
  </si>
  <si>
    <t>687.68</t>
  </si>
  <si>
    <t>19942,72</t>
  </si>
  <si>
    <t>Wayne INC</t>
  </si>
  <si>
    <t>300591442</t>
  </si>
  <si>
    <t>james.company.com</t>
  </si>
  <si>
    <t>(819) 587-3688</t>
  </si>
  <si>
    <t>213 Taylor Street</t>
  </si>
  <si>
    <t>66850</t>
  </si>
  <si>
    <t>INV/2025/0053</t>
  </si>
  <si>
    <t>30,21</t>
  </si>
  <si>
    <t>DH602821939</t>
  </si>
  <si>
    <t>24,1</t>
  </si>
  <si>
    <t>598,28</t>
  </si>
  <si>
    <t xml:space="preserve">   James Smith</t>
  </si>
  <si>
    <t>James Smith</t>
  </si>
  <si>
    <t>TR-2025054</t>
  </si>
  <si>
    <t>10.08.2025</t>
  </si>
  <si>
    <t>18.08.2025</t>
  </si>
  <si>
    <t xml:space="preserve"> P_046</t>
  </si>
  <si>
    <t xml:space="preserve">  Chair Basic 46 </t>
  </si>
  <si>
    <t xml:space="preserve">Equipment </t>
  </si>
  <si>
    <t>28 kom.</t>
  </si>
  <si>
    <t>$549.42</t>
  </si>
  <si>
    <t>E020</t>
  </si>
  <si>
    <t>606622553</t>
  </si>
  <si>
    <t>ryan.company.com</t>
  </si>
  <si>
    <t>+1 271 613 2645</t>
  </si>
  <si>
    <t>361 Davis St.</t>
  </si>
  <si>
    <t>61986</t>
  </si>
  <si>
    <t>INV/2025/0054</t>
  </si>
  <si>
    <t>DH256032416</t>
  </si>
  <si>
    <t>20.4 kg</t>
  </si>
  <si>
    <t>USD 462</t>
  </si>
  <si>
    <t xml:space="preserve"> ryan taylor</t>
  </si>
  <si>
    <t>Ryan</t>
  </si>
  <si>
    <t>TR-2025104</t>
  </si>
  <si>
    <t>05.04.2026</t>
  </si>
  <si>
    <t>20260412</t>
  </si>
  <si>
    <t>16 kom</t>
  </si>
  <si>
    <t>USD 8,791</t>
  </si>
  <si>
    <t xml:space="preserve">Laura Anderson  </t>
  </si>
  <si>
    <t>567147611</t>
  </si>
  <si>
    <t>+1 852 532 1222</t>
  </si>
  <si>
    <t>778 Davis Ave</t>
  </si>
  <si>
    <t>02457</t>
  </si>
  <si>
    <t>INV/2026/0104</t>
  </si>
  <si>
    <t>Apr</t>
  </si>
  <si>
    <t>48.82</t>
  </si>
  <si>
    <t>DH627617812</t>
  </si>
  <si>
    <t>17,98</t>
  </si>
  <si>
    <t>John Anderson</t>
  </si>
  <si>
    <t>TR-2025055</t>
  </si>
  <si>
    <t>20260108</t>
  </si>
  <si>
    <t>16.01.2026</t>
  </si>
  <si>
    <t xml:space="preserve">P-032 </t>
  </si>
  <si>
    <t>2 kom</t>
  </si>
  <si>
    <t>1479.77 USD</t>
  </si>
  <si>
    <t xml:space="preserve">  Olivia Wilson </t>
  </si>
  <si>
    <t xml:space="preserve">Stark inc </t>
  </si>
  <si>
    <t>691518047</t>
  </si>
  <si>
    <t>295.844.3940</t>
  </si>
  <si>
    <t>130 Jones Street</t>
  </si>
  <si>
    <t>12023</t>
  </si>
  <si>
    <t>INV/2026/0055</t>
  </si>
  <si>
    <t>18.03 USD</t>
  </si>
  <si>
    <t>FX371992882</t>
  </si>
  <si>
    <t>0,83</t>
  </si>
  <si>
    <t>88,79</t>
  </si>
  <si>
    <t>Jessica Taylor</t>
  </si>
  <si>
    <t>TR-2025056</t>
  </si>
  <si>
    <t>12.12.2025.</t>
  </si>
  <si>
    <t>2025-12-21</t>
  </si>
  <si>
    <t>P-029</t>
  </si>
  <si>
    <t xml:space="preserve">Keyboard Plus 29   </t>
  </si>
  <si>
    <t>USD 35,767</t>
  </si>
  <si>
    <t>Vortex Inc.</t>
  </si>
  <si>
    <t>EIN: 789866266</t>
  </si>
  <si>
    <t>+1 481 284 9061</t>
  </si>
  <si>
    <t>780 Johnson Blvd</t>
  </si>
  <si>
    <t>39546</t>
  </si>
  <si>
    <t>INV/2025/0056</t>
  </si>
  <si>
    <t>DH582009372</t>
  </si>
  <si>
    <t>14,87</t>
  </si>
  <si>
    <t>1073,00</t>
  </si>
  <si>
    <t>TR-2025057</t>
  </si>
  <si>
    <t>20260215</t>
  </si>
  <si>
    <t>20.02.2026</t>
  </si>
  <si>
    <t xml:space="preserve"> P_042</t>
  </si>
  <si>
    <t>Desk Max 42</t>
  </si>
  <si>
    <t>158.06</t>
  </si>
  <si>
    <t>E011</t>
  </si>
  <si>
    <t>276355873</t>
  </si>
  <si>
    <t>emily.yahoo.com</t>
  </si>
  <si>
    <t>827.509.2033</t>
  </si>
  <si>
    <t>393 Taylor Blvd</t>
  </si>
  <si>
    <t>28818</t>
  </si>
  <si>
    <t>INV/2026/0057</t>
  </si>
  <si>
    <t>FX280115051</t>
  </si>
  <si>
    <t>27.0 kg</t>
  </si>
  <si>
    <t>$147.00</t>
  </si>
  <si>
    <t>Emily Smith</t>
  </si>
  <si>
    <t>TR-2025058</t>
  </si>
  <si>
    <t>12/05/2025</t>
  </si>
  <si>
    <t>09-Dec-25</t>
  </si>
  <si>
    <t>P38</t>
  </si>
  <si>
    <t>Cable Max 38</t>
  </si>
  <si>
    <t>$687.68</t>
  </si>
  <si>
    <t xml:space="preserve"> Olivia Anderson   </t>
  </si>
  <si>
    <t xml:space="preserve">INITECH INC. </t>
  </si>
  <si>
    <t>828226053</t>
  </si>
  <si>
    <t>727.625.6734</t>
  </si>
  <si>
    <t>604 Taylor St.</t>
  </si>
  <si>
    <t>02712</t>
  </si>
  <si>
    <t>INV/2025/0058</t>
  </si>
  <si>
    <t>Dec</t>
  </si>
  <si>
    <t>49.63</t>
  </si>
  <si>
    <t>FX218650855</t>
  </si>
  <si>
    <t>26.8 kg</t>
  </si>
  <si>
    <t xml:space="preserve">Robert Williams  </t>
  </si>
  <si>
    <t>TR-2025059</t>
  </si>
  <si>
    <t>2025-06-11</t>
  </si>
  <si>
    <t>16.06.2025.</t>
  </si>
  <si>
    <t xml:space="preserve"> equipment  </t>
  </si>
  <si>
    <t>1225.11 USD</t>
  </si>
  <si>
    <t>USD 12,251</t>
  </si>
  <si>
    <t>e-006</t>
  </si>
  <si>
    <t>vortex inc.</t>
  </si>
  <si>
    <t>EIN: 195399847</t>
  </si>
  <si>
    <t>emily.company.com</t>
  </si>
  <si>
    <t>(972) 515-2215</t>
  </si>
  <si>
    <t>313 Davis Ave</t>
  </si>
  <si>
    <t>14915</t>
  </si>
  <si>
    <t>INV/2025/0059</t>
  </si>
  <si>
    <t>DH869629458</t>
  </si>
  <si>
    <t xml:space="preserve">   emily anderson</t>
  </si>
  <si>
    <t>TR-2025060</t>
  </si>
  <si>
    <t>05.12.2025</t>
  </si>
  <si>
    <t>08.12.2025</t>
  </si>
  <si>
    <t xml:space="preserve"> P_016</t>
  </si>
  <si>
    <t>keyboard x 16</t>
  </si>
  <si>
    <t>3 kom.</t>
  </si>
  <si>
    <t>$127.37</t>
  </si>
  <si>
    <t>382.11 USD</t>
  </si>
  <si>
    <t>e-009</t>
  </si>
  <si>
    <t xml:space="preserve">Wayne LLC  </t>
  </si>
  <si>
    <t>357724330</t>
  </si>
  <si>
    <t>+1 912 575 7662</t>
  </si>
  <si>
    <t>449 Williams Street</t>
  </si>
  <si>
    <t>18304</t>
  </si>
  <si>
    <t>INV/2025/0060</t>
  </si>
  <si>
    <t>7.65 USD</t>
  </si>
  <si>
    <t>DH441786172</t>
  </si>
  <si>
    <t>16,82</t>
  </si>
  <si>
    <t>USD 11</t>
  </si>
  <si>
    <t>JAMES DAVIS</t>
  </si>
  <si>
    <t>TR-2025061</t>
  </si>
  <si>
    <t>2026-05-30</t>
  </si>
  <si>
    <t>31.05.2026.</t>
  </si>
  <si>
    <t>P-018</t>
  </si>
  <si>
    <t>License Basic 18</t>
  </si>
  <si>
    <t>33 kom</t>
  </si>
  <si>
    <t>$1,470.36</t>
  </si>
  <si>
    <t>48521.88</t>
  </si>
  <si>
    <t xml:space="preserve">  Chris Williams</t>
  </si>
  <si>
    <t>UMBRELLA LTD.</t>
  </si>
  <si>
    <t>EIN: 351046051</t>
  </si>
  <si>
    <t>+1 910 217 5469</t>
  </si>
  <si>
    <t>420 Smith Blvd</t>
  </si>
  <si>
    <t>80736</t>
  </si>
  <si>
    <t>INV/2026/0061</t>
  </si>
  <si>
    <t>44.82</t>
  </si>
  <si>
    <t>FX571642340</t>
  </si>
  <si>
    <t>4,7</t>
  </si>
  <si>
    <t>1455.66</t>
  </si>
  <si>
    <t xml:space="preserve">John Davis  </t>
  </si>
  <si>
    <t>TR-2025062</t>
  </si>
  <si>
    <t>27-Mar-26</t>
  </si>
  <si>
    <t>30-Mar-26</t>
  </si>
  <si>
    <t>Laptop Pro 58</t>
  </si>
  <si>
    <t xml:space="preserve"> Furniture</t>
  </si>
  <si>
    <t>26</t>
  </si>
  <si>
    <t>18486.00 USD</t>
  </si>
  <si>
    <t>231363363</t>
  </si>
  <si>
    <t>olivia.yahoo.com</t>
  </si>
  <si>
    <t>(626) 571-1252</t>
  </si>
  <si>
    <t>342 Anderson St.</t>
  </si>
  <si>
    <t>50441</t>
  </si>
  <si>
    <t>INV/2026/0062</t>
  </si>
  <si>
    <t>11,39</t>
  </si>
  <si>
    <t>FX688786933</t>
  </si>
  <si>
    <t>4.9 kg</t>
  </si>
  <si>
    <t xml:space="preserve">  olivia jones</t>
  </si>
  <si>
    <t>TR-2025063</t>
  </si>
  <si>
    <t>06/23/2025</t>
  </si>
  <si>
    <t>07.07.2025.</t>
  </si>
  <si>
    <t>759.99</t>
  </si>
  <si>
    <t xml:space="preserve">Acme inc   </t>
  </si>
  <si>
    <t>EIN: 276734200</t>
  </si>
  <si>
    <t>(585) 424-6255</t>
  </si>
  <si>
    <t>555 Williams Street</t>
  </si>
  <si>
    <t>85572</t>
  </si>
  <si>
    <t>INV/2025/0063</t>
  </si>
  <si>
    <t>FX431436898</t>
  </si>
  <si>
    <t>29,21</t>
  </si>
  <si>
    <t>USD 23</t>
  </si>
  <si>
    <t xml:space="preserve"> robert wilson   </t>
  </si>
  <si>
    <t>Robert Wilson</t>
  </si>
  <si>
    <t>TR-2025064</t>
  </si>
  <si>
    <t>09.06.2026</t>
  </si>
  <si>
    <t>10.06.2026.</t>
  </si>
  <si>
    <t>DESK BASIC 60</t>
  </si>
  <si>
    <t>$334.59</t>
  </si>
  <si>
    <t>3345.90</t>
  </si>
  <si>
    <t>E023</t>
  </si>
  <si>
    <t>Globex Ltd.</t>
  </si>
  <si>
    <t>401652263</t>
  </si>
  <si>
    <t>+1 877 765 8930</t>
  </si>
  <si>
    <t>717 Taylor Blvd</t>
  </si>
  <si>
    <t>50373</t>
  </si>
  <si>
    <t>INV/2026/0064</t>
  </si>
  <si>
    <t>11,20</t>
  </si>
  <si>
    <t>FX647444829</t>
  </si>
  <si>
    <t>18,76</t>
  </si>
  <si>
    <t>100,38</t>
  </si>
  <si>
    <t xml:space="preserve">   David Johnson </t>
  </si>
  <si>
    <t>TR-2025065</t>
  </si>
  <si>
    <t>28-Sep-25</t>
  </si>
  <si>
    <t>08.10.2025.</t>
  </si>
  <si>
    <t>P37</t>
  </si>
  <si>
    <t xml:space="preserve">  Headphones Basic 37</t>
  </si>
  <si>
    <t>23 kom</t>
  </si>
  <si>
    <t xml:space="preserve">E004 </t>
  </si>
  <si>
    <t>Sophia Johnson</t>
  </si>
  <si>
    <t>umbrella inc</t>
  </si>
  <si>
    <t>EIN: 566010774</t>
  </si>
  <si>
    <t>daniel.yahoo.com</t>
  </si>
  <si>
    <t>+1 365 686 9809</t>
  </si>
  <si>
    <t>857 Johnson Street</t>
  </si>
  <si>
    <t>27114</t>
  </si>
  <si>
    <t>INV/2025/0065</t>
  </si>
  <si>
    <t>5.22 USD</t>
  </si>
  <si>
    <t>1Z842246470</t>
  </si>
  <si>
    <t xml:space="preserve"> daniel johnson</t>
  </si>
  <si>
    <t>TR-2025066</t>
  </si>
  <si>
    <t>20260228</t>
  </si>
  <si>
    <t>02-Mar-26</t>
  </si>
  <si>
    <t>P-024</t>
  </si>
  <si>
    <t xml:space="preserve"> Chair Plus 24</t>
  </si>
  <si>
    <t>15 kom.</t>
  </si>
  <si>
    <t>1435,50</t>
  </si>
  <si>
    <t>michael williams</t>
  </si>
  <si>
    <t>Acme inc</t>
  </si>
  <si>
    <t>363185602</t>
  </si>
  <si>
    <t>+1 465 842 8999</t>
  </si>
  <si>
    <t>838 Williams Ave</t>
  </si>
  <si>
    <t>57889</t>
  </si>
  <si>
    <t>INV/2026/0066</t>
  </si>
  <si>
    <t>1Z948967854</t>
  </si>
  <si>
    <t>43,06</t>
  </si>
  <si>
    <t xml:space="preserve">Sophia Smith   </t>
  </si>
  <si>
    <t>Sophia</t>
  </si>
  <si>
    <t>TR-2025067</t>
  </si>
  <si>
    <t>01/28/2026</t>
  </si>
  <si>
    <t>20260205</t>
  </si>
  <si>
    <t>41.433,56</t>
  </si>
  <si>
    <t>UMBRELLA INC</t>
  </si>
  <si>
    <t>EIN: 729349177</t>
  </si>
  <si>
    <t>+1 508 718 1316</t>
  </si>
  <si>
    <t>91 Smith Street</t>
  </si>
  <si>
    <t>20806</t>
  </si>
  <si>
    <t>INV/2026/0067</t>
  </si>
  <si>
    <t>15.64</t>
  </si>
  <si>
    <t>DH804734710</t>
  </si>
  <si>
    <t>RYAN BROWN</t>
  </si>
  <si>
    <t>TR-2025068</t>
  </si>
  <si>
    <t>13.06.2026.</t>
  </si>
  <si>
    <t>27.06.2026.</t>
  </si>
  <si>
    <t>P6</t>
  </si>
  <si>
    <t>Monitor X 6</t>
  </si>
  <si>
    <t>22 kom</t>
  </si>
  <si>
    <t>1421.82 USD</t>
  </si>
  <si>
    <t>E004</t>
  </si>
  <si>
    <t xml:space="preserve">SOPHIA JOHNSON  </t>
  </si>
  <si>
    <t>960141080</t>
  </si>
  <si>
    <t>(741) 903-7874</t>
  </si>
  <si>
    <t>384 Taylor Ave</t>
  </si>
  <si>
    <t>53736</t>
  </si>
  <si>
    <t>INV/2026/0068</t>
  </si>
  <si>
    <t>34.15</t>
  </si>
  <si>
    <t>FX939150328</t>
  </si>
  <si>
    <t>23.6 kg</t>
  </si>
  <si>
    <t>Sarah Miller</t>
  </si>
  <si>
    <t>TR-2025069</t>
  </si>
  <si>
    <t>08/18/2025</t>
  </si>
  <si>
    <t>22-Aug-25</t>
  </si>
  <si>
    <t>chair basic 46</t>
  </si>
  <si>
    <t xml:space="preserve"> Equipment</t>
  </si>
  <si>
    <t>USD 549</t>
  </si>
  <si>
    <t>john miller</t>
  </si>
  <si>
    <t>Miami FL</t>
  </si>
  <si>
    <t>INITECH INC.</t>
  </si>
  <si>
    <t>846787451</t>
  </si>
  <si>
    <t>395.292.6502</t>
  </si>
  <si>
    <t>445 Brown Ave</t>
  </si>
  <si>
    <t>75285</t>
  </si>
  <si>
    <t>INV/2025/0069</t>
  </si>
  <si>
    <t>USD 39</t>
  </si>
  <si>
    <t>DH441134063</t>
  </si>
  <si>
    <t>TR-2025070</t>
  </si>
  <si>
    <t>28-Jun-25</t>
  </si>
  <si>
    <t>10-Jul-25</t>
  </si>
  <si>
    <t>P-053</t>
  </si>
  <si>
    <t>Monitor Basic 53</t>
  </si>
  <si>
    <t>2.766,10</t>
  </si>
  <si>
    <t>E002</t>
  </si>
  <si>
    <t xml:space="preserve">  SARAH WILSON</t>
  </si>
  <si>
    <t>EIN: 511809674</t>
  </si>
  <si>
    <t>703.300.7625</t>
  </si>
  <si>
    <t>105 Wilson Blvd</t>
  </si>
  <si>
    <t>67143</t>
  </si>
  <si>
    <t>INV/2025/0070</t>
  </si>
  <si>
    <t>44,76</t>
  </si>
  <si>
    <t>FX211131300</t>
  </si>
  <si>
    <t>22.9 kg</t>
  </si>
  <si>
    <t>USD 83</t>
  </si>
  <si>
    <t xml:space="preserve">Emily Wilson   </t>
  </si>
  <si>
    <t>Emily</t>
  </si>
  <si>
    <t>TR-2025071</t>
  </si>
  <si>
    <t>20250216</t>
  </si>
  <si>
    <t>28.02.2025</t>
  </si>
  <si>
    <t>MONITOR X 41</t>
  </si>
  <si>
    <t xml:space="preserve">   Software</t>
  </si>
  <si>
    <t>247,64</t>
  </si>
  <si>
    <t>4705.16 USD</t>
  </si>
  <si>
    <t>e-018</t>
  </si>
  <si>
    <t>Globex inc</t>
  </si>
  <si>
    <t>EIN: 390686616</t>
  </si>
  <si>
    <t>(367) 200-7507</t>
  </si>
  <si>
    <t>389 Williams Ave</t>
  </si>
  <si>
    <t>72013</t>
  </si>
  <si>
    <t>INV/2025/0071</t>
  </si>
  <si>
    <t>2.71 USD</t>
  </si>
  <si>
    <t>FX780466790</t>
  </si>
  <si>
    <t>$141.15</t>
  </si>
  <si>
    <t xml:space="preserve">   Daniel Smith</t>
  </si>
  <si>
    <t>TR-2025072</t>
  </si>
  <si>
    <t>01/21/2025</t>
  </si>
  <si>
    <t>27.01.2025</t>
  </si>
  <si>
    <t>227,08</t>
  </si>
  <si>
    <t>1816.64</t>
  </si>
  <si>
    <t xml:space="preserve">LAURA ANDERSON   </t>
  </si>
  <si>
    <t>236601477</t>
  </si>
  <si>
    <t>655.489.4073</t>
  </si>
  <si>
    <t>815 Wilson Ave</t>
  </si>
  <si>
    <t>50787</t>
  </si>
  <si>
    <t>INV/2025/0072</t>
  </si>
  <si>
    <t>25.10 USD</t>
  </si>
  <si>
    <t>FX304889068</t>
  </si>
  <si>
    <t>14.5 kg</t>
  </si>
  <si>
    <t>USD 54</t>
  </si>
  <si>
    <t>sarah jones</t>
  </si>
  <si>
    <t>TR-2025073</t>
  </si>
  <si>
    <t>06/27/2025</t>
  </si>
  <si>
    <t>11.07.2025.</t>
  </si>
  <si>
    <t>P40</t>
  </si>
  <si>
    <t>USD 98</t>
  </si>
  <si>
    <t>3235,98</t>
  </si>
  <si>
    <t xml:space="preserve">Umbrella Inc.   </t>
  </si>
  <si>
    <t>EIN: 644652046</t>
  </si>
  <si>
    <t>(522) 705-8311</t>
  </si>
  <si>
    <t>58 Miller Ave</t>
  </si>
  <si>
    <t>11313</t>
  </si>
  <si>
    <t>INV/2025/0073</t>
  </si>
  <si>
    <t>19,02</t>
  </si>
  <si>
    <t>FX171869367</t>
  </si>
  <si>
    <t>$97.08</t>
  </si>
  <si>
    <t xml:space="preserve"> sophia smith  </t>
  </si>
  <si>
    <t>TR-2025074</t>
  </si>
  <si>
    <t>20260207</t>
  </si>
  <si>
    <t>12.02.2026.</t>
  </si>
  <si>
    <t>P-039</t>
  </si>
  <si>
    <t>Cable Plus 39</t>
  </si>
  <si>
    <t>36 kom</t>
  </si>
  <si>
    <t>$601.47</t>
  </si>
  <si>
    <t>Initech inc</t>
  </si>
  <si>
    <t>EIN: 438265607</t>
  </si>
  <si>
    <t>+1 701 237 8693</t>
  </si>
  <si>
    <t>797 Smith Ave</t>
  </si>
  <si>
    <t>39289</t>
  </si>
  <si>
    <t>INV/2026/0074</t>
  </si>
  <si>
    <t>19.91</t>
  </si>
  <si>
    <t>DH307392880</t>
  </si>
  <si>
    <t>$649.59</t>
  </si>
  <si>
    <t>Emily Brown</t>
  </si>
  <si>
    <t>TR-2025075</t>
  </si>
  <si>
    <t>14-Jan-25</t>
  </si>
  <si>
    <t>P43</t>
  </si>
  <si>
    <t>HEADPHONES X 43</t>
  </si>
  <si>
    <t xml:space="preserve">EQUIPMENT </t>
  </si>
  <si>
    <t>156,69</t>
  </si>
  <si>
    <t>$3,447.18</t>
  </si>
  <si>
    <t>E024</t>
  </si>
  <si>
    <t>Robert Smith</t>
  </si>
  <si>
    <t xml:space="preserve">  Vortex INC</t>
  </si>
  <si>
    <t>205902968</t>
  </si>
  <si>
    <t>(443) 333-9775</t>
  </si>
  <si>
    <t>682 Brown Blvd</t>
  </si>
  <si>
    <t>68855</t>
  </si>
  <si>
    <t>INV/2025/0075</t>
  </si>
  <si>
    <t>1Z503745264</t>
  </si>
  <si>
    <t>6.6 kg</t>
  </si>
  <si>
    <t>USD 103</t>
  </si>
  <si>
    <t>sarah miller</t>
  </si>
  <si>
    <t>TR-2025305</t>
  </si>
  <si>
    <t>03.06.2026</t>
  </si>
  <si>
    <t>2026-06-08</t>
  </si>
  <si>
    <t xml:space="preserve"> P_038</t>
  </si>
  <si>
    <t xml:space="preserve">   electronics</t>
  </si>
  <si>
    <t>2.063,04</t>
  </si>
  <si>
    <t>E006</t>
  </si>
  <si>
    <t>Emily Davis</t>
  </si>
  <si>
    <t>EIN: 224975322</t>
  </si>
  <si>
    <t>(609) 585-5922</t>
  </si>
  <si>
    <t>965 Smith Blvd</t>
  </si>
  <si>
    <t>74151</t>
  </si>
  <si>
    <t>INV/2026/0305</t>
  </si>
  <si>
    <t>FX287036854</t>
  </si>
  <si>
    <t>3,97</t>
  </si>
  <si>
    <t>61,89</t>
  </si>
  <si>
    <t xml:space="preserve">John Williams   </t>
  </si>
  <si>
    <t>John</t>
  </si>
  <si>
    <t>TR-2025076</t>
  </si>
  <si>
    <t>18.08.2025.</t>
  </si>
  <si>
    <t>20250830</t>
  </si>
  <si>
    <t>P-050</t>
  </si>
  <si>
    <t xml:space="preserve">   LICENSE X 50   </t>
  </si>
  <si>
    <t>39,53</t>
  </si>
  <si>
    <t>276,71</t>
  </si>
  <si>
    <t xml:space="preserve">E024 </t>
  </si>
  <si>
    <t>ACME INC</t>
  </si>
  <si>
    <t>EIN: 809377576</t>
  </si>
  <si>
    <t>jessica.yahoo.com</t>
  </si>
  <si>
    <t>339.672.4395</t>
  </si>
  <si>
    <t>884 Brown St.</t>
  </si>
  <si>
    <t>INV/2025/0076</t>
  </si>
  <si>
    <t>24,92</t>
  </si>
  <si>
    <t>1Z535082081</t>
  </si>
  <si>
    <t xml:space="preserve">Jessica Williams   </t>
  </si>
  <si>
    <t>TR-2025077</t>
  </si>
  <si>
    <t>17.01.2025</t>
  </si>
  <si>
    <t xml:space="preserve">P-014 </t>
  </si>
  <si>
    <t>22 kom.</t>
  </si>
  <si>
    <t>1166.96 USD</t>
  </si>
  <si>
    <t>$25,673.12</t>
  </si>
  <si>
    <t>834490030</t>
  </si>
  <si>
    <t>sarah.company.com</t>
  </si>
  <si>
    <t>(207) 705-7898</t>
  </si>
  <si>
    <t>443 Brown Ave</t>
  </si>
  <si>
    <t>68805</t>
  </si>
  <si>
    <t>INV/2025/0077</t>
  </si>
  <si>
    <t>8.75</t>
  </si>
  <si>
    <t>DH116486037</t>
  </si>
  <si>
    <t>1.6 kg</t>
  </si>
  <si>
    <t>$770.19</t>
  </si>
  <si>
    <t>TR-2025078</t>
  </si>
  <si>
    <t>28-Apr-25</t>
  </si>
  <si>
    <t>2025-05-10</t>
  </si>
  <si>
    <t xml:space="preserve">P-012 </t>
  </si>
  <si>
    <t>Keyboard Basic 12</t>
  </si>
  <si>
    <t xml:space="preserve">   Electronics  </t>
  </si>
  <si>
    <t>31.307,44</t>
  </si>
  <si>
    <t xml:space="preserve">John Smith   </t>
  </si>
  <si>
    <t xml:space="preserve">Globex Inc.  </t>
  </si>
  <si>
    <t>EIN: 288109254</t>
  </si>
  <si>
    <t>+1 375 513 9778</t>
  </si>
  <si>
    <t>261 Anderson Ave</t>
  </si>
  <si>
    <t>59544</t>
  </si>
  <si>
    <t>INV/2025/0078</t>
  </si>
  <si>
    <t>8.67 USD</t>
  </si>
  <si>
    <t>FX525665926</t>
  </si>
  <si>
    <t>1,55</t>
  </si>
  <si>
    <t>$939.22</t>
  </si>
  <si>
    <t>SOPHIA WILSON</t>
  </si>
  <si>
    <t>TR-2025079</t>
  </si>
  <si>
    <t>07/31/2025</t>
  </si>
  <si>
    <t>20250801</t>
  </si>
  <si>
    <t xml:space="preserve">mouse x 34 </t>
  </si>
  <si>
    <t>12 kom</t>
  </si>
  <si>
    <t>276.36</t>
  </si>
  <si>
    <t xml:space="preserve">   Robert Taylor</t>
  </si>
  <si>
    <t>wayne ltd.</t>
  </si>
  <si>
    <t>EIN: 466401441</t>
  </si>
  <si>
    <t>766.504.2651</t>
  </si>
  <si>
    <t>204 Anderson Ave</t>
  </si>
  <si>
    <t>37975</t>
  </si>
  <si>
    <t>INV/2025/0079</t>
  </si>
  <si>
    <t>12,39</t>
  </si>
  <si>
    <t>DH648304435</t>
  </si>
  <si>
    <t>26,88</t>
  </si>
  <si>
    <t xml:space="preserve">  Daniel Miller</t>
  </si>
  <si>
    <t>Daniel Miller</t>
  </si>
  <si>
    <t>TR-2025080</t>
  </si>
  <si>
    <t>01/27/2025</t>
  </si>
  <si>
    <t>20250210</t>
  </si>
  <si>
    <t xml:space="preserve"> P_054</t>
  </si>
  <si>
    <t xml:space="preserve"> Office</t>
  </si>
  <si>
    <t>4 kom</t>
  </si>
  <si>
    <t>USD 801</t>
  </si>
  <si>
    <t xml:space="preserve">  Globex inc</t>
  </si>
  <si>
    <t>EIN: 452526338</t>
  </si>
  <si>
    <t>348.966.5480</t>
  </si>
  <si>
    <t>128 Miller Ave</t>
  </si>
  <si>
    <t>45997</t>
  </si>
  <si>
    <t>INV/2025/0080</t>
  </si>
  <si>
    <t>35,56</t>
  </si>
  <si>
    <t>DH696226436</t>
  </si>
  <si>
    <t>96.15 USD</t>
  </si>
  <si>
    <t xml:space="preserve">chris williams   </t>
  </si>
  <si>
    <t>Chris Williams</t>
  </si>
  <si>
    <t>TR-2025081</t>
  </si>
  <si>
    <t>20250416</t>
  </si>
  <si>
    <t>2025-04-17</t>
  </si>
  <si>
    <t>P-059</t>
  </si>
  <si>
    <t xml:space="preserve">   Furniture</t>
  </si>
  <si>
    <t>9 kom.</t>
  </si>
  <si>
    <t>USD 674</t>
  </si>
  <si>
    <t>6062.49 USD</t>
  </si>
  <si>
    <t xml:space="preserve">   Wayne Ltd.</t>
  </si>
  <si>
    <t>668157470</t>
  </si>
  <si>
    <t>209.545.8832</t>
  </si>
  <si>
    <t>849 Davis Ave</t>
  </si>
  <si>
    <t>75301</t>
  </si>
  <si>
    <t>INV/2025/0081</t>
  </si>
  <si>
    <t>USD 32</t>
  </si>
  <si>
    <t>FX722826456</t>
  </si>
  <si>
    <t>10,47</t>
  </si>
  <si>
    <t>181,87</t>
  </si>
  <si>
    <t>Daniel Wilson</t>
  </si>
  <si>
    <t>TR-2025082</t>
  </si>
  <si>
    <t>24-Jan-25</t>
  </si>
  <si>
    <t>20250129</t>
  </si>
  <si>
    <t xml:space="preserve">P-015 </t>
  </si>
  <si>
    <t>License Max 15</t>
  </si>
  <si>
    <t>545.57</t>
  </si>
  <si>
    <t xml:space="preserve">E011 </t>
  </si>
  <si>
    <t xml:space="preserve">  Michael Taylor</t>
  </si>
  <si>
    <t>ACME LTD.</t>
  </si>
  <si>
    <t>741744300</t>
  </si>
  <si>
    <t>david.yahoo.com</t>
  </si>
  <si>
    <t>803.264.8564</t>
  </si>
  <si>
    <t>751 Miller St.</t>
  </si>
  <si>
    <t>66781</t>
  </si>
  <si>
    <t>INV/2025/0082</t>
  </si>
  <si>
    <t>DH862273622</t>
  </si>
  <si>
    <t xml:space="preserve">  David Smith   </t>
  </si>
  <si>
    <t>TR-2025083</t>
  </si>
  <si>
    <t>03/21/2025</t>
  </si>
  <si>
    <t>03/30/2025</t>
  </si>
  <si>
    <t>P-007</t>
  </si>
  <si>
    <t>Headphones Max 7</t>
  </si>
  <si>
    <t xml:space="preserve">Software </t>
  </si>
  <si>
    <t>79,14</t>
  </si>
  <si>
    <t>USD 2,374</t>
  </si>
  <si>
    <t>globex ltd.</t>
  </si>
  <si>
    <t>868666386</t>
  </si>
  <si>
    <t>+1 261 641 5316</t>
  </si>
  <si>
    <t>215 Johnson St.</t>
  </si>
  <si>
    <t>15111</t>
  </si>
  <si>
    <t>INV/2025/0083</t>
  </si>
  <si>
    <t>16.20 USD</t>
  </si>
  <si>
    <t>1Z829609521</t>
  </si>
  <si>
    <t>Laura</t>
  </si>
  <si>
    <t>TR-2025084</t>
  </si>
  <si>
    <t>10/22/2025</t>
  </si>
  <si>
    <t>2025-10-28</t>
  </si>
  <si>
    <t>keyboard basic 12</t>
  </si>
  <si>
    <t>7</t>
  </si>
  <si>
    <t>Stark INC</t>
  </si>
  <si>
    <t>301779581</t>
  </si>
  <si>
    <t>ryan.gmail.com</t>
  </si>
  <si>
    <t>(552) 623-6330</t>
  </si>
  <si>
    <t>965 Brown Ave</t>
  </si>
  <si>
    <t>98548</t>
  </si>
  <si>
    <t>INV/2025/0084</t>
  </si>
  <si>
    <t>Oct</t>
  </si>
  <si>
    <t>48.70 USD</t>
  </si>
  <si>
    <t>FX117761864</t>
  </si>
  <si>
    <t xml:space="preserve"> Ryan Anderson</t>
  </si>
  <si>
    <t>Ryan Anderson</t>
  </si>
  <si>
    <t>TR-2025085</t>
  </si>
  <si>
    <t>07-May-26</t>
  </si>
  <si>
    <t>09.05.2026.</t>
  </si>
  <si>
    <t xml:space="preserve"> P_027</t>
  </si>
  <si>
    <t xml:space="preserve">Desk X 27   </t>
  </si>
  <si>
    <t>EQUIPMENT</t>
  </si>
  <si>
    <t>6</t>
  </si>
  <si>
    <t>180,06</t>
  </si>
  <si>
    <t xml:space="preserve">Initech Inc.  </t>
  </si>
  <si>
    <t>658482290</t>
  </si>
  <si>
    <t>242.546.7353</t>
  </si>
  <si>
    <t>236 Davis Blvd</t>
  </si>
  <si>
    <t>11069</t>
  </si>
  <si>
    <t>INV/2026/0085</t>
  </si>
  <si>
    <t>USD 31</t>
  </si>
  <si>
    <t>FX259516665</t>
  </si>
  <si>
    <t>Chris Johnson</t>
  </si>
  <si>
    <t>TR-2025086</t>
  </si>
  <si>
    <t>P47</t>
  </si>
  <si>
    <t xml:space="preserve"> Monitor Pro 47</t>
  </si>
  <si>
    <t xml:space="preserve">  Software</t>
  </si>
  <si>
    <t>1489,69</t>
  </si>
  <si>
    <t>11917,52</t>
  </si>
  <si>
    <t>JOHN MILLER</t>
  </si>
  <si>
    <t>EIN: 105590612</t>
  </si>
  <si>
    <t>(889) 394-7192</t>
  </si>
  <si>
    <t>908 Johnson St.</t>
  </si>
  <si>
    <t>59238</t>
  </si>
  <si>
    <t>INV/2025/0086</t>
  </si>
  <si>
    <t>19.09</t>
  </si>
  <si>
    <t>1Z274782453</t>
  </si>
  <si>
    <t>19,24</t>
  </si>
  <si>
    <t>SARAH WILLIAMS</t>
  </si>
  <si>
    <t>Sarah Williams</t>
  </si>
  <si>
    <t>TR-2025087</t>
  </si>
  <si>
    <t>10.07.2026</t>
  </si>
  <si>
    <t>P5</t>
  </si>
  <si>
    <t>cable plus 5</t>
  </si>
  <si>
    <t>2</t>
  </si>
  <si>
    <t>1241.14 USD</t>
  </si>
  <si>
    <t>2482.28 USD</t>
  </si>
  <si>
    <t xml:space="preserve">   Sophia Taylor</t>
  </si>
  <si>
    <t>stark ltd.</t>
  </si>
  <si>
    <t>EIN: 543403500</t>
  </si>
  <si>
    <t>+1 927 885 9118</t>
  </si>
  <si>
    <t>367 Taylor Street</t>
  </si>
  <si>
    <t>86659</t>
  </si>
  <si>
    <t>INV/2026/0087</t>
  </si>
  <si>
    <t>$23.90</t>
  </si>
  <si>
    <t>DH243395740</t>
  </si>
  <si>
    <t>18.8 kg</t>
  </si>
  <si>
    <t>74,47</t>
  </si>
  <si>
    <t xml:space="preserve"> DANIEL JOHNSON</t>
  </si>
  <si>
    <t>TR-2025088</t>
  </si>
  <si>
    <t>20250514</t>
  </si>
  <si>
    <t>24.05.2025.</t>
  </si>
  <si>
    <t xml:space="preserve"> Desk Basic 22</t>
  </si>
  <si>
    <t>FURNITURE</t>
  </si>
  <si>
    <t>USD 894</t>
  </si>
  <si>
    <t xml:space="preserve">E013 </t>
  </si>
  <si>
    <t>374562596</t>
  </si>
  <si>
    <t>(302) 565-9064</t>
  </si>
  <si>
    <t>935 Wilson St.</t>
  </si>
  <si>
    <t>07528</t>
  </si>
  <si>
    <t>INV/2025/0088</t>
  </si>
  <si>
    <t>25,45</t>
  </si>
  <si>
    <t>FX738455583</t>
  </si>
  <si>
    <t>777,41</t>
  </si>
  <si>
    <t>TR-2025089</t>
  </si>
  <si>
    <t>2025-08-24</t>
  </si>
  <si>
    <t>28.08.2025.</t>
  </si>
  <si>
    <t>p030</t>
  </si>
  <si>
    <t xml:space="preserve">License Pro 30  </t>
  </si>
  <si>
    <t>676.54 USD</t>
  </si>
  <si>
    <t>11501.18</t>
  </si>
  <si>
    <t>e-003</t>
  </si>
  <si>
    <t xml:space="preserve">Initech Inc.   </t>
  </si>
  <si>
    <t>234255914</t>
  </si>
  <si>
    <t>+1 535 907 2408</t>
  </si>
  <si>
    <t>54 Brown Ave</t>
  </si>
  <si>
    <t>78974</t>
  </si>
  <si>
    <t>INV/2025/0089</t>
  </si>
  <si>
    <t>0,24</t>
  </si>
  <si>
    <t>1Z110516077</t>
  </si>
  <si>
    <t xml:space="preserve">Laura Williams </t>
  </si>
  <si>
    <t>TR-2025090</t>
  </si>
  <si>
    <t>04/20/2025</t>
  </si>
  <si>
    <t>28.04.2025</t>
  </si>
  <si>
    <t>p006</t>
  </si>
  <si>
    <t xml:space="preserve">MONITOR X 6   </t>
  </si>
  <si>
    <t>1421,82</t>
  </si>
  <si>
    <t>EMP24</t>
  </si>
  <si>
    <t xml:space="preserve"> STARK LLC</t>
  </si>
  <si>
    <t>EIN: 513495468</t>
  </si>
  <si>
    <t>(459) 339-5932</t>
  </si>
  <si>
    <t>877 Jones Ave</t>
  </si>
  <si>
    <t>81877</t>
  </si>
  <si>
    <t>INV/2025/0090</t>
  </si>
  <si>
    <t>$42.92</t>
  </si>
  <si>
    <t>FX620596295</t>
  </si>
  <si>
    <t>14,12</t>
  </si>
  <si>
    <t>Emma Davis</t>
  </si>
  <si>
    <t>TR-2025091</t>
  </si>
  <si>
    <t>18.01.2026.</t>
  </si>
  <si>
    <t>19.01.2026</t>
  </si>
  <si>
    <t xml:space="preserve">Printer Basic 26 </t>
  </si>
  <si>
    <t xml:space="preserve">ELECTRONICS   </t>
  </si>
  <si>
    <t>$1,411.27</t>
  </si>
  <si>
    <t>USD 35,282</t>
  </si>
  <si>
    <t xml:space="preserve">Sarah Wilson </t>
  </si>
  <si>
    <t>908656028</t>
  </si>
  <si>
    <t>+1 345 986 2726</t>
  </si>
  <si>
    <t>959 Miller Blvd</t>
  </si>
  <si>
    <t>11652</t>
  </si>
  <si>
    <t>INV/2026/0091</t>
  </si>
  <si>
    <t>$45.93</t>
  </si>
  <si>
    <t>1Z269489121</t>
  </si>
  <si>
    <t>11.0 kg</t>
  </si>
  <si>
    <t>1.058,45</t>
  </si>
  <si>
    <t xml:space="preserve">   Olivia Johnson</t>
  </si>
  <si>
    <t>TR-2025092</t>
  </si>
  <si>
    <t>2025-08-01</t>
  </si>
  <si>
    <t>08/12/2025</t>
  </si>
  <si>
    <t xml:space="preserve">Furniture  </t>
  </si>
  <si>
    <t>38 kom</t>
  </si>
  <si>
    <t>1467,86</t>
  </si>
  <si>
    <t>Wayne LLC</t>
  </si>
  <si>
    <t>339472873</t>
  </si>
  <si>
    <t>michael.yahoo.com</t>
  </si>
  <si>
    <t>(768) 278-5366</t>
  </si>
  <si>
    <t>367 Johnson St.</t>
  </si>
  <si>
    <t>71080</t>
  </si>
  <si>
    <t>INV/2025/0092</t>
  </si>
  <si>
    <t>$5.22</t>
  </si>
  <si>
    <t>DH231156369</t>
  </si>
  <si>
    <t>USD 1,673</t>
  </si>
  <si>
    <t>Michael Johnson</t>
  </si>
  <si>
    <t>TR-2025093</t>
  </si>
  <si>
    <t>20260725</t>
  </si>
  <si>
    <t>31.07.2026.</t>
  </si>
  <si>
    <t>P-001</t>
  </si>
  <si>
    <t xml:space="preserve">desk x 1   </t>
  </si>
  <si>
    <t>37169.70 USD</t>
  </si>
  <si>
    <t>e-025</t>
  </si>
  <si>
    <t xml:space="preserve">  Chris Johnson</t>
  </si>
  <si>
    <t xml:space="preserve"> Acme INC</t>
  </si>
  <si>
    <t>882365009</t>
  </si>
  <si>
    <t>760.671.5543</t>
  </si>
  <si>
    <t>539 Wilson St.</t>
  </si>
  <si>
    <t>27980</t>
  </si>
  <si>
    <t>INV/2026/0093</t>
  </si>
  <si>
    <t>25.12</t>
  </si>
  <si>
    <t>DH549142741</t>
  </si>
  <si>
    <t>$1,115.09</t>
  </si>
  <si>
    <t>Emily Wilson</t>
  </si>
  <si>
    <t>TR-2025094</t>
  </si>
  <si>
    <t>07/01/2026</t>
  </si>
  <si>
    <t>05-Jul-26</t>
  </si>
  <si>
    <t>1.184,70</t>
  </si>
  <si>
    <t>573435895</t>
  </si>
  <si>
    <t>582.518.7095</t>
  </si>
  <si>
    <t>259 Smith St.</t>
  </si>
  <si>
    <t>17853</t>
  </si>
  <si>
    <t>INV/2026/0094</t>
  </si>
  <si>
    <t>1Z816871284</t>
  </si>
  <si>
    <t>8.3 kg</t>
  </si>
  <si>
    <t xml:space="preserve">Ryan Wilson  </t>
  </si>
  <si>
    <t>TR-2025095</t>
  </si>
  <si>
    <t>09.11.2025</t>
  </si>
  <si>
    <t>18.11.2025</t>
  </si>
  <si>
    <t xml:space="preserve">  Keyboard Basic 12</t>
  </si>
  <si>
    <t>823.88</t>
  </si>
  <si>
    <t>3295.52 USD</t>
  </si>
  <si>
    <t>E017</t>
  </si>
  <si>
    <t xml:space="preserve"> Robert Davis </t>
  </si>
  <si>
    <t xml:space="preserve">Wayne INC   </t>
  </si>
  <si>
    <t>EIN: 701890456</t>
  </si>
  <si>
    <t>(619) 700-1688</t>
  </si>
  <si>
    <t>601 Anderson Blvd</t>
  </si>
  <si>
    <t>INV/2025/0095</t>
  </si>
  <si>
    <t>Nov</t>
  </si>
  <si>
    <t>18,46</t>
  </si>
  <si>
    <t>DH355893499</t>
  </si>
  <si>
    <t>Sarah Brown</t>
  </si>
  <si>
    <t>TR-2025096</t>
  </si>
  <si>
    <t>10.04.2025</t>
  </si>
  <si>
    <t>04/13/2025</t>
  </si>
  <si>
    <t xml:space="preserve">Keyboard X 16  </t>
  </si>
  <si>
    <t>127.37 USD</t>
  </si>
  <si>
    <t>EMP15</t>
  </si>
  <si>
    <t xml:space="preserve">   SARAH JONES</t>
  </si>
  <si>
    <t xml:space="preserve">Stark INC </t>
  </si>
  <si>
    <t>603922890</t>
  </si>
  <si>
    <t>+1 624 509 9155</t>
  </si>
  <si>
    <t>229 Wilson Blvd</t>
  </si>
  <si>
    <t>93562</t>
  </si>
  <si>
    <t>INV/2025/0096</t>
  </si>
  <si>
    <t>46.29</t>
  </si>
  <si>
    <t>DH391645507</t>
  </si>
  <si>
    <t>TR-2025097</t>
  </si>
  <si>
    <t>26-Feb-26</t>
  </si>
  <si>
    <t>02/27/2026</t>
  </si>
  <si>
    <t>acme ltd.</t>
  </si>
  <si>
    <t>EIN: 471604999</t>
  </si>
  <si>
    <t>(998) 723-2186</t>
  </si>
  <si>
    <t>175 Brown Ave</t>
  </si>
  <si>
    <t>17173</t>
  </si>
  <si>
    <t>INV/2026/0097</t>
  </si>
  <si>
    <t>FX736208645</t>
  </si>
  <si>
    <t>17.6 kg</t>
  </si>
  <si>
    <t>4.15</t>
  </si>
  <si>
    <t xml:space="preserve">Emma Williams   </t>
  </si>
  <si>
    <t>TR-2025098</t>
  </si>
  <si>
    <t>09/23/2025</t>
  </si>
  <si>
    <t>05.10.2025</t>
  </si>
  <si>
    <t>P59</t>
  </si>
  <si>
    <t>keyboard max 59</t>
  </si>
  <si>
    <t>14 kom</t>
  </si>
  <si>
    <t>673,61</t>
  </si>
  <si>
    <t>962545496</t>
  </si>
  <si>
    <t>michael.company.com</t>
  </si>
  <si>
    <t>(609) 832-9172</t>
  </si>
  <si>
    <t>867 Miller Ave</t>
  </si>
  <si>
    <t>91250</t>
  </si>
  <si>
    <t>INV/2025/0098</t>
  </si>
  <si>
    <t>USD 14</t>
  </si>
  <si>
    <t>FX957726582</t>
  </si>
  <si>
    <t>3,92</t>
  </si>
  <si>
    <t xml:space="preserve"> Michael Brown</t>
  </si>
  <si>
    <t>TR-2025099</t>
  </si>
  <si>
    <t>20250319</t>
  </si>
  <si>
    <t>04/02/2025</t>
  </si>
  <si>
    <t>P54</t>
  </si>
  <si>
    <t xml:space="preserve">Mouse Basic 54 </t>
  </si>
  <si>
    <t>$2,403.69</t>
  </si>
  <si>
    <t>915333452</t>
  </si>
  <si>
    <t>942.995.6838</t>
  </si>
  <si>
    <t>789 Johnson Street</t>
  </si>
  <si>
    <t>63703</t>
  </si>
  <si>
    <t>INV/2025/0099</t>
  </si>
  <si>
    <t>31,82</t>
  </si>
  <si>
    <t>1Z856355202</t>
  </si>
  <si>
    <t>27.1 kg</t>
  </si>
  <si>
    <t>$72.11</t>
  </si>
  <si>
    <t>TR-2025100</t>
  </si>
  <si>
    <t>2025-04-16</t>
  </si>
  <si>
    <t>27.04.2025.</t>
  </si>
  <si>
    <t xml:space="preserve">P-009 </t>
  </si>
  <si>
    <t>39 kom.</t>
  </si>
  <si>
    <t>813,33</t>
  </si>
  <si>
    <t>USD 31,720</t>
  </si>
  <si>
    <t>SOPHIA JOHNSON</t>
  </si>
  <si>
    <t>Vortex LLC</t>
  </si>
  <si>
    <t>398197311</t>
  </si>
  <si>
    <t>+1 414 741 9327</t>
  </si>
  <si>
    <t>927 Taylor Blvd</t>
  </si>
  <si>
    <t>01909</t>
  </si>
  <si>
    <t>INV/2025/0100</t>
  </si>
  <si>
    <t>23,19</t>
  </si>
  <si>
    <t>DH851599432</t>
  </si>
  <si>
    <t>9.6 kg</t>
  </si>
  <si>
    <t>USD 952</t>
  </si>
  <si>
    <t>TR-2025101</t>
  </si>
  <si>
    <t>06/30/2025</t>
  </si>
  <si>
    <t>20250703</t>
  </si>
  <si>
    <t>p050</t>
  </si>
  <si>
    <t xml:space="preserve">License X 50  </t>
  </si>
  <si>
    <t>9 kom</t>
  </si>
  <si>
    <t>$39.53</t>
  </si>
  <si>
    <t>JOHN SMITH</t>
  </si>
  <si>
    <t xml:space="preserve">   Globex inc </t>
  </si>
  <si>
    <t>359058731</t>
  </si>
  <si>
    <t>356.268.3612</t>
  </si>
  <si>
    <t>144 Johnson Blvd</t>
  </si>
  <si>
    <t>82465</t>
  </si>
  <si>
    <t>INV/2025/0101</t>
  </si>
  <si>
    <t>DH222726685</t>
  </si>
  <si>
    <t>21.8 kg</t>
  </si>
  <si>
    <t xml:space="preserve">   John Smith</t>
  </si>
  <si>
    <t>TR-2025102</t>
  </si>
  <si>
    <t>13-Jun-26</t>
  </si>
  <si>
    <t>06/17/2026</t>
  </si>
  <si>
    <t>desk basic 60</t>
  </si>
  <si>
    <t>10.706,88</t>
  </si>
  <si>
    <t>Stark LLC</t>
  </si>
  <si>
    <t>243787855</t>
  </si>
  <si>
    <t>698.986.5985</t>
  </si>
  <si>
    <t>411 Johnson Ave</t>
  </si>
  <si>
    <t>INV/2026/0102</t>
  </si>
  <si>
    <t>26.34 USD</t>
  </si>
  <si>
    <t>FX253380862</t>
  </si>
  <si>
    <t>28.1 kg</t>
  </si>
  <si>
    <t>JOHN BROWN</t>
  </si>
  <si>
    <t>TR-2025103</t>
  </si>
  <si>
    <t>16-Jul-25</t>
  </si>
  <si>
    <t>07/28/2025</t>
  </si>
  <si>
    <t>P-034</t>
  </si>
  <si>
    <t xml:space="preserve">   Mouse X 34</t>
  </si>
  <si>
    <t xml:space="preserve">   Office</t>
  </si>
  <si>
    <t>13 kom</t>
  </si>
  <si>
    <t>112539996</t>
  </si>
  <si>
    <t>379.516.6768</t>
  </si>
  <si>
    <t>122 Smith Street</t>
  </si>
  <si>
    <t>14054</t>
  </si>
  <si>
    <t>INV/2025/0103</t>
  </si>
  <si>
    <t>26,16</t>
  </si>
  <si>
    <t>1Z709734857</t>
  </si>
  <si>
    <t>TR-2025105</t>
  </si>
  <si>
    <t>20.11.2025</t>
  </si>
  <si>
    <t>20251125</t>
  </si>
  <si>
    <t>cable basic 51</t>
  </si>
  <si>
    <t>1.036,65</t>
  </si>
  <si>
    <t>40429,35</t>
  </si>
  <si>
    <t xml:space="preserve">  Acme INC</t>
  </si>
  <si>
    <t>EIN: 774515756</t>
  </si>
  <si>
    <t>(992) 402-9677</t>
  </si>
  <si>
    <t>633 Williams Blvd</t>
  </si>
  <si>
    <t>04165</t>
  </si>
  <si>
    <t>INV/2025/0105</t>
  </si>
  <si>
    <t>November</t>
  </si>
  <si>
    <t>37,29</t>
  </si>
  <si>
    <t>1Z707749035</t>
  </si>
  <si>
    <t>3,83</t>
  </si>
  <si>
    <t>$1,212.88</t>
  </si>
  <si>
    <t>Ryan Miller</t>
  </si>
  <si>
    <t>TR-2025106</t>
  </si>
  <si>
    <t>08/09/2025</t>
  </si>
  <si>
    <t>17.08.2025</t>
  </si>
  <si>
    <t>P50</t>
  </si>
  <si>
    <t>License X 50</t>
  </si>
  <si>
    <t>39.53</t>
  </si>
  <si>
    <t xml:space="preserve">Laura Anderson </t>
  </si>
  <si>
    <t xml:space="preserve">   Vortex INC</t>
  </si>
  <si>
    <t>EIN: 138836598</t>
  </si>
  <si>
    <t>(271) 609-9326</t>
  </si>
  <si>
    <t>158 Johnson Ave</t>
  </si>
  <si>
    <t>36124</t>
  </si>
  <si>
    <t>INV/2025/0106</t>
  </si>
  <si>
    <t>FX275499759</t>
  </si>
  <si>
    <t>14.6 kg</t>
  </si>
  <si>
    <t>1.19</t>
  </si>
  <si>
    <t xml:space="preserve">  Michael Jones</t>
  </si>
  <si>
    <t>TR-2025107</t>
  </si>
  <si>
    <t>20260416</t>
  </si>
  <si>
    <t>2026-04-19</t>
  </si>
  <si>
    <t>p014</t>
  </si>
  <si>
    <t xml:space="preserve">Software   </t>
  </si>
  <si>
    <t xml:space="preserve">E019 </t>
  </si>
  <si>
    <t>wayne inc</t>
  </si>
  <si>
    <t>EIN: 415149085</t>
  </si>
  <si>
    <t>+1 272 791 1744</t>
  </si>
  <si>
    <t>133 Miller St.</t>
  </si>
  <si>
    <t>50591</t>
  </si>
  <si>
    <t>INV/2026/0107</t>
  </si>
  <si>
    <t>USD 7</t>
  </si>
  <si>
    <t>DH859838693</t>
  </si>
  <si>
    <t>12,67</t>
  </si>
  <si>
    <t xml:space="preserve">Emily Brown  </t>
  </si>
  <si>
    <t>TR-2025108</t>
  </si>
  <si>
    <t>2025-04-06</t>
  </si>
  <si>
    <t>19-Apr-25</t>
  </si>
  <si>
    <t>p001</t>
  </si>
  <si>
    <t>desk x 1</t>
  </si>
  <si>
    <t xml:space="preserve">  Software </t>
  </si>
  <si>
    <t>40 kom.</t>
  </si>
  <si>
    <t>39126.00 USD</t>
  </si>
  <si>
    <t>olivia anderson</t>
  </si>
  <si>
    <t xml:space="preserve">Stark inc  </t>
  </si>
  <si>
    <t>949139698</t>
  </si>
  <si>
    <t>+1 359 781 8827</t>
  </si>
  <si>
    <t>507 Miller Blvd</t>
  </si>
  <si>
    <t>75675</t>
  </si>
  <si>
    <t>INV/2025/0108</t>
  </si>
  <si>
    <t>$19.06</t>
  </si>
  <si>
    <t>DH136250507</t>
  </si>
  <si>
    <t>15,59</t>
  </si>
  <si>
    <t xml:space="preserve">David Miller  </t>
  </si>
  <si>
    <t>TR-2025109</t>
  </si>
  <si>
    <t>2026-04-14</t>
  </si>
  <si>
    <t>27.04.2026</t>
  </si>
  <si>
    <t>Chair Plus 24</t>
  </si>
  <si>
    <t>$95.70</t>
  </si>
  <si>
    <t>3062.40</t>
  </si>
  <si>
    <t>Chris Anderson</t>
  </si>
  <si>
    <t>265129008</t>
  </si>
  <si>
    <t>+1 857 768 5908</t>
  </si>
  <si>
    <t>807 Brown Ave</t>
  </si>
  <si>
    <t>17297</t>
  </si>
  <si>
    <t>INV/2026/0109</t>
  </si>
  <si>
    <t>36,04</t>
  </si>
  <si>
    <t>DH304117202</t>
  </si>
  <si>
    <t>USD 92</t>
  </si>
  <si>
    <t>Daniel Brown</t>
  </si>
  <si>
    <t>TR-2025110</t>
  </si>
  <si>
    <t>06/13/2025</t>
  </si>
  <si>
    <t>06/17/2025</t>
  </si>
  <si>
    <t>EIN: 908734973</t>
  </si>
  <si>
    <t>chris.company.com</t>
  </si>
  <si>
    <t>+1 607 508 7648</t>
  </si>
  <si>
    <t>353 Miller Blvd</t>
  </si>
  <si>
    <t>53690</t>
  </si>
  <si>
    <t>INV/2025/0110</t>
  </si>
  <si>
    <t>FX347580114</t>
  </si>
  <si>
    <t>27.9 kg</t>
  </si>
  <si>
    <t>614.07 USD</t>
  </si>
  <si>
    <t>chris williams</t>
  </si>
  <si>
    <t>TR-2025111</t>
  </si>
  <si>
    <t>06/11/2026</t>
  </si>
  <si>
    <t xml:space="preserve">P-004 </t>
  </si>
  <si>
    <t>Printer Plus 4</t>
  </si>
  <si>
    <t>32 kom.</t>
  </si>
  <si>
    <t>USD 365</t>
  </si>
  <si>
    <t>11673.28 USD</t>
  </si>
  <si>
    <t>E007</t>
  </si>
  <si>
    <t>Emma Johnson</t>
  </si>
  <si>
    <t>117248121</t>
  </si>
  <si>
    <t>277.541.3683</t>
  </si>
  <si>
    <t>652 Davis St.</t>
  </si>
  <si>
    <t>04709</t>
  </si>
  <si>
    <t>INV/2026/0111</t>
  </si>
  <si>
    <t>USD 8</t>
  </si>
  <si>
    <t>1Z223822531</t>
  </si>
  <si>
    <t>$350.20</t>
  </si>
  <si>
    <t>Emma Jones</t>
  </si>
  <si>
    <t>Emma</t>
  </si>
  <si>
    <t>TR-2025112</t>
  </si>
  <si>
    <t>2025-02-02</t>
  </si>
  <si>
    <t>CHAIR MAX 17</t>
  </si>
  <si>
    <t>EMP4</t>
  </si>
  <si>
    <t xml:space="preserve">   Globex inc</t>
  </si>
  <si>
    <t>288439142</t>
  </si>
  <si>
    <t>(757) 308-6155</t>
  </si>
  <si>
    <t>187 Davis Ave</t>
  </si>
  <si>
    <t>80085</t>
  </si>
  <si>
    <t>INV/2025/0112</t>
  </si>
  <si>
    <t>15.73 USD</t>
  </si>
  <si>
    <t>DH399518188</t>
  </si>
  <si>
    <t>551,60</t>
  </si>
  <si>
    <t xml:space="preserve">  Robert Williams   </t>
  </si>
  <si>
    <t>TR-2025113</t>
  </si>
  <si>
    <t>20260213</t>
  </si>
  <si>
    <t>23.02.2026</t>
  </si>
  <si>
    <t>P-025</t>
  </si>
  <si>
    <t>Chair Max 25</t>
  </si>
  <si>
    <t xml:space="preserve"> Software</t>
  </si>
  <si>
    <t>5 kom</t>
  </si>
  <si>
    <t>USD 430</t>
  </si>
  <si>
    <t>USD 2,152</t>
  </si>
  <si>
    <t>EMP1</t>
  </si>
  <si>
    <t xml:space="preserve"> Sarah Wilson  </t>
  </si>
  <si>
    <t xml:space="preserve">Stark Inc.  </t>
  </si>
  <si>
    <t>882485433</t>
  </si>
  <si>
    <t>834.688.7493</t>
  </si>
  <si>
    <t>697 Brown Ave</t>
  </si>
  <si>
    <t>52046</t>
  </si>
  <si>
    <t>INV/2026/0113</t>
  </si>
  <si>
    <t>2.62</t>
  </si>
  <si>
    <t>FX311557876</t>
  </si>
  <si>
    <t>4.3 kg</t>
  </si>
  <si>
    <t xml:space="preserve">LAURA TAYLOR </t>
  </si>
  <si>
    <t>TR-2025114</t>
  </si>
  <si>
    <t>06/04/2026</t>
  </si>
  <si>
    <t>20260611</t>
  </si>
  <si>
    <t>P12</t>
  </si>
  <si>
    <t>20 kom</t>
  </si>
  <si>
    <t>16477,60</t>
  </si>
  <si>
    <t xml:space="preserve">   Initech Inc.</t>
  </si>
  <si>
    <t>362515695</t>
  </si>
  <si>
    <t>465.669.6402</t>
  </si>
  <si>
    <t>269 Davis St.</t>
  </si>
  <si>
    <t>24897</t>
  </si>
  <si>
    <t>INV/2026/0114</t>
  </si>
  <si>
    <t>23.68</t>
  </si>
  <si>
    <t>FX245506263</t>
  </si>
  <si>
    <t>4.5 kg</t>
  </si>
  <si>
    <t>$494.33</t>
  </si>
  <si>
    <t>TR-2025115</t>
  </si>
  <si>
    <t>11-Jan-25</t>
  </si>
  <si>
    <t>20250113</t>
  </si>
  <si>
    <t xml:space="preserve"> P_043</t>
  </si>
  <si>
    <t xml:space="preserve">  HEADPHONES X 43 </t>
  </si>
  <si>
    <t xml:space="preserve">  equipment </t>
  </si>
  <si>
    <t>25 kom</t>
  </si>
  <si>
    <t xml:space="preserve">   Sophia Johnson</t>
  </si>
  <si>
    <t xml:space="preserve">wayne llc </t>
  </si>
  <si>
    <t>474714407</t>
  </si>
  <si>
    <t>+1 573 322 3995</t>
  </si>
  <si>
    <t>929 Brown Street</t>
  </si>
  <si>
    <t>73610</t>
  </si>
  <si>
    <t>INV/2025/0115</t>
  </si>
  <si>
    <t>$19.47</t>
  </si>
  <si>
    <t>DH355858499</t>
  </si>
  <si>
    <t>10,36</t>
  </si>
  <si>
    <t>olivia davis</t>
  </si>
  <si>
    <t>TR-2025116</t>
  </si>
  <si>
    <t>08-Mar-25</t>
  </si>
  <si>
    <t>22.03.2025</t>
  </si>
  <si>
    <t>P-027</t>
  </si>
  <si>
    <t>Desk X 27</t>
  </si>
  <si>
    <t xml:space="preserve">Equipment  </t>
  </si>
  <si>
    <t>12 kom.</t>
  </si>
  <si>
    <t>2160.72</t>
  </si>
  <si>
    <t>UMBRELLA LLC</t>
  </si>
  <si>
    <t>111001296</t>
  </si>
  <si>
    <t>+1 787 295 5219</t>
  </si>
  <si>
    <t>385 Johnson Blvd</t>
  </si>
  <si>
    <t>35995</t>
  </si>
  <si>
    <t>INV/2025/0116</t>
  </si>
  <si>
    <t>20.86 USD</t>
  </si>
  <si>
    <t>DH470318492</t>
  </si>
  <si>
    <t>16.6 kg</t>
  </si>
  <si>
    <t>$64.82</t>
  </si>
  <si>
    <t>David Wilson</t>
  </si>
  <si>
    <t>TR-2025117</t>
  </si>
  <si>
    <t>11.01.2026.</t>
  </si>
  <si>
    <t>20260113</t>
  </si>
  <si>
    <t>p029</t>
  </si>
  <si>
    <t>11 kom</t>
  </si>
  <si>
    <t>$1,375.64</t>
  </si>
  <si>
    <t>EIN: 778813577</t>
  </si>
  <si>
    <t>+1 456 642 6802</t>
  </si>
  <si>
    <t>3 Johnson St.</t>
  </si>
  <si>
    <t>02713</t>
  </si>
  <si>
    <t>INV/2026/0117</t>
  </si>
  <si>
    <t>DH338693718</t>
  </si>
  <si>
    <t>9.0 kg</t>
  </si>
  <si>
    <t>TR-2025119</t>
  </si>
  <si>
    <t>02.08.2025.</t>
  </si>
  <si>
    <t>p028</t>
  </si>
  <si>
    <t>Laptop X 28</t>
  </si>
  <si>
    <t>27</t>
  </si>
  <si>
    <t>EMP7</t>
  </si>
  <si>
    <t xml:space="preserve">   Emma Johnson</t>
  </si>
  <si>
    <t xml:space="preserve">   initech inc</t>
  </si>
  <si>
    <t>576274096</t>
  </si>
  <si>
    <t>+1 752 235 6486</t>
  </si>
  <si>
    <t>342 Taylor Blvd</t>
  </si>
  <si>
    <t>96249</t>
  </si>
  <si>
    <t>INV/2025/0119</t>
  </si>
  <si>
    <t>9.96</t>
  </si>
  <si>
    <t>DH869913412</t>
  </si>
  <si>
    <t>22.0 kg</t>
  </si>
  <si>
    <t>Sophia Brown</t>
  </si>
  <si>
    <t>TR-2025184</t>
  </si>
  <si>
    <t>22-Jan-26</t>
  </si>
  <si>
    <t>20260127</t>
  </si>
  <si>
    <t>P60</t>
  </si>
  <si>
    <t xml:space="preserve">  desk basic 60 </t>
  </si>
  <si>
    <t xml:space="preserve"> Electronics  </t>
  </si>
  <si>
    <t>6 kom.</t>
  </si>
  <si>
    <t>USD 335</t>
  </si>
  <si>
    <t xml:space="preserve">E006 </t>
  </si>
  <si>
    <t>563976881</t>
  </si>
  <si>
    <t>(449) 922-7592</t>
  </si>
  <si>
    <t>296 Wilson Blvd</t>
  </si>
  <si>
    <t>35682</t>
  </si>
  <si>
    <t>INV/2026/0184</t>
  </si>
  <si>
    <t>5,97</t>
  </si>
  <si>
    <t>DH585037168</t>
  </si>
  <si>
    <t>23,16</t>
  </si>
  <si>
    <t>$60.23</t>
  </si>
  <si>
    <t>EMMA MILLER</t>
  </si>
  <si>
    <t>TR-2025120</t>
  </si>
  <si>
    <t>p015</t>
  </si>
  <si>
    <t xml:space="preserve">   License Max 15</t>
  </si>
  <si>
    <t>$545.57</t>
  </si>
  <si>
    <t>20.186,09</t>
  </si>
  <si>
    <t xml:space="preserve">  Stark Inc.</t>
  </si>
  <si>
    <t>794990289</t>
  </si>
  <si>
    <t>419.436.4450</t>
  </si>
  <si>
    <t>884 Davis Street</t>
  </si>
  <si>
    <t>91815</t>
  </si>
  <si>
    <t>INV/2026/0120</t>
  </si>
  <si>
    <t>24,48</t>
  </si>
  <si>
    <t>DH851545932</t>
  </si>
  <si>
    <t>12,3</t>
  </si>
  <si>
    <t>605.58 USD</t>
  </si>
  <si>
    <t>Daniel Taylor</t>
  </si>
  <si>
    <t>TR-2025121</t>
  </si>
  <si>
    <t>14.03.2025</t>
  </si>
  <si>
    <t>2025-03-18</t>
  </si>
  <si>
    <t>P-015</t>
  </si>
  <si>
    <t>18</t>
  </si>
  <si>
    <t>545.57 USD</t>
  </si>
  <si>
    <t xml:space="preserve"> Globex INC</t>
  </si>
  <si>
    <t>EIN: 268745410</t>
  </si>
  <si>
    <t>+1 540 296 3776</t>
  </si>
  <si>
    <t>285 Smith St.</t>
  </si>
  <si>
    <t>56419</t>
  </si>
  <si>
    <t>INV/2025/0121</t>
  </si>
  <si>
    <t>8.64 USD</t>
  </si>
  <si>
    <t>FX945651490</t>
  </si>
  <si>
    <t>294.61</t>
  </si>
  <si>
    <t xml:space="preserve">  Sophia Davis</t>
  </si>
  <si>
    <t>Sophia Davis</t>
  </si>
  <si>
    <t>TR-2025122</t>
  </si>
  <si>
    <t>20250407</t>
  </si>
  <si>
    <t>16-Apr-25</t>
  </si>
  <si>
    <t>P-044</t>
  </si>
  <si>
    <t>desk max 44</t>
  </si>
  <si>
    <t>110,12</t>
  </si>
  <si>
    <t>330,36</t>
  </si>
  <si>
    <t xml:space="preserve">E020 </t>
  </si>
  <si>
    <t>EIN: 127108113</t>
  </si>
  <si>
    <t>+1 339 524 9535</t>
  </si>
  <si>
    <t>58 Davis St.</t>
  </si>
  <si>
    <t>33309</t>
  </si>
  <si>
    <t>INV/2025/0122</t>
  </si>
  <si>
    <t>FX626878432</t>
  </si>
  <si>
    <t>5,86</t>
  </si>
  <si>
    <t>9.91</t>
  </si>
  <si>
    <t xml:space="preserve">  EMILY DAVIS</t>
  </si>
  <si>
    <t>TR-2025123</t>
  </si>
  <si>
    <t>02.05.2026</t>
  </si>
  <si>
    <t>20260512</t>
  </si>
  <si>
    <t>P-041</t>
  </si>
  <si>
    <t xml:space="preserve">Monitor X 41   </t>
  </si>
  <si>
    <t>software</t>
  </si>
  <si>
    <t>USD 248</t>
  </si>
  <si>
    <t>$1,238.20</t>
  </si>
  <si>
    <t>EIN: 989203659</t>
  </si>
  <si>
    <t>+1 733 576 5785</t>
  </si>
  <si>
    <t>725 Johnson Ave</t>
  </si>
  <si>
    <t>24973</t>
  </si>
  <si>
    <t>INV/2026/0123</t>
  </si>
  <si>
    <t>DH116154973</t>
  </si>
  <si>
    <t>USD 37</t>
  </si>
  <si>
    <t>DAVID WILSON</t>
  </si>
  <si>
    <t>TR-2025124</t>
  </si>
  <si>
    <t>02/02/2026</t>
  </si>
  <si>
    <t>08.02.2026.</t>
  </si>
  <si>
    <t>Desk Basic 22</t>
  </si>
  <si>
    <t>$893.58</t>
  </si>
  <si>
    <t>sarah wilson</t>
  </si>
  <si>
    <t xml:space="preserve">Globex Ltd.  </t>
  </si>
  <si>
    <t>EIN: 808835586</t>
  </si>
  <si>
    <t>(418) 335-2462</t>
  </si>
  <si>
    <t>587 Johnson St.</t>
  </si>
  <si>
    <t>66876</t>
  </si>
  <si>
    <t>INV/2026/0124</t>
  </si>
  <si>
    <t>FX814899680</t>
  </si>
  <si>
    <t>187,65</t>
  </si>
  <si>
    <t xml:space="preserve">Chris Taylor </t>
  </si>
  <si>
    <t>Chris Taylor</t>
  </si>
  <si>
    <t>TR-2025125</t>
  </si>
  <si>
    <t>28.02.2026.</t>
  </si>
  <si>
    <t>10.03.2026</t>
  </si>
  <si>
    <t xml:space="preserve"> P_018</t>
  </si>
  <si>
    <t xml:space="preserve">  License Basic 18   </t>
  </si>
  <si>
    <t xml:space="preserve">Acme INC  </t>
  </si>
  <si>
    <t>EIN: 291755379</t>
  </si>
  <si>
    <t>(329) 462-8873</t>
  </si>
  <si>
    <t>59 Smith St.</t>
  </si>
  <si>
    <t>INV/2026/0125</t>
  </si>
  <si>
    <t>16,92</t>
  </si>
  <si>
    <t>FX459470160</t>
  </si>
  <si>
    <t>USD 1,588</t>
  </si>
  <si>
    <t xml:space="preserve">  Emily Williams</t>
  </si>
  <si>
    <t>TR-2025126</t>
  </si>
  <si>
    <t>18.06.2025.</t>
  </si>
  <si>
    <t>20250629</t>
  </si>
  <si>
    <t xml:space="preserve"> P_002</t>
  </si>
  <si>
    <t xml:space="preserve">Monitor Max 2  </t>
  </si>
  <si>
    <t>USD 13,793</t>
  </si>
  <si>
    <t>Acme INC</t>
  </si>
  <si>
    <t>EIN: 700169015</t>
  </si>
  <si>
    <t>+1 490 722 6890</t>
  </si>
  <si>
    <t>795 Brown Street</t>
  </si>
  <si>
    <t>14994</t>
  </si>
  <si>
    <t>INV/2025/0126</t>
  </si>
  <si>
    <t>$18.18</t>
  </si>
  <si>
    <t>FX359404144</t>
  </si>
  <si>
    <t>413,78</t>
  </si>
  <si>
    <t>David Williams</t>
  </si>
  <si>
    <t>TR-2025127</t>
  </si>
  <si>
    <t>08.08.2026</t>
  </si>
  <si>
    <t>20-Aug-26</t>
  </si>
  <si>
    <t xml:space="preserve">P-029 </t>
  </si>
  <si>
    <t xml:space="preserve">  Keyboard Plus 29</t>
  </si>
  <si>
    <t>1375.64 USD</t>
  </si>
  <si>
    <t xml:space="preserve">   Globex Inc.</t>
  </si>
  <si>
    <t>EIN: 421388142</t>
  </si>
  <si>
    <t>289.493.9687</t>
  </si>
  <si>
    <t>409 Davis St.</t>
  </si>
  <si>
    <t>01245</t>
  </si>
  <si>
    <t>INV/2026/0127</t>
  </si>
  <si>
    <t>FX739895789</t>
  </si>
  <si>
    <t>26,31</t>
  </si>
  <si>
    <t>RYAN MILLER</t>
  </si>
  <si>
    <t>TR-2025128</t>
  </si>
  <si>
    <t>04-Mar-26</t>
  </si>
  <si>
    <t>03/08/2026</t>
  </si>
  <si>
    <t>P56</t>
  </si>
  <si>
    <t>keyboard x 56</t>
  </si>
  <si>
    <t>26 kom</t>
  </si>
  <si>
    <t>USD 1,111</t>
  </si>
  <si>
    <t>28.888,86</t>
  </si>
  <si>
    <t>EIN: 452437055</t>
  </si>
  <si>
    <t>650.574.7949</t>
  </si>
  <si>
    <t>679 Taylor Ave</t>
  </si>
  <si>
    <t>88717</t>
  </si>
  <si>
    <t>INV/2026/0128</t>
  </si>
  <si>
    <t>FX612190875</t>
  </si>
  <si>
    <t>TR-2025129</t>
  </si>
  <si>
    <t>07/04/2026</t>
  </si>
  <si>
    <t>07/06/2026</t>
  </si>
  <si>
    <t>Desk X 1</t>
  </si>
  <si>
    <t>35</t>
  </si>
  <si>
    <t>978,15</t>
  </si>
  <si>
    <t>34235.25</t>
  </si>
  <si>
    <t>e-005</t>
  </si>
  <si>
    <t>EIN: 659216403</t>
  </si>
  <si>
    <t>(357) 857-1511</t>
  </si>
  <si>
    <t>360 Miller Ave</t>
  </si>
  <si>
    <t>INV/2026/0129</t>
  </si>
  <si>
    <t>$0.92</t>
  </si>
  <si>
    <t>1Z410538077</t>
  </si>
  <si>
    <t>18.2 kg</t>
  </si>
  <si>
    <t>1.027,06</t>
  </si>
  <si>
    <t>TR-2025130</t>
  </si>
  <si>
    <t>10/20/2025</t>
  </si>
  <si>
    <t>2025-10-26</t>
  </si>
  <si>
    <t>USD 4,840</t>
  </si>
  <si>
    <t>EMP3</t>
  </si>
  <si>
    <t xml:space="preserve">  Initech Ltd.</t>
  </si>
  <si>
    <t>EIN: 185339452</t>
  </si>
  <si>
    <t>(868) 204-2607</t>
  </si>
  <si>
    <t>610 Brown Ave</t>
  </si>
  <si>
    <t>57843</t>
  </si>
  <si>
    <t>INV/2025/0130</t>
  </si>
  <si>
    <t>October</t>
  </si>
  <si>
    <t>2.81</t>
  </si>
  <si>
    <t>1Z386729871</t>
  </si>
  <si>
    <t>3,82</t>
  </si>
  <si>
    <t>USD 145</t>
  </si>
  <si>
    <t xml:space="preserve">David Jones  </t>
  </si>
  <si>
    <t>TR-2025131</t>
  </si>
  <si>
    <t>01/18/2026</t>
  </si>
  <si>
    <t>20.01.2026</t>
  </si>
  <si>
    <t xml:space="preserve">   MONITOR PRO 47</t>
  </si>
  <si>
    <t>1.489,69</t>
  </si>
  <si>
    <t xml:space="preserve">sophia brown   </t>
  </si>
  <si>
    <t xml:space="preserve">Globex inc   </t>
  </si>
  <si>
    <t>922824366</t>
  </si>
  <si>
    <t>(798) 338-9189</t>
  </si>
  <si>
    <t>281 Williams St.</t>
  </si>
  <si>
    <t>39346</t>
  </si>
  <si>
    <t>INV/2026/0131</t>
  </si>
  <si>
    <t>USD 17</t>
  </si>
  <si>
    <t>FX992776943</t>
  </si>
  <si>
    <t>TR-2025132</t>
  </si>
  <si>
    <t>01/01/2025</t>
  </si>
  <si>
    <t>13.01.2025.</t>
  </si>
  <si>
    <t>P17</t>
  </si>
  <si>
    <t xml:space="preserve">Chair Max 17 </t>
  </si>
  <si>
    <t>40</t>
  </si>
  <si>
    <t>USD 52,533</t>
  </si>
  <si>
    <t xml:space="preserve">E025 </t>
  </si>
  <si>
    <t xml:space="preserve"> CHRIS JOHNSON</t>
  </si>
  <si>
    <t xml:space="preserve">Globex LLC </t>
  </si>
  <si>
    <t>EIN: 275732917</t>
  </si>
  <si>
    <t>+1 902 964 2275</t>
  </si>
  <si>
    <t>330 Williams Blvd</t>
  </si>
  <si>
    <t>69417</t>
  </si>
  <si>
    <t>INV/2025/0132</t>
  </si>
  <si>
    <t>1Z313017791</t>
  </si>
  <si>
    <t>17,46</t>
  </si>
  <si>
    <t>$1,576.00</t>
  </si>
  <si>
    <t xml:space="preserve">Michael Miller </t>
  </si>
  <si>
    <t>Michael Miller</t>
  </si>
  <si>
    <t>TR-2025133</t>
  </si>
  <si>
    <t>19.01.2025</t>
  </si>
  <si>
    <t>20.01.2025</t>
  </si>
  <si>
    <t xml:space="preserve">P-058 </t>
  </si>
  <si>
    <t xml:space="preserve">LAPTOP PRO 58  </t>
  </si>
  <si>
    <t xml:space="preserve"> FURNITURE</t>
  </si>
  <si>
    <t>USD 711</t>
  </si>
  <si>
    <t>USD 28,440</t>
  </si>
  <si>
    <t xml:space="preserve">  Sarah Wilson </t>
  </si>
  <si>
    <t>657803133</t>
  </si>
  <si>
    <t>+1 943 409 8250</t>
  </si>
  <si>
    <t>401 Taylor Ave</t>
  </si>
  <si>
    <t>32785</t>
  </si>
  <si>
    <t>INV/2025/0133</t>
  </si>
  <si>
    <t>$38.08</t>
  </si>
  <si>
    <t>1Z493892180</t>
  </si>
  <si>
    <t>DANIEL SMITH</t>
  </si>
  <si>
    <t>TR-2025134</t>
  </si>
  <si>
    <t>30.01.2025.</t>
  </si>
  <si>
    <t>11-Feb-25</t>
  </si>
  <si>
    <t>p043</t>
  </si>
  <si>
    <t>37 kom</t>
  </si>
  <si>
    <t>$5,797.53</t>
  </si>
  <si>
    <t xml:space="preserve">   Chris Johnson</t>
  </si>
  <si>
    <t>EIN: 700999225</t>
  </si>
  <si>
    <t>(941) 935-6585</t>
  </si>
  <si>
    <t>504 Johnson Street</t>
  </si>
  <si>
    <t>07531</t>
  </si>
  <si>
    <t>INV/2025/0134</t>
  </si>
  <si>
    <t>6.45 USD</t>
  </si>
  <si>
    <t>1Z939975480</t>
  </si>
  <si>
    <t>16.7 kg</t>
  </si>
  <si>
    <t>173.93</t>
  </si>
  <si>
    <t>daniel jones</t>
  </si>
  <si>
    <t>TR-2025135</t>
  </si>
  <si>
    <t>2026-08-14</t>
  </si>
  <si>
    <t xml:space="preserve"> P_059</t>
  </si>
  <si>
    <t xml:space="preserve">Furniture   </t>
  </si>
  <si>
    <t>673.61 USD</t>
  </si>
  <si>
    <t>26270.79</t>
  </si>
  <si>
    <t>EIN: 562710109</t>
  </si>
  <si>
    <t>(849) 486-4147</t>
  </si>
  <si>
    <t>834 Brown Street</t>
  </si>
  <si>
    <t>INV/2026/0135</t>
  </si>
  <si>
    <t>1Z339767915</t>
  </si>
  <si>
    <t>9.9 kg</t>
  </si>
  <si>
    <t>788,12</t>
  </si>
  <si>
    <t>Daniel Anderson</t>
  </si>
  <si>
    <t>TR-2025136</t>
  </si>
  <si>
    <t>11.05.2026.</t>
  </si>
  <si>
    <t>25.05.2026.</t>
  </si>
  <si>
    <t xml:space="preserve"> P_017</t>
  </si>
  <si>
    <t xml:space="preserve"> Chair Max 17</t>
  </si>
  <si>
    <t>1.313,33</t>
  </si>
  <si>
    <t>USD 38,087</t>
  </si>
  <si>
    <t>Stark Ltd.</t>
  </si>
  <si>
    <t>EIN: 738876954</t>
  </si>
  <si>
    <t>(510) 325-2870</t>
  </si>
  <si>
    <t>514 Smith Ave</t>
  </si>
  <si>
    <t>78446</t>
  </si>
  <si>
    <t>INV/2026/0136</t>
  </si>
  <si>
    <t>43.34</t>
  </si>
  <si>
    <t>DH231226359</t>
  </si>
  <si>
    <t>0,51</t>
  </si>
  <si>
    <t>Robert Miller</t>
  </si>
  <si>
    <t>TR-2025137</t>
  </si>
  <si>
    <t>05.07.2025.</t>
  </si>
  <si>
    <t xml:space="preserve"> P_030</t>
  </si>
  <si>
    <t xml:space="preserve">   LICENSE PRO 30</t>
  </si>
  <si>
    <t>office</t>
  </si>
  <si>
    <t>676.54</t>
  </si>
  <si>
    <t>E005</t>
  </si>
  <si>
    <t>EIN: 864898049</t>
  </si>
  <si>
    <t>+1 290 927 7533</t>
  </si>
  <si>
    <t>883 Jones Blvd</t>
  </si>
  <si>
    <t>43284</t>
  </si>
  <si>
    <t>INV/2025/0137</t>
  </si>
  <si>
    <t>27.58 USD</t>
  </si>
  <si>
    <t>FX441827400</t>
  </si>
  <si>
    <t>ryan wilson</t>
  </si>
  <si>
    <t>TR-2025138</t>
  </si>
  <si>
    <t>02/27/2025</t>
  </si>
  <si>
    <t>03/12/2025</t>
  </si>
  <si>
    <t>P-042</t>
  </si>
  <si>
    <t xml:space="preserve"> Desk Max 42 </t>
  </si>
  <si>
    <t xml:space="preserve">Vortex LLC   </t>
  </si>
  <si>
    <t>327468543</t>
  </si>
  <si>
    <t>(408) 443-9922</t>
  </si>
  <si>
    <t>244 Wilson St.</t>
  </si>
  <si>
    <t>32433</t>
  </si>
  <si>
    <t>INV/2025/0138</t>
  </si>
  <si>
    <t>DH428790824</t>
  </si>
  <si>
    <t>17,82</t>
  </si>
  <si>
    <t xml:space="preserve">  laura miller</t>
  </si>
  <si>
    <t>TR-2025139</t>
  </si>
  <si>
    <t>04/04/2026</t>
  </si>
  <si>
    <t>04/16/2026</t>
  </si>
  <si>
    <t>license x 50</t>
  </si>
  <si>
    <t>USD 40</t>
  </si>
  <si>
    <t>553.42 USD</t>
  </si>
  <si>
    <t xml:space="preserve">Olivia Wilson   </t>
  </si>
  <si>
    <t>742803680</t>
  </si>
  <si>
    <t>571.973.4805</t>
  </si>
  <si>
    <t>526 Taylor St.</t>
  </si>
  <si>
    <t>81366</t>
  </si>
  <si>
    <t>INV/2026/0139</t>
  </si>
  <si>
    <t>DH505968001</t>
  </si>
  <si>
    <t>20,32</t>
  </si>
  <si>
    <t>David Smith</t>
  </si>
  <si>
    <t>TR-2025140</t>
  </si>
  <si>
    <t>02/17/2026</t>
  </si>
  <si>
    <t>20260221</t>
  </si>
  <si>
    <t xml:space="preserve">P-025 </t>
  </si>
  <si>
    <t>$430.47</t>
  </si>
  <si>
    <t>2152.35</t>
  </si>
  <si>
    <t>e-019</t>
  </si>
  <si>
    <t>EIN: 506363880</t>
  </si>
  <si>
    <t>james.yahoo.com</t>
  </si>
  <si>
    <t>249.918.1553</t>
  </si>
  <si>
    <t>804 Smith St.</t>
  </si>
  <si>
    <t>56312</t>
  </si>
  <si>
    <t>INV/2026/0140</t>
  </si>
  <si>
    <t>12.13</t>
  </si>
  <si>
    <t>DH466691792</t>
  </si>
  <si>
    <t>0,8</t>
  </si>
  <si>
    <t>64.57</t>
  </si>
  <si>
    <t>James Wilson</t>
  </si>
  <si>
    <t>TR-2025141</t>
  </si>
  <si>
    <t>17.01.2026</t>
  </si>
  <si>
    <t>31.01.2026.</t>
  </si>
  <si>
    <t xml:space="preserve"> Cable Basic 32 </t>
  </si>
  <si>
    <t>22</t>
  </si>
  <si>
    <t>32554.94 USD</t>
  </si>
  <si>
    <t>e-020</t>
  </si>
  <si>
    <t>Robert Taylor</t>
  </si>
  <si>
    <t>acme llc</t>
  </si>
  <si>
    <t>EIN: 104178181</t>
  </si>
  <si>
    <t>658.865.4302</t>
  </si>
  <si>
    <t>340 Johnson Street</t>
  </si>
  <si>
    <t>46085</t>
  </si>
  <si>
    <t>INV/2026/0141</t>
  </si>
  <si>
    <t>28,84</t>
  </si>
  <si>
    <t>1Z732117206</t>
  </si>
  <si>
    <t>david smith</t>
  </si>
  <si>
    <t>--- export continued ---</t>
  </si>
  <si>
    <t>TR-2025143</t>
  </si>
  <si>
    <t>14.11.2025</t>
  </si>
  <si>
    <t>2025-11-28</t>
  </si>
  <si>
    <t>$921.78</t>
  </si>
  <si>
    <t>1843.56 USD</t>
  </si>
  <si>
    <t xml:space="preserve">Sophia Taylor   </t>
  </si>
  <si>
    <t xml:space="preserve"> Globex LLC</t>
  </si>
  <si>
    <t>234858038</t>
  </si>
  <si>
    <t>(832) 202-5314</t>
  </si>
  <si>
    <t>207 Brown Blvd</t>
  </si>
  <si>
    <t>91448</t>
  </si>
  <si>
    <t>INV/2025/0143</t>
  </si>
  <si>
    <t>USD 18</t>
  </si>
  <si>
    <t>1Z465657189</t>
  </si>
  <si>
    <t>8.6 kg</t>
  </si>
  <si>
    <t>55.31 USD</t>
  </si>
  <si>
    <t>Olivia Williams</t>
  </si>
  <si>
    <t>TR-2025144</t>
  </si>
  <si>
    <t>12/03/2025</t>
  </si>
  <si>
    <t xml:space="preserve">   Headphones X 43</t>
  </si>
  <si>
    <t xml:space="preserve">  Equipment   </t>
  </si>
  <si>
    <t>156.69</t>
  </si>
  <si>
    <t xml:space="preserve">   VORTEX INC.</t>
  </si>
  <si>
    <t>714395356</t>
  </si>
  <si>
    <t>737.552.3816</t>
  </si>
  <si>
    <t>662 Davis Blvd</t>
  </si>
  <si>
    <t>70331</t>
  </si>
  <si>
    <t>INV/2025/0144</t>
  </si>
  <si>
    <t>26.07</t>
  </si>
  <si>
    <t>FX446735794</t>
  </si>
  <si>
    <t>17.9 kg</t>
  </si>
  <si>
    <t>126.92</t>
  </si>
  <si>
    <t>chris jones</t>
  </si>
  <si>
    <t>TR-2025145</t>
  </si>
  <si>
    <t>20250814</t>
  </si>
  <si>
    <t>16.08.2025.</t>
  </si>
  <si>
    <t xml:space="preserve">  Desk Max 42</t>
  </si>
  <si>
    <t>$158.06</t>
  </si>
  <si>
    <t xml:space="preserve"> Stark inc  </t>
  </si>
  <si>
    <t>223911062</t>
  </si>
  <si>
    <t>+1 917 835 9324</t>
  </si>
  <si>
    <t>746 Jones Blvd</t>
  </si>
  <si>
    <t>21875</t>
  </si>
  <si>
    <t>INV/2025/0145</t>
  </si>
  <si>
    <t>7,56</t>
  </si>
  <si>
    <t>1Z326977784</t>
  </si>
  <si>
    <t>Ryan Brown</t>
  </si>
  <si>
    <t>TR-2025146</t>
  </si>
  <si>
    <t>11.01.2025</t>
  </si>
  <si>
    <t>20250125</t>
  </si>
  <si>
    <t xml:space="preserve">Desk X 1  </t>
  </si>
  <si>
    <t>EIN: 880273736</t>
  </si>
  <si>
    <t>(294) 680-7960</t>
  </si>
  <si>
    <t>332 Brown Blvd</t>
  </si>
  <si>
    <t>INV/2025/0146</t>
  </si>
  <si>
    <t>16.57 USD</t>
  </si>
  <si>
    <t>DH411448730</t>
  </si>
  <si>
    <t xml:space="preserve">SOPHIA DAVIS   </t>
  </si>
  <si>
    <t>TR-2025147</t>
  </si>
  <si>
    <t>20250222</t>
  </si>
  <si>
    <t>2025-02-26</t>
  </si>
  <si>
    <t>P9</t>
  </si>
  <si>
    <t>39</t>
  </si>
  <si>
    <t>31719.87 USD</t>
  </si>
  <si>
    <t>EMP21</t>
  </si>
  <si>
    <t xml:space="preserve">Initech inc  </t>
  </si>
  <si>
    <t>EIN: 266600621</t>
  </si>
  <si>
    <t>(430) 575-5130</t>
  </si>
  <si>
    <t>112 Taylor Street</t>
  </si>
  <si>
    <t>38326</t>
  </si>
  <si>
    <t>INV/2025/0147</t>
  </si>
  <si>
    <t>$11.91</t>
  </si>
  <si>
    <t>DH893944983</t>
  </si>
  <si>
    <t>17.3 kg</t>
  </si>
  <si>
    <t>951,60</t>
  </si>
  <si>
    <t>Laura Davis</t>
  </si>
  <si>
    <t>TR-2025148</t>
  </si>
  <si>
    <t>2025-11-16</t>
  </si>
  <si>
    <t>11/28/2025</t>
  </si>
  <si>
    <t>P11</t>
  </si>
  <si>
    <t>USD 859</t>
  </si>
  <si>
    <t xml:space="preserve">Globex Ltd. </t>
  </si>
  <si>
    <t>443962858</t>
  </si>
  <si>
    <t>447.893.5687</t>
  </si>
  <si>
    <t>149 Miller Street</t>
  </si>
  <si>
    <t>73879</t>
  </si>
  <si>
    <t>INV/2025/0148</t>
  </si>
  <si>
    <t>FX179559411</t>
  </si>
  <si>
    <t>13,39</t>
  </si>
  <si>
    <t>180.38 USD</t>
  </si>
  <si>
    <t xml:space="preserve">  michael williams  </t>
  </si>
  <si>
    <t>TR-2025149</t>
  </si>
  <si>
    <t>2026-08-08</t>
  </si>
  <si>
    <t>20260811</t>
  </si>
  <si>
    <t>p020</t>
  </si>
  <si>
    <t xml:space="preserve"> DESK X 20   </t>
  </si>
  <si>
    <t xml:space="preserve">  SOFTWARE  </t>
  </si>
  <si>
    <t>635.44</t>
  </si>
  <si>
    <t>2541,76</t>
  </si>
  <si>
    <t>vortex inc</t>
  </si>
  <si>
    <t>EIN: 719431798</t>
  </si>
  <si>
    <t>+1 754 609 9425</t>
  </si>
  <si>
    <t>204 Johnson Ave</t>
  </si>
  <si>
    <t>02948</t>
  </si>
  <si>
    <t>INV/2026/0149</t>
  </si>
  <si>
    <t>20,26</t>
  </si>
  <si>
    <t>1Z850437209</t>
  </si>
  <si>
    <t>2.5 kg</t>
  </si>
  <si>
    <t>MICHAEL TAYLOR</t>
  </si>
  <si>
    <t>Michael</t>
  </si>
  <si>
    <t>TR-2025150</t>
  </si>
  <si>
    <t>23-Feb-25</t>
  </si>
  <si>
    <t>09.03.2025.</t>
  </si>
  <si>
    <t xml:space="preserve">P-001 </t>
  </si>
  <si>
    <t>CHRIS ANDERSON</t>
  </si>
  <si>
    <t xml:space="preserve">Wayne INC </t>
  </si>
  <si>
    <t>EIN: 573509462</t>
  </si>
  <si>
    <t>522.624.9993</t>
  </si>
  <si>
    <t>173 Williams Ave</t>
  </si>
  <si>
    <t>12999</t>
  </si>
  <si>
    <t>INV/2025/0150</t>
  </si>
  <si>
    <t>41,16</t>
  </si>
  <si>
    <t>FX736848739</t>
  </si>
  <si>
    <t>26.5 kg</t>
  </si>
  <si>
    <t>TR-2025151</t>
  </si>
  <si>
    <t>20251204</t>
  </si>
  <si>
    <t>06.12.2025</t>
  </si>
  <si>
    <t>p040</t>
  </si>
  <si>
    <t>Monitor Plus 40</t>
  </si>
  <si>
    <t>17 kom.</t>
  </si>
  <si>
    <t>$98.06</t>
  </si>
  <si>
    <t>1667.02</t>
  </si>
  <si>
    <t>EIN: 624344031</t>
  </si>
  <si>
    <t>(698) 610-1536</t>
  </si>
  <si>
    <t>666 Jones Ave</t>
  </si>
  <si>
    <t>INV/2025/0151</t>
  </si>
  <si>
    <t>$29.15</t>
  </si>
  <si>
    <t>DH325262316</t>
  </si>
  <si>
    <t xml:space="preserve">JAMES SMITH </t>
  </si>
  <si>
    <t>TR-2025152</t>
  </si>
  <si>
    <t>19.06.2025.</t>
  </si>
  <si>
    <t>01.07.2025</t>
  </si>
  <si>
    <t xml:space="preserve"> P_011</t>
  </si>
  <si>
    <t>mouse pro 11</t>
  </si>
  <si>
    <t>e-015</t>
  </si>
  <si>
    <t xml:space="preserve">   Sarah Jones   </t>
  </si>
  <si>
    <t xml:space="preserve">wayne inc.   </t>
  </si>
  <si>
    <t>828169653</t>
  </si>
  <si>
    <t>(346) 860-1960</t>
  </si>
  <si>
    <t>511 Williams Street</t>
  </si>
  <si>
    <t>07194</t>
  </si>
  <si>
    <t>INV/2025/0152</t>
  </si>
  <si>
    <t>6,47</t>
  </si>
  <si>
    <t>FX584298218</t>
  </si>
  <si>
    <t>22,89</t>
  </si>
  <si>
    <t>$979.20</t>
  </si>
  <si>
    <t>Laura Johnson</t>
  </si>
  <si>
    <t>TR-2025153</t>
  </si>
  <si>
    <t>2026-05-21</t>
  </si>
  <si>
    <t>p025</t>
  </si>
  <si>
    <t xml:space="preserve">  chair max 25</t>
  </si>
  <si>
    <t>11</t>
  </si>
  <si>
    <t>430,47</t>
  </si>
  <si>
    <t>4.735,17</t>
  </si>
  <si>
    <t>EIN: 728103691</t>
  </si>
  <si>
    <t>(717) 678-7081</t>
  </si>
  <si>
    <t>509 Brown Blvd</t>
  </si>
  <si>
    <t>58929</t>
  </si>
  <si>
    <t>INV/2026/0153</t>
  </si>
  <si>
    <t>38.75</t>
  </si>
  <si>
    <t>DH340835984</t>
  </si>
  <si>
    <t>TR-2025154</t>
  </si>
  <si>
    <t>2026-04-22</t>
  </si>
  <si>
    <t>20260505</t>
  </si>
  <si>
    <t>Keyboard X 57</t>
  </si>
  <si>
    <t>27 kom.</t>
  </si>
  <si>
    <t>MICHAEL WILLIAMS</t>
  </si>
  <si>
    <t xml:space="preserve"> VORTEX INC</t>
  </si>
  <si>
    <t>EIN: 610496630</t>
  </si>
  <si>
    <t>316.880.4892</t>
  </si>
  <si>
    <t>711 Smith Ave</t>
  </si>
  <si>
    <t>22150</t>
  </si>
  <si>
    <t>INV/2026/0154</t>
  </si>
  <si>
    <t>30,30</t>
  </si>
  <si>
    <t>FX429345007</t>
  </si>
  <si>
    <t>26,21</t>
  </si>
  <si>
    <t>600,79</t>
  </si>
  <si>
    <t xml:space="preserve">Emma Jones  </t>
  </si>
  <si>
    <t>TR-2025155</t>
  </si>
  <si>
    <t>2025-01-08</t>
  </si>
  <si>
    <t>18-Jan-25</t>
  </si>
  <si>
    <t>P-035</t>
  </si>
  <si>
    <t xml:space="preserve">  headphones x 35</t>
  </si>
  <si>
    <t>24</t>
  </si>
  <si>
    <t>426.49</t>
  </si>
  <si>
    <t>10235.76</t>
  </si>
  <si>
    <t xml:space="preserve"> Wayne LLC</t>
  </si>
  <si>
    <t>285714857</t>
  </si>
  <si>
    <t>+1 520 609 4647</t>
  </si>
  <si>
    <t>651 Brown Street</t>
  </si>
  <si>
    <t>97751</t>
  </si>
  <si>
    <t>INV/2025/0155</t>
  </si>
  <si>
    <t>37.75</t>
  </si>
  <si>
    <t>1Z958349575</t>
  </si>
  <si>
    <t>21,13</t>
  </si>
  <si>
    <t>307.07 USD</t>
  </si>
  <si>
    <t>ryan brown</t>
  </si>
  <si>
    <t>TR-2025235</t>
  </si>
  <si>
    <t>06.08.2025.</t>
  </si>
  <si>
    <t>CABLE BASIC 51</t>
  </si>
  <si>
    <t>1036,65</t>
  </si>
  <si>
    <t>E025</t>
  </si>
  <si>
    <t>660706416</t>
  </si>
  <si>
    <t>743.575.6532</t>
  </si>
  <si>
    <t>760 Davis Ave</t>
  </si>
  <si>
    <t>38092</t>
  </si>
  <si>
    <t>INV/2025/0235</t>
  </si>
  <si>
    <t>Jul</t>
  </si>
  <si>
    <t>1Z714029847</t>
  </si>
  <si>
    <t>10.8 kg</t>
  </si>
  <si>
    <t xml:space="preserve"> Ryan Johnson </t>
  </si>
  <si>
    <t>TR-2025156</t>
  </si>
  <si>
    <t>09.07.2026.</t>
  </si>
  <si>
    <t>07/12/2026</t>
  </si>
  <si>
    <t xml:space="preserve">P-027 </t>
  </si>
  <si>
    <t>13</t>
  </si>
  <si>
    <t>751146060</t>
  </si>
  <si>
    <t>+1 438 363 7380</t>
  </si>
  <si>
    <t>792 Smith Ave</t>
  </si>
  <si>
    <t>42993</t>
  </si>
  <si>
    <t>INV/2026/0156</t>
  </si>
  <si>
    <t>USD 42</t>
  </si>
  <si>
    <t>1Z250920376</t>
  </si>
  <si>
    <t>70,22</t>
  </si>
  <si>
    <t xml:space="preserve"> Ryan Smith</t>
  </si>
  <si>
    <t>Ryan Smith</t>
  </si>
  <si>
    <t>TR-2025157</t>
  </si>
  <si>
    <t>24.04.2026</t>
  </si>
  <si>
    <t>02.05.2026.</t>
  </si>
  <si>
    <t>USD 2,213</t>
  </si>
  <si>
    <t>E019</t>
  </si>
  <si>
    <t xml:space="preserve">  Sophia Taylor</t>
  </si>
  <si>
    <t>503271299</t>
  </si>
  <si>
    <t>(283) 233-7854</t>
  </si>
  <si>
    <t>842 Johnson Blvd</t>
  </si>
  <si>
    <t>62835</t>
  </si>
  <si>
    <t>INV/2026/0157</t>
  </si>
  <si>
    <t>9.39</t>
  </si>
  <si>
    <t>DH533275807</t>
  </si>
  <si>
    <t>21.0 kg</t>
  </si>
  <si>
    <t>TR-2025158</t>
  </si>
  <si>
    <t>25.03.2025.</t>
  </si>
  <si>
    <t>20250402</t>
  </si>
  <si>
    <t>P-055</t>
  </si>
  <si>
    <t xml:space="preserve">Cable Basic 55  </t>
  </si>
  <si>
    <t xml:space="preserve">  office</t>
  </si>
  <si>
    <t>15 kom</t>
  </si>
  <si>
    <t>921.78</t>
  </si>
  <si>
    <t>$13,826.70</t>
  </si>
  <si>
    <t xml:space="preserve">  stark inc</t>
  </si>
  <si>
    <t>EIN: 212305968</t>
  </si>
  <si>
    <t>(814) 445-8935</t>
  </si>
  <si>
    <t>549 Brown St.</t>
  </si>
  <si>
    <t>81461</t>
  </si>
  <si>
    <t>INV/2025/0158</t>
  </si>
  <si>
    <t>USD 26</t>
  </si>
  <si>
    <t>FX249235373</t>
  </si>
  <si>
    <t>$414.80</t>
  </si>
  <si>
    <t>MICHAEL BROWN</t>
  </si>
  <si>
    <t>TR-2025159</t>
  </si>
  <si>
    <t>08/16/2026</t>
  </si>
  <si>
    <t>29.08.2026.</t>
  </si>
  <si>
    <t xml:space="preserve">Chair Max 25 </t>
  </si>
  <si>
    <t xml:space="preserve">   LAURA WILLIAMS</t>
  </si>
  <si>
    <t xml:space="preserve">  Initech Ltd. </t>
  </si>
  <si>
    <t>620903199</t>
  </si>
  <si>
    <t>(475) 594-7061</t>
  </si>
  <si>
    <t>348 Jones Blvd</t>
  </si>
  <si>
    <t>INV/2026/0159</t>
  </si>
  <si>
    <t>45,77</t>
  </si>
  <si>
    <t>FX884539031</t>
  </si>
  <si>
    <t>13,28</t>
  </si>
  <si>
    <t>232.45</t>
  </si>
  <si>
    <t xml:space="preserve">  Sophia Brown</t>
  </si>
  <si>
    <t>TR-2025160</t>
  </si>
  <si>
    <t>13.10.2025</t>
  </si>
  <si>
    <t>P14</t>
  </si>
  <si>
    <t xml:space="preserve">  License Max 14</t>
  </si>
  <si>
    <t>1166,96</t>
  </si>
  <si>
    <t>EMP10</t>
  </si>
  <si>
    <t xml:space="preserve">Wayne Inc. </t>
  </si>
  <si>
    <t>EIN: 607224901</t>
  </si>
  <si>
    <t>337.581.6309</t>
  </si>
  <si>
    <t>443 Johnson Street</t>
  </si>
  <si>
    <t>77357</t>
  </si>
  <si>
    <t>INV/2025/0160</t>
  </si>
  <si>
    <t>DH475445002</t>
  </si>
  <si>
    <t>25.2 kg</t>
  </si>
  <si>
    <t>$1,295.33</t>
  </si>
  <si>
    <t>John Brown</t>
  </si>
  <si>
    <t>TR-2025161</t>
  </si>
  <si>
    <t>13.03.2026.</t>
  </si>
  <si>
    <t>26-Mar-26</t>
  </si>
  <si>
    <t xml:space="preserve"> P_051</t>
  </si>
  <si>
    <t>USD 14,513</t>
  </si>
  <si>
    <t>E022</t>
  </si>
  <si>
    <t xml:space="preserve">   Initech LLC  </t>
  </si>
  <si>
    <t>565294511</t>
  </si>
  <si>
    <t>(830) 981-8368</t>
  </si>
  <si>
    <t>11 Williams Blvd</t>
  </si>
  <si>
    <t>66044</t>
  </si>
  <si>
    <t>INV/2026/0161</t>
  </si>
  <si>
    <t>FX905060821</t>
  </si>
  <si>
    <t>26.3 kg</t>
  </si>
  <si>
    <t>435,39</t>
  </si>
  <si>
    <t xml:space="preserve"> Jessica Anderson</t>
  </si>
  <si>
    <t>TR-2025162</t>
  </si>
  <si>
    <t>21.03.2026</t>
  </si>
  <si>
    <t>03/30/2026</t>
  </si>
  <si>
    <t xml:space="preserve"> P_053</t>
  </si>
  <si>
    <t>25 kom.</t>
  </si>
  <si>
    <t>$553.22</t>
  </si>
  <si>
    <t xml:space="preserve">   Umbrella INC</t>
  </si>
  <si>
    <t>815467815</t>
  </si>
  <si>
    <t>+1 416 422 7541</t>
  </si>
  <si>
    <t>596 Anderson Blvd</t>
  </si>
  <si>
    <t>28190</t>
  </si>
  <si>
    <t>INV/2026/0162</t>
  </si>
  <si>
    <t>$28.72</t>
  </si>
  <si>
    <t>1Z605408112</t>
  </si>
  <si>
    <t>24.2 kg</t>
  </si>
  <si>
    <t>414,91</t>
  </si>
  <si>
    <t>TR-2025163</t>
  </si>
  <si>
    <t>P-002</t>
  </si>
  <si>
    <t xml:space="preserve"> Monitor Max 2</t>
  </si>
  <si>
    <t xml:space="preserve">electronics  </t>
  </si>
  <si>
    <t>$551.70</t>
  </si>
  <si>
    <t>12689.10 USD</t>
  </si>
  <si>
    <t xml:space="preserve">Stark LLC   </t>
  </si>
  <si>
    <t>230296461</t>
  </si>
  <si>
    <t>468.208.5961</t>
  </si>
  <si>
    <t>232 Jones Ave</t>
  </si>
  <si>
    <t>07673</t>
  </si>
  <si>
    <t>INV/2026/0163</t>
  </si>
  <si>
    <t>USD 41</t>
  </si>
  <si>
    <t>FX112639951</t>
  </si>
  <si>
    <t>James Taylor</t>
  </si>
  <si>
    <t>TR-2025164</t>
  </si>
  <si>
    <t>21.08.2025.</t>
  </si>
  <si>
    <t>26.08.2025</t>
  </si>
  <si>
    <t>Headphones X 43</t>
  </si>
  <si>
    <t>156.69 USD</t>
  </si>
  <si>
    <t>LAURA WILLIAMS</t>
  </si>
  <si>
    <t>233585728</t>
  </si>
  <si>
    <t>(727) 815-2807</t>
  </si>
  <si>
    <t>399 Davis Street</t>
  </si>
  <si>
    <t>INV/2025/0164</t>
  </si>
  <si>
    <t>44,46</t>
  </si>
  <si>
    <t>1Z176314066</t>
  </si>
  <si>
    <t>USD 28</t>
  </si>
  <si>
    <t xml:space="preserve">  james davis</t>
  </si>
  <si>
    <t>TR-2025165</t>
  </si>
  <si>
    <t>16-Feb-26</t>
  </si>
  <si>
    <t>20260218</t>
  </si>
  <si>
    <t>p059</t>
  </si>
  <si>
    <t xml:space="preserve"> Keyboard Max 59</t>
  </si>
  <si>
    <t>furniture</t>
  </si>
  <si>
    <t>37 kom.</t>
  </si>
  <si>
    <t>24923,57</t>
  </si>
  <si>
    <t xml:space="preserve">Initech LLC </t>
  </si>
  <si>
    <t>EIN: 937312530</t>
  </si>
  <si>
    <t>(671) 674-9564</t>
  </si>
  <si>
    <t>894 Jones St.</t>
  </si>
  <si>
    <t>66107</t>
  </si>
  <si>
    <t>INV/2026/0165</t>
  </si>
  <si>
    <t>$3.15</t>
  </si>
  <si>
    <t>1Z839117411</t>
  </si>
  <si>
    <t>20.2 kg</t>
  </si>
  <si>
    <t>$747.71</t>
  </si>
  <si>
    <t>TR-2025166</t>
  </si>
  <si>
    <t>30.11.2025</t>
  </si>
  <si>
    <t>12/13/2025</t>
  </si>
  <si>
    <t>P-011</t>
  </si>
  <si>
    <t xml:space="preserve"> mouse pro 11</t>
  </si>
  <si>
    <t xml:space="preserve">  Wayne Inc.</t>
  </si>
  <si>
    <t>EIN: 434701474</t>
  </si>
  <si>
    <t>(995) 718-4984</t>
  </si>
  <si>
    <t>440 Anderson Blvd</t>
  </si>
  <si>
    <t>12944</t>
  </si>
  <si>
    <t>INV/2025/0166</t>
  </si>
  <si>
    <t>16,02</t>
  </si>
  <si>
    <t>1Z452921196</t>
  </si>
  <si>
    <t>3,55</t>
  </si>
  <si>
    <t>798,82</t>
  </si>
  <si>
    <t>TR-2025167</t>
  </si>
  <si>
    <t>20260320</t>
  </si>
  <si>
    <t>2026-03-31</t>
  </si>
  <si>
    <t>19</t>
  </si>
  <si>
    <t>USD 751</t>
  </si>
  <si>
    <t>e-014</t>
  </si>
  <si>
    <t>506760211</t>
  </si>
  <si>
    <t>(870) 554-2596</t>
  </si>
  <si>
    <t>501 Smith Ave</t>
  </si>
  <si>
    <t>37072</t>
  </si>
  <si>
    <t>INV/2026/0167</t>
  </si>
  <si>
    <t>11.43 USD</t>
  </si>
  <si>
    <t>1Z508440853</t>
  </si>
  <si>
    <t>22.53</t>
  </si>
  <si>
    <t xml:space="preserve">  Laura Williams</t>
  </si>
  <si>
    <t>TR-2025168</t>
  </si>
  <si>
    <t>08/13/2025</t>
  </si>
  <si>
    <t xml:space="preserve">Olivia Anderson </t>
  </si>
  <si>
    <t xml:space="preserve">vortex llc   </t>
  </si>
  <si>
    <t>EIN: 222967137</t>
  </si>
  <si>
    <t>+1 668 552 1296</t>
  </si>
  <si>
    <t>376 Williams Ave</t>
  </si>
  <si>
    <t>88752</t>
  </si>
  <si>
    <t>INV/2025/0168</t>
  </si>
  <si>
    <t>1.77 USD</t>
  </si>
  <si>
    <t>DH738400470</t>
  </si>
  <si>
    <t>7.4 kg</t>
  </si>
  <si>
    <t>$216.33</t>
  </si>
  <si>
    <t>John Smith</t>
  </si>
  <si>
    <t>TR-2025169</t>
  </si>
  <si>
    <t>25-Apr-26</t>
  </si>
  <si>
    <t>03-May-26</t>
  </si>
  <si>
    <t>948,72</t>
  </si>
  <si>
    <t>439573811</t>
  </si>
  <si>
    <t>+1 786 591 7323</t>
  </si>
  <si>
    <t>360 Johnson Street</t>
  </si>
  <si>
    <t>22492</t>
  </si>
  <si>
    <t>INV/2026/0169</t>
  </si>
  <si>
    <t>$24.81</t>
  </si>
  <si>
    <t>DH124973159</t>
  </si>
  <si>
    <t>24.6 kg</t>
  </si>
  <si>
    <t>Olivia Smith</t>
  </si>
  <si>
    <t>TR-2025170</t>
  </si>
  <si>
    <t>16.09.2025.</t>
  </si>
  <si>
    <t xml:space="preserve"> P_019</t>
  </si>
  <si>
    <t>Monitor Max 19</t>
  </si>
  <si>
    <t>251.62</t>
  </si>
  <si>
    <t>2767.82</t>
  </si>
  <si>
    <t xml:space="preserve">  John Miller</t>
  </si>
  <si>
    <t>EIN: 605740117</t>
  </si>
  <si>
    <t>767.563.7587</t>
  </si>
  <si>
    <t>817 Wilson St.</t>
  </si>
  <si>
    <t>46774</t>
  </si>
  <si>
    <t>INV/2025/0170</t>
  </si>
  <si>
    <t>4,54</t>
  </si>
  <si>
    <t>FX944050481</t>
  </si>
  <si>
    <t>83.03 USD</t>
  </si>
  <si>
    <t xml:space="preserve">Emma Taylor  </t>
  </si>
  <si>
    <t>TR-2025171</t>
  </si>
  <si>
    <t>23-Mar-26</t>
  </si>
  <si>
    <t>20260327</t>
  </si>
  <si>
    <t xml:space="preserve">  Electronics </t>
  </si>
  <si>
    <t>364,79</t>
  </si>
  <si>
    <t>1823,95</t>
  </si>
  <si>
    <t xml:space="preserve">Olivia Wilson  </t>
  </si>
  <si>
    <t xml:space="preserve"> Wayne inc  </t>
  </si>
  <si>
    <t>172399890</t>
  </si>
  <si>
    <t>+1 849 640 1587</t>
  </si>
  <si>
    <t>836 Smith Blvd</t>
  </si>
  <si>
    <t>54094</t>
  </si>
  <si>
    <t>INV/2026/0171</t>
  </si>
  <si>
    <t>19.17 USD</t>
  </si>
  <si>
    <t>1Z725840594</t>
  </si>
  <si>
    <t>$54.72</t>
  </si>
  <si>
    <t xml:space="preserve">  Chris Brown  </t>
  </si>
  <si>
    <t>TR-2025172</t>
  </si>
  <si>
    <t>06/10/2026</t>
  </si>
  <si>
    <t>06/23/2026</t>
  </si>
  <si>
    <t xml:space="preserve"> P_023</t>
  </si>
  <si>
    <t>1260.75</t>
  </si>
  <si>
    <t xml:space="preserve">sophia taylor   </t>
  </si>
  <si>
    <t>Initech Inc.</t>
  </si>
  <si>
    <t>272460801</t>
  </si>
  <si>
    <t>486.565.1444</t>
  </si>
  <si>
    <t>663 Miller St.</t>
  </si>
  <si>
    <t>45268</t>
  </si>
  <si>
    <t>INV/2026/0172</t>
  </si>
  <si>
    <t>FX744166719</t>
  </si>
  <si>
    <t>2,58</t>
  </si>
  <si>
    <t xml:space="preserve"> Jessica Miller</t>
  </si>
  <si>
    <t>TR-2025173</t>
  </si>
  <si>
    <t>09/09/2025</t>
  </si>
  <si>
    <t>2025-09-11</t>
  </si>
  <si>
    <t xml:space="preserve"> Electronics   </t>
  </si>
  <si>
    <t>334,59</t>
  </si>
  <si>
    <t xml:space="preserve">Initech INC  </t>
  </si>
  <si>
    <t>339310444</t>
  </si>
  <si>
    <t>+1 572 502 1604</t>
  </si>
  <si>
    <t>747 Anderson St.</t>
  </si>
  <si>
    <t>09725</t>
  </si>
  <si>
    <t>INV/2025/0173</t>
  </si>
  <si>
    <t>FX901116046</t>
  </si>
  <si>
    <t>18,14</t>
  </si>
  <si>
    <t>120,45</t>
  </si>
  <si>
    <t xml:space="preserve">Laura Jones   </t>
  </si>
  <si>
    <t>TR-2025174</t>
  </si>
  <si>
    <t>20251205</t>
  </si>
  <si>
    <t>16-Dec-25</t>
  </si>
  <si>
    <t>P55</t>
  </si>
  <si>
    <t xml:space="preserve"> Cable Basic 55  </t>
  </si>
  <si>
    <t>11983.14 USD</t>
  </si>
  <si>
    <t>EMP12</t>
  </si>
  <si>
    <t>985738787</t>
  </si>
  <si>
    <t>+1 655 391 3293</t>
  </si>
  <si>
    <t>762 Davis Blvd</t>
  </si>
  <si>
    <t>64470</t>
  </si>
  <si>
    <t>INV/2025/0174</t>
  </si>
  <si>
    <t>December</t>
  </si>
  <si>
    <t>$20.66</t>
  </si>
  <si>
    <t>DH499031193</t>
  </si>
  <si>
    <t>21.5 kg</t>
  </si>
  <si>
    <t xml:space="preserve">Daniel Anderson   </t>
  </si>
  <si>
    <t>TR-2025175</t>
  </si>
  <si>
    <t>20251128</t>
  </si>
  <si>
    <t>02.12.2025</t>
  </si>
  <si>
    <t>P-028</t>
  </si>
  <si>
    <t>5</t>
  </si>
  <si>
    <t>198.36</t>
  </si>
  <si>
    <t>991,80</t>
  </si>
  <si>
    <t>EIN: 454907152</t>
  </si>
  <si>
    <t>+1 700 377 5856</t>
  </si>
  <si>
    <t>254 Williams St.</t>
  </si>
  <si>
    <t>56156</t>
  </si>
  <si>
    <t>INV/2025/0175</t>
  </si>
  <si>
    <t>DH160804586</t>
  </si>
  <si>
    <t>2,91</t>
  </si>
  <si>
    <t>Jessica Johnson</t>
  </si>
  <si>
    <t>Jessica</t>
  </si>
  <si>
    <t>TR-2025176</t>
  </si>
  <si>
    <t>07/03/2025</t>
  </si>
  <si>
    <t>2025-07-07</t>
  </si>
  <si>
    <t>P-021</t>
  </si>
  <si>
    <t>umbrella llc</t>
  </si>
  <si>
    <t>EIN: 365516179</t>
  </si>
  <si>
    <t>+1 715 619 7680</t>
  </si>
  <si>
    <t>778 Williams St.</t>
  </si>
  <si>
    <t>16601</t>
  </si>
  <si>
    <t>INV/2025/0176</t>
  </si>
  <si>
    <t>$30.59</t>
  </si>
  <si>
    <t>FX102120660</t>
  </si>
  <si>
    <t>9.4 kg</t>
  </si>
  <si>
    <t>Michael Davis</t>
  </si>
  <si>
    <t>TR-2025177</t>
  </si>
  <si>
    <t>2026-04-01</t>
  </si>
  <si>
    <t>13.04.2026.</t>
  </si>
  <si>
    <t>License Pro 30</t>
  </si>
  <si>
    <t>ROBERT WILLIAMS</t>
  </si>
  <si>
    <t>574034592</t>
  </si>
  <si>
    <t>(975) 305-4568</t>
  </si>
  <si>
    <t>884 Anderson Blvd</t>
  </si>
  <si>
    <t>52728</t>
  </si>
  <si>
    <t>INV/2026/0177</t>
  </si>
  <si>
    <t>18,57</t>
  </si>
  <si>
    <t>FX358621075</t>
  </si>
  <si>
    <t>40,59</t>
  </si>
  <si>
    <t>Chris Smith</t>
  </si>
  <si>
    <t>TR-2025312</t>
  </si>
  <si>
    <t>06.05.2026</t>
  </si>
  <si>
    <t>05/10/2026</t>
  </si>
  <si>
    <t>6 kom</t>
  </si>
  <si>
    <t>198,36</t>
  </si>
  <si>
    <t>694704798</t>
  </si>
  <si>
    <t>901.204.5141</t>
  </si>
  <si>
    <t>857 Williams Ave</t>
  </si>
  <si>
    <t>71491</t>
  </si>
  <si>
    <t>INV/2026/0312</t>
  </si>
  <si>
    <t>25,49</t>
  </si>
  <si>
    <t>DH406592140</t>
  </si>
  <si>
    <t>20,15</t>
  </si>
  <si>
    <t>Emily Johnson</t>
  </si>
  <si>
    <t>TR-2025178</t>
  </si>
  <si>
    <t>26.11.2025.</t>
  </si>
  <si>
    <t>12/04/2025</t>
  </si>
  <si>
    <t>p057</t>
  </si>
  <si>
    <t xml:space="preserve">  Equipment</t>
  </si>
  <si>
    <t>661093024</t>
  </si>
  <si>
    <t>574.412.6127</t>
  </si>
  <si>
    <t>219 Brown Street</t>
  </si>
  <si>
    <t>99393</t>
  </si>
  <si>
    <t>INV/2025/0178</t>
  </si>
  <si>
    <t>36,75</t>
  </si>
  <si>
    <t>DH970018143</t>
  </si>
  <si>
    <t>18.3 kg</t>
  </si>
  <si>
    <t>$133.51</t>
  </si>
  <si>
    <t>DANIEL WILLIAMS</t>
  </si>
  <si>
    <t>TR-2025179</t>
  </si>
  <si>
    <t>07.08.2026</t>
  </si>
  <si>
    <t>35 kom.</t>
  </si>
  <si>
    <t>e-021</t>
  </si>
  <si>
    <t>EIN: 484513761</t>
  </si>
  <si>
    <t>531.556.4516</t>
  </si>
  <si>
    <t>417 Jones Street</t>
  </si>
  <si>
    <t>23722</t>
  </si>
  <si>
    <t>INV/2026/0179</t>
  </si>
  <si>
    <t>15.22 USD</t>
  </si>
  <si>
    <t>FX677122423</t>
  </si>
  <si>
    <t>8.2 kg</t>
  </si>
  <si>
    <t>USD 165</t>
  </si>
  <si>
    <t>DAVID JOHNSON</t>
  </si>
  <si>
    <t>TR-2025180</t>
  </si>
  <si>
    <t>2025-01-20</t>
  </si>
  <si>
    <t>02-Feb-25</t>
  </si>
  <si>
    <t>813.33 USD</t>
  </si>
  <si>
    <t xml:space="preserve">STARK INC   </t>
  </si>
  <si>
    <t>706926794</t>
  </si>
  <si>
    <t>+1 455 626 7809</t>
  </si>
  <si>
    <t>383 Wilson St.</t>
  </si>
  <si>
    <t>INV/2025/0180</t>
  </si>
  <si>
    <t>21,19</t>
  </si>
  <si>
    <t>DH994612795</t>
  </si>
  <si>
    <t>21.3 kg</t>
  </si>
  <si>
    <t xml:space="preserve"> Sophia Jones   </t>
  </si>
  <si>
    <t>TR-2025181</t>
  </si>
  <si>
    <t>06/01/2026</t>
  </si>
  <si>
    <t>2026-06-02</t>
  </si>
  <si>
    <t>$129.06</t>
  </si>
  <si>
    <t>258,12</t>
  </si>
  <si>
    <t xml:space="preserve"> initech ltd.</t>
  </si>
  <si>
    <t>EIN: 281325279</t>
  </si>
  <si>
    <t>(549) 848-3253</t>
  </si>
  <si>
    <t>373 Davis Street</t>
  </si>
  <si>
    <t>41078</t>
  </si>
  <si>
    <t>INV/2026/0181</t>
  </si>
  <si>
    <t>$32.86</t>
  </si>
  <si>
    <t>FX239034208</t>
  </si>
  <si>
    <t xml:space="preserve">   David Smith</t>
  </si>
  <si>
    <t>TR-2025182</t>
  </si>
  <si>
    <t>2025-07-08</t>
  </si>
  <si>
    <t xml:space="preserve">Keyboard Plus 29 </t>
  </si>
  <si>
    <t>1375.64</t>
  </si>
  <si>
    <t>364410293</t>
  </si>
  <si>
    <t>+1 641 957 2643</t>
  </si>
  <si>
    <t>35 Smith Street</t>
  </si>
  <si>
    <t>55974</t>
  </si>
  <si>
    <t>INV/2025/0182</t>
  </si>
  <si>
    <t>USD 19</t>
  </si>
  <si>
    <t>DH641992316</t>
  </si>
  <si>
    <t xml:space="preserve"> Sarah Anderson</t>
  </si>
  <si>
    <t>Sarah Anderson</t>
  </si>
  <si>
    <t>TR-2025183</t>
  </si>
  <si>
    <t>20250417</t>
  </si>
  <si>
    <t>20250426</t>
  </si>
  <si>
    <t>p021</t>
  </si>
  <si>
    <t xml:space="preserve">  Monitor Max 21</t>
  </si>
  <si>
    <t>USD 1,185</t>
  </si>
  <si>
    <t>11847,00</t>
  </si>
  <si>
    <t xml:space="preserve">Initech Ltd.   </t>
  </si>
  <si>
    <t>139733193</t>
  </si>
  <si>
    <t>543.263.7849</t>
  </si>
  <si>
    <t>517 Anderson Blvd</t>
  </si>
  <si>
    <t>05789</t>
  </si>
  <si>
    <t>INV/2025/0183</t>
  </si>
  <si>
    <t>USD 13</t>
  </si>
  <si>
    <t>FX654378200</t>
  </si>
  <si>
    <t>5,01</t>
  </si>
  <si>
    <t>355,41</t>
  </si>
  <si>
    <t>Ryan Wilson</t>
  </si>
  <si>
    <t>TR-2025185</t>
  </si>
  <si>
    <t>11.02.2026</t>
  </si>
  <si>
    <t>20260223</t>
  </si>
  <si>
    <t>P2</t>
  </si>
  <si>
    <t>551,70</t>
  </si>
  <si>
    <t xml:space="preserve">Chris Williams   </t>
  </si>
  <si>
    <t>EIN: 486966326</t>
  </si>
  <si>
    <t>791.596.2363</t>
  </si>
  <si>
    <t>92 Wilson St.</t>
  </si>
  <si>
    <t>57105</t>
  </si>
  <si>
    <t>INV/2026/0185</t>
  </si>
  <si>
    <t>47,78</t>
  </si>
  <si>
    <t>DH850475027</t>
  </si>
  <si>
    <t>15.6 kg</t>
  </si>
  <si>
    <t>215,16</t>
  </si>
  <si>
    <t xml:space="preserve">   EMILY DAVIS</t>
  </si>
  <si>
    <t>TR-2025186</t>
  </si>
  <si>
    <t>08/24/2025</t>
  </si>
  <si>
    <t>02-Sep-25</t>
  </si>
  <si>
    <t>P-008</t>
  </si>
  <si>
    <t>1288.41</t>
  </si>
  <si>
    <t>USD 45,094</t>
  </si>
  <si>
    <t xml:space="preserve">   stark inc</t>
  </si>
  <si>
    <t>783391196</t>
  </si>
  <si>
    <t>+1 234 828 6602</t>
  </si>
  <si>
    <t>965 Taylor Street</t>
  </si>
  <si>
    <t>41232</t>
  </si>
  <si>
    <t>INV/2025/0186</t>
  </si>
  <si>
    <t>30.39 USD</t>
  </si>
  <si>
    <t>DH203341566</t>
  </si>
  <si>
    <t>1352,83</t>
  </si>
  <si>
    <t>Ryan Davis</t>
  </si>
  <si>
    <t>TR-2025187</t>
  </si>
  <si>
    <t>2026-02-11</t>
  </si>
  <si>
    <t>20.02.2026.</t>
  </si>
  <si>
    <t>$1,106.44</t>
  </si>
  <si>
    <t>EIN: 219131979</t>
  </si>
  <si>
    <t>(863) 950-5805</t>
  </si>
  <si>
    <t>34382</t>
  </si>
  <si>
    <t>INV/2026/0187</t>
  </si>
  <si>
    <t>1Z632333548</t>
  </si>
  <si>
    <t>USD 33</t>
  </si>
  <si>
    <t xml:space="preserve">sarah taylor </t>
  </si>
  <si>
    <t>TR-2025188</t>
  </si>
  <si>
    <t>2025-01-18</t>
  </si>
  <si>
    <t>20250121</t>
  </si>
  <si>
    <t>592,95</t>
  </si>
  <si>
    <t xml:space="preserve">OLIVIA WILSON  </t>
  </si>
  <si>
    <t xml:space="preserve">Globex INC </t>
  </si>
  <si>
    <t>EIN: 296549411</t>
  </si>
  <si>
    <t>687.497.1546</t>
  </si>
  <si>
    <t>14 Anderson Street</t>
  </si>
  <si>
    <t>52779</t>
  </si>
  <si>
    <t>INV/2025/0188</t>
  </si>
  <si>
    <t>2.63 USD</t>
  </si>
  <si>
    <t>1Z308045381</t>
  </si>
  <si>
    <t>TR-2025189</t>
  </si>
  <si>
    <t>14.08.2025</t>
  </si>
  <si>
    <t xml:space="preserve">P-047 </t>
  </si>
  <si>
    <t>1489.69</t>
  </si>
  <si>
    <t>10427.83 USD</t>
  </si>
  <si>
    <t>145207302</t>
  </si>
  <si>
    <t>+1 741 667 2212</t>
  </si>
  <si>
    <t>684 Jones Blvd</t>
  </si>
  <si>
    <t>70475</t>
  </si>
  <si>
    <t>INV/2025/0189</t>
  </si>
  <si>
    <t>25.08</t>
  </si>
  <si>
    <t>1Z370168181</t>
  </si>
  <si>
    <t>312,83</t>
  </si>
  <si>
    <t>TR-2025301</t>
  </si>
  <si>
    <t>30-Mar-25</t>
  </si>
  <si>
    <t>01.04.2025.</t>
  </si>
  <si>
    <t>Monitor X 41</t>
  </si>
  <si>
    <t>EIN: 837262618</t>
  </si>
  <si>
    <t>530.450.4801</t>
  </si>
  <si>
    <t>489 Taylor Street</t>
  </si>
  <si>
    <t>73448</t>
  </si>
  <si>
    <t>INV/2025/0301</t>
  </si>
  <si>
    <t>3,17</t>
  </si>
  <si>
    <t>1Z546928240</t>
  </si>
  <si>
    <t>25.9 kg</t>
  </si>
  <si>
    <t xml:space="preserve">SARAH DAVIS </t>
  </si>
  <si>
    <t>TR-2025190</t>
  </si>
  <si>
    <t>04.08.2026</t>
  </si>
  <si>
    <t>20260816</t>
  </si>
  <si>
    <t>CABLE PLUS 39</t>
  </si>
  <si>
    <t>EIN: 467993686</t>
  </si>
  <si>
    <t>(248) 998-2133</t>
  </si>
  <si>
    <t>595 Williams Ave</t>
  </si>
  <si>
    <t>17024</t>
  </si>
  <si>
    <t>INV/2026/0190</t>
  </si>
  <si>
    <t>21.76</t>
  </si>
  <si>
    <t>FX166522205</t>
  </si>
  <si>
    <t>12,57</t>
  </si>
  <si>
    <t>James Anderson</t>
  </si>
  <si>
    <t>TR-2025191</t>
  </si>
  <si>
    <t>20260629</t>
  </si>
  <si>
    <t>03-Jul-26</t>
  </si>
  <si>
    <t xml:space="preserve"> P_032</t>
  </si>
  <si>
    <t>cable basic 32</t>
  </si>
  <si>
    <t>16</t>
  </si>
  <si>
    <t>$23,676.32</t>
  </si>
  <si>
    <t>EIN: 478718640</t>
  </si>
  <si>
    <t>443.277.6728</t>
  </si>
  <si>
    <t>490 Taylor Ave</t>
  </si>
  <si>
    <t>71235</t>
  </si>
  <si>
    <t>INV/2026/0191</t>
  </si>
  <si>
    <t>1Z593113056</t>
  </si>
  <si>
    <t>710.29</t>
  </si>
  <si>
    <t>TR-2025192</t>
  </si>
  <si>
    <t>17-Jan-26</t>
  </si>
  <si>
    <t>20260125</t>
  </si>
  <si>
    <t>EMP6</t>
  </si>
  <si>
    <t xml:space="preserve">  Emily Davis</t>
  </si>
  <si>
    <t xml:space="preserve"> Initech INC</t>
  </si>
  <si>
    <t>EIN: 120819971</t>
  </si>
  <si>
    <t>980.789.1298</t>
  </si>
  <si>
    <t>309 Brown Blvd</t>
  </si>
  <si>
    <t>13071</t>
  </si>
  <si>
    <t>INV/2026/0192</t>
  </si>
  <si>
    <t>DH105573708</t>
  </si>
  <si>
    <t>29,5</t>
  </si>
  <si>
    <t>USD 56</t>
  </si>
  <si>
    <t>TR-2025194</t>
  </si>
  <si>
    <t>07/19/2025</t>
  </si>
  <si>
    <t>25-Jul-25</t>
  </si>
  <si>
    <t>Chair Max 17</t>
  </si>
  <si>
    <t>1313,33</t>
  </si>
  <si>
    <t>44653.22 USD</t>
  </si>
  <si>
    <t>566056369</t>
  </si>
  <si>
    <t>+1 905 468 2543</t>
  </si>
  <si>
    <t>814 Johnson St.</t>
  </si>
  <si>
    <t>07205</t>
  </si>
  <si>
    <t>INV/2025/0194</t>
  </si>
  <si>
    <t>DH178198484</t>
  </si>
  <si>
    <t>SOPHIA MILLER</t>
  </si>
  <si>
    <t>TR-2025195</t>
  </si>
  <si>
    <t>25-Dec-25</t>
  </si>
  <si>
    <t>12/30/2025</t>
  </si>
  <si>
    <t>Keyboard Plus 29</t>
  </si>
  <si>
    <t>34391,00</t>
  </si>
  <si>
    <t>CHRIS WILLIAMS</t>
  </si>
  <si>
    <t>EIN: 255206760</t>
  </si>
  <si>
    <t>(499) 417-1555</t>
  </si>
  <si>
    <t>882 Jones Ave</t>
  </si>
  <si>
    <t>40062</t>
  </si>
  <si>
    <t>INV/2025/0195</t>
  </si>
  <si>
    <t>1Z186665361</t>
  </si>
  <si>
    <t>1031.73</t>
  </si>
  <si>
    <t>TR-2025196</t>
  </si>
  <si>
    <t>13.06.2026</t>
  </si>
  <si>
    <t>06/15/2026</t>
  </si>
  <si>
    <t>P-022</t>
  </si>
  <si>
    <t xml:space="preserve">   DESK BASIC 22</t>
  </si>
  <si>
    <t>893,58</t>
  </si>
  <si>
    <t>EMP2</t>
  </si>
  <si>
    <t>544808695</t>
  </si>
  <si>
    <t>(264) 393-6526</t>
  </si>
  <si>
    <t>859 Williams St.</t>
  </si>
  <si>
    <t>43476</t>
  </si>
  <si>
    <t>INV/2026/0196</t>
  </si>
  <si>
    <t>29,48</t>
  </si>
  <si>
    <t>DH963131754</t>
  </si>
  <si>
    <t>RYAN WILSON</t>
  </si>
  <si>
    <t>TR-2025197</t>
  </si>
  <si>
    <t>16.10.2025.</t>
  </si>
  <si>
    <t>19.10.2025</t>
  </si>
  <si>
    <t xml:space="preserve">   Laptop Max 52</t>
  </si>
  <si>
    <t>49907.24 USD</t>
  </si>
  <si>
    <t xml:space="preserve"> Initech Inc.   </t>
  </si>
  <si>
    <t>881090263</t>
  </si>
  <si>
    <t>(663) 495-3998</t>
  </si>
  <si>
    <t>98 Smith Ave</t>
  </si>
  <si>
    <t>66081</t>
  </si>
  <si>
    <t>INV/2025/0197</t>
  </si>
  <si>
    <t>$3.85</t>
  </si>
  <si>
    <t>FX966295183</t>
  </si>
  <si>
    <t>1,73</t>
  </si>
  <si>
    <t>1497,22</t>
  </si>
  <si>
    <t>TR-2025198</t>
  </si>
  <si>
    <t>11-Oct-25</t>
  </si>
  <si>
    <t xml:space="preserve"> License Plus 48 </t>
  </si>
  <si>
    <t>EIN: 304939709</t>
  </si>
  <si>
    <t>447.238.7857</t>
  </si>
  <si>
    <t>11 Wilson Street</t>
  </si>
  <si>
    <t>68639</t>
  </si>
  <si>
    <t>INV/2025/0198</t>
  </si>
  <si>
    <t>9,12</t>
  </si>
  <si>
    <t>1Z277668524</t>
  </si>
  <si>
    <t>17,26</t>
  </si>
  <si>
    <t>TR-2025199</t>
  </si>
  <si>
    <t>08.02.2026</t>
  </si>
  <si>
    <t>17.02.2026</t>
  </si>
  <si>
    <t>1 kom.</t>
  </si>
  <si>
    <t>initech llc</t>
  </si>
  <si>
    <t>816916203</t>
  </si>
  <si>
    <t>(964) 386-7495</t>
  </si>
  <si>
    <t>72 Taylor Ave</t>
  </si>
  <si>
    <t>82129</t>
  </si>
  <si>
    <t>INV/2026/0199</t>
  </si>
  <si>
    <t>DH845990863</t>
  </si>
  <si>
    <t>15.8 kg</t>
  </si>
  <si>
    <t>$20.21</t>
  </si>
  <si>
    <t>Ryan Johnson</t>
  </si>
  <si>
    <t>TR-2025200</t>
  </si>
  <si>
    <t>EIN: 388567450</t>
  </si>
  <si>
    <t>487.970.8528</t>
  </si>
  <si>
    <t>304 Jones St.</t>
  </si>
  <si>
    <t>28928</t>
  </si>
  <si>
    <t>INV/2026/0200</t>
  </si>
  <si>
    <t>1.36 USD</t>
  </si>
  <si>
    <t>1Z827461138</t>
  </si>
  <si>
    <t>23.8 kg</t>
  </si>
  <si>
    <t>230,87</t>
  </si>
  <si>
    <t xml:space="preserve">Emily Jones  </t>
  </si>
  <si>
    <t>TR-2025201</t>
  </si>
  <si>
    <t>20250902</t>
  </si>
  <si>
    <t>headphones x 35</t>
  </si>
  <si>
    <t>426,49</t>
  </si>
  <si>
    <t>$7,250.33</t>
  </si>
  <si>
    <t>e-011</t>
  </si>
  <si>
    <t>Michael Taylor</t>
  </si>
  <si>
    <t xml:space="preserve">  vortex inc.</t>
  </si>
  <si>
    <t>710421594</t>
  </si>
  <si>
    <t>+1 414 399 4155</t>
  </si>
  <si>
    <t>877 Miller Blvd</t>
  </si>
  <si>
    <t>42047</t>
  </si>
  <si>
    <t>INV/2025/0201</t>
  </si>
  <si>
    <t>1Z828138764</t>
  </si>
  <si>
    <t>14,81</t>
  </si>
  <si>
    <t xml:space="preserve">Emily Taylor </t>
  </si>
  <si>
    <t>TR-2025202</t>
  </si>
  <si>
    <t>21-Dec-25</t>
  </si>
  <si>
    <t xml:space="preserve"> P_007</t>
  </si>
  <si>
    <t xml:space="preserve">HEADPHONES MAX 7 </t>
  </si>
  <si>
    <t xml:space="preserve">   SOFTWARE</t>
  </si>
  <si>
    <t>158,28</t>
  </si>
  <si>
    <t xml:space="preserve">  Wayne Ltd.</t>
  </si>
  <si>
    <t>383545965</t>
  </si>
  <si>
    <t>554.608.2287</t>
  </si>
  <si>
    <t>182 Miller Blvd</t>
  </si>
  <si>
    <t>98263</t>
  </si>
  <si>
    <t>INV/2025/0202</t>
  </si>
  <si>
    <t>29.20 USD</t>
  </si>
  <si>
    <t>DH882822215</t>
  </si>
  <si>
    <t>16.4 kg</t>
  </si>
  <si>
    <t>$4.75</t>
  </si>
  <si>
    <t>TR-2025203</t>
  </si>
  <si>
    <t>09/16/2025</t>
  </si>
  <si>
    <t xml:space="preserve">P-048 </t>
  </si>
  <si>
    <t xml:space="preserve">  License Plus 48</t>
  </si>
  <si>
    <t>655361302</t>
  </si>
  <si>
    <t>(769) 361-6663</t>
  </si>
  <si>
    <t>336 Anderson Ave</t>
  </si>
  <si>
    <t>48251</t>
  </si>
  <si>
    <t>INV/2025/0203</t>
  </si>
  <si>
    <t>16,01</t>
  </si>
  <si>
    <t>FX766240385</t>
  </si>
  <si>
    <t>29.6 kg</t>
  </si>
  <si>
    <t>254.46</t>
  </si>
  <si>
    <t>Jessica Brown</t>
  </si>
  <si>
    <t>TR-2025204</t>
  </si>
  <si>
    <t>09-Jun-25</t>
  </si>
  <si>
    <t>06/21/2025</t>
  </si>
  <si>
    <t>P13</t>
  </si>
  <si>
    <t>Monitor Max 13</t>
  </si>
  <si>
    <t>$930.42</t>
  </si>
  <si>
    <t>4652.10 USD</t>
  </si>
  <si>
    <t>e-007</t>
  </si>
  <si>
    <t xml:space="preserve">Globex INC  </t>
  </si>
  <si>
    <t>EIN: 538356468</t>
  </si>
  <si>
    <t>272.341.1735</t>
  </si>
  <si>
    <t>193 Smith Blvd</t>
  </si>
  <si>
    <t>27739</t>
  </si>
  <si>
    <t>INV/2025/0204</t>
  </si>
  <si>
    <t>46,62</t>
  </si>
  <si>
    <t>FX848550482</t>
  </si>
  <si>
    <t>sarah johnson</t>
  </si>
  <si>
    <t>TR-2025205</t>
  </si>
  <si>
    <t>03/20/2025</t>
  </si>
  <si>
    <t>2025-03-31</t>
  </si>
  <si>
    <t>USD 438</t>
  </si>
  <si>
    <t xml:space="preserve">acme inc  </t>
  </si>
  <si>
    <t>EIN: 399145364</t>
  </si>
  <si>
    <t>488.731.4666</t>
  </si>
  <si>
    <t>798 Johnson St.</t>
  </si>
  <si>
    <t>18874</t>
  </si>
  <si>
    <t>INV/2025/0205</t>
  </si>
  <si>
    <t>$35.14</t>
  </si>
  <si>
    <t>FX837467813</t>
  </si>
  <si>
    <t>13,13</t>
  </si>
  <si>
    <t xml:space="preserve">  MICHAEL WILLIAMS</t>
  </si>
  <si>
    <t>TR-2025206</t>
  </si>
  <si>
    <t>20251229</t>
  </si>
  <si>
    <t>03.01.2026</t>
  </si>
  <si>
    <t xml:space="preserve">P-013 </t>
  </si>
  <si>
    <t>930.42</t>
  </si>
  <si>
    <t>emma johnson</t>
  </si>
  <si>
    <t>729792359</t>
  </si>
  <si>
    <t>(440) 564-5512</t>
  </si>
  <si>
    <t>369 Jones Street</t>
  </si>
  <si>
    <t>70472</t>
  </si>
  <si>
    <t>INV/2025/0206</t>
  </si>
  <si>
    <t>$14.09</t>
  </si>
  <si>
    <t>1Z847736864</t>
  </si>
  <si>
    <t xml:space="preserve">  James Brown</t>
  </si>
  <si>
    <t>TR-2025207</t>
  </si>
  <si>
    <t>2025-11-07</t>
  </si>
  <si>
    <t>11.11.2025.</t>
  </si>
  <si>
    <t xml:space="preserve"> Cable Basic 51</t>
  </si>
  <si>
    <t>e-010</t>
  </si>
  <si>
    <t xml:space="preserve"> initech inc. </t>
  </si>
  <si>
    <t>893568717</t>
  </si>
  <si>
    <t>(984) 342-4130</t>
  </si>
  <si>
    <t>358 Johnson Blvd</t>
  </si>
  <si>
    <t>48758</t>
  </si>
  <si>
    <t>INV/2025/0207</t>
  </si>
  <si>
    <t>22.23 USD</t>
  </si>
  <si>
    <t>FX635748213</t>
  </si>
  <si>
    <t>28,57</t>
  </si>
  <si>
    <t>466.49 USD</t>
  </si>
  <si>
    <t>James Davis</t>
  </si>
  <si>
    <t>TR-2025208</t>
  </si>
  <si>
    <t>24.01.2026</t>
  </si>
  <si>
    <t>01.02.2026</t>
  </si>
  <si>
    <t>USD 5,767</t>
  </si>
  <si>
    <t xml:space="preserve">  John Miller </t>
  </si>
  <si>
    <t>EIN: 782814929</t>
  </si>
  <si>
    <t>+1 873 608 4788</t>
  </si>
  <si>
    <t>984 Anderson St.</t>
  </si>
  <si>
    <t>77421</t>
  </si>
  <si>
    <t>INV/2026/0208</t>
  </si>
  <si>
    <t>43.36 USD</t>
  </si>
  <si>
    <t>1Z678511669</t>
  </si>
  <si>
    <t>27,55</t>
  </si>
  <si>
    <t>173,01</t>
  </si>
  <si>
    <t xml:space="preserve">Sarah Davis   </t>
  </si>
  <si>
    <t>TR-2025209</t>
  </si>
  <si>
    <t>15.10.2025</t>
  </si>
  <si>
    <t>21.10.2025</t>
  </si>
  <si>
    <t>$870.54</t>
  </si>
  <si>
    <t>EIN: 321755434</t>
  </si>
  <si>
    <t>(233) 728-7428</t>
  </si>
  <si>
    <t>821 Johnson St.</t>
  </si>
  <si>
    <t>62577</t>
  </si>
  <si>
    <t>INV/2025/0209</t>
  </si>
  <si>
    <t>1Z694468571</t>
  </si>
  <si>
    <t>5,7</t>
  </si>
  <si>
    <t>26.12 USD</t>
  </si>
  <si>
    <t>TR-2025210</t>
  </si>
  <si>
    <t>2026-05-28</t>
  </si>
  <si>
    <t>04.06.2026.</t>
  </si>
  <si>
    <t>p017</t>
  </si>
  <si>
    <t>chair max 17</t>
  </si>
  <si>
    <t>$24,953.27</t>
  </si>
  <si>
    <t>robert davis</t>
  </si>
  <si>
    <t>821237210</t>
  </si>
  <si>
    <t>+1 715 285 3288</t>
  </si>
  <si>
    <t>164 Smith Ave</t>
  </si>
  <si>
    <t>67562</t>
  </si>
  <si>
    <t>INV/2026/0210</t>
  </si>
  <si>
    <t>9,97</t>
  </si>
  <si>
    <t>DH561805715</t>
  </si>
  <si>
    <t>11,07</t>
  </si>
  <si>
    <t>Olivia Brown</t>
  </si>
  <si>
    <t>TR-2025211</t>
  </si>
  <si>
    <t>2025-09-15</t>
  </si>
  <si>
    <t>23.09.2025.</t>
  </si>
  <si>
    <t>EIN: 730984824</t>
  </si>
  <si>
    <t>817.982.1345</t>
  </si>
  <si>
    <t>106 Brown St.</t>
  </si>
  <si>
    <t>82557</t>
  </si>
  <si>
    <t>INV/2025/0211</t>
  </si>
  <si>
    <t>38.51</t>
  </si>
  <si>
    <t>FX636189501</t>
  </si>
  <si>
    <t>20,68</t>
  </si>
  <si>
    <t xml:space="preserve"> Robert Davis</t>
  </si>
  <si>
    <t>TR-2025212</t>
  </si>
  <si>
    <t>16.11.2025</t>
  </si>
  <si>
    <t>23-Nov-25</t>
  </si>
  <si>
    <t xml:space="preserve">SOFTWARE  </t>
  </si>
  <si>
    <t>24506.16 USD</t>
  </si>
  <si>
    <t xml:space="preserve">Wayne inc </t>
  </si>
  <si>
    <t>EIN: 204246543</t>
  </si>
  <si>
    <t>+1 871 681 6546</t>
  </si>
  <si>
    <t>515 Brown St.</t>
  </si>
  <si>
    <t>33631</t>
  </si>
  <si>
    <t>INV/2025/0212</t>
  </si>
  <si>
    <t>$42.88</t>
  </si>
  <si>
    <t>FX937660904</t>
  </si>
  <si>
    <t>12,08</t>
  </si>
  <si>
    <t xml:space="preserve">Emily Smith </t>
  </si>
  <si>
    <t>TR-2025213</t>
  </si>
  <si>
    <t>29.07.2025</t>
  </si>
  <si>
    <t>04.08.2025.</t>
  </si>
  <si>
    <t>P10</t>
  </si>
  <si>
    <t>Headphones Basic 10</t>
  </si>
  <si>
    <t>8 kom</t>
  </si>
  <si>
    <t>9800,88</t>
  </si>
  <si>
    <t xml:space="preserve">Emma Johnson  </t>
  </si>
  <si>
    <t>EIN: 742549494</t>
  </si>
  <si>
    <t>(574) 637-6462</t>
  </si>
  <si>
    <t>849 Jones Ave</t>
  </si>
  <si>
    <t>INV/2025/0213</t>
  </si>
  <si>
    <t>5.66 USD</t>
  </si>
  <si>
    <t>1Z162032389</t>
  </si>
  <si>
    <t>9,85</t>
  </si>
  <si>
    <t>USD 294</t>
  </si>
  <si>
    <t xml:space="preserve">   Daniel Taylor   </t>
  </si>
  <si>
    <t>TR-2025214</t>
  </si>
  <si>
    <t>2025-04-15</t>
  </si>
  <si>
    <t>18-Apr-25</t>
  </si>
  <si>
    <t xml:space="preserve">P-003 </t>
  </si>
  <si>
    <t>Laptop Max 3</t>
  </si>
  <si>
    <t>61,06</t>
  </si>
  <si>
    <t xml:space="preserve">stark ltd.   </t>
  </si>
  <si>
    <t>EIN: 432053739</t>
  </si>
  <si>
    <t>+1 320 331 3544</t>
  </si>
  <si>
    <t>302 Brown Ave</t>
  </si>
  <si>
    <t>79269</t>
  </si>
  <si>
    <t>INV/2025/0214</t>
  </si>
  <si>
    <t>USD 38</t>
  </si>
  <si>
    <t>DH607896606</t>
  </si>
  <si>
    <t>0,29</t>
  </si>
  <si>
    <t>58,62</t>
  </si>
  <si>
    <t xml:space="preserve">   Emily Jones</t>
  </si>
  <si>
    <t>Emily Jones</t>
  </si>
  <si>
    <t>TR-2025215</t>
  </si>
  <si>
    <t>2026-02-25</t>
  </si>
  <si>
    <t>20260226</t>
  </si>
  <si>
    <t xml:space="preserve"> P_009</t>
  </si>
  <si>
    <t xml:space="preserve">   Chair Plus 9</t>
  </si>
  <si>
    <t>USD 813</t>
  </si>
  <si>
    <t>22.773,24</t>
  </si>
  <si>
    <t>743232912</t>
  </si>
  <si>
    <t>+1 594 735 2991</t>
  </si>
  <si>
    <t>385 Taylor Ave</t>
  </si>
  <si>
    <t>34543</t>
  </si>
  <si>
    <t>INV/2026/0215</t>
  </si>
  <si>
    <t>33,47</t>
  </si>
  <si>
    <t>DH596301155</t>
  </si>
  <si>
    <t>683.20</t>
  </si>
  <si>
    <t xml:space="preserve">JESSICA ANDERSON </t>
  </si>
  <si>
    <t>TR-2025216</t>
  </si>
  <si>
    <t>20260808</t>
  </si>
  <si>
    <t xml:space="preserve"> keyboard max 59</t>
  </si>
  <si>
    <t>16166.64 USD</t>
  </si>
  <si>
    <t>WAYNE INC.</t>
  </si>
  <si>
    <t>455122709</t>
  </si>
  <si>
    <t>+1 487 803 9199</t>
  </si>
  <si>
    <t>747 Wilson St.</t>
  </si>
  <si>
    <t>77300</t>
  </si>
  <si>
    <t>INV/2026/0216</t>
  </si>
  <si>
    <t>6.76 USD</t>
  </si>
  <si>
    <t>1Z755336499</t>
  </si>
  <si>
    <t>USD 485</t>
  </si>
  <si>
    <t xml:space="preserve">   RYAN JONES   </t>
  </si>
  <si>
    <t>Ryan Jones</t>
  </si>
  <si>
    <t>TR-2025217</t>
  </si>
  <si>
    <t>2026-01-25</t>
  </si>
  <si>
    <t>02/03/2026</t>
  </si>
  <si>
    <t>1166.96</t>
  </si>
  <si>
    <t>3500.88</t>
  </si>
  <si>
    <t>EIN: 179446427</t>
  </si>
  <si>
    <t>+1 938 771 9029</t>
  </si>
  <si>
    <t>298 Miller Street</t>
  </si>
  <si>
    <t>47456</t>
  </si>
  <si>
    <t>INV/2026/0217</t>
  </si>
  <si>
    <t>USD 29</t>
  </si>
  <si>
    <t>FX420998846</t>
  </si>
  <si>
    <t>TR-2025218</t>
  </si>
  <si>
    <t>20250518</t>
  </si>
  <si>
    <t>2025-05-25</t>
  </si>
  <si>
    <t xml:space="preserve"> P_033</t>
  </si>
  <si>
    <t>printer x 33</t>
  </si>
  <si>
    <t>17</t>
  </si>
  <si>
    <t>2.194,02</t>
  </si>
  <si>
    <t>e-022</t>
  </si>
  <si>
    <t xml:space="preserve">chris williams </t>
  </si>
  <si>
    <t>EIN: 452334804</t>
  </si>
  <si>
    <t>(565) 981-7826</t>
  </si>
  <si>
    <t>329 Smith St.</t>
  </si>
  <si>
    <t>INV/2025/0218</t>
  </si>
  <si>
    <t>DH795443565</t>
  </si>
  <si>
    <t>3,47</t>
  </si>
  <si>
    <t>TR-2025219</t>
  </si>
  <si>
    <t>21.01.2025.</t>
  </si>
  <si>
    <t>20250123</t>
  </si>
  <si>
    <t xml:space="preserve">  GLOBEX LLC   </t>
  </si>
  <si>
    <t>687879260</t>
  </si>
  <si>
    <t>+1 389 302 9515</t>
  </si>
  <si>
    <t>488 Anderson Street</t>
  </si>
  <si>
    <t>52800</t>
  </si>
  <si>
    <t>INV/2025/0219</t>
  </si>
  <si>
    <t>$15.31</t>
  </si>
  <si>
    <t>DH969772140</t>
  </si>
  <si>
    <t>24.9 kg</t>
  </si>
  <si>
    <t>66.20</t>
  </si>
  <si>
    <t>TR-2025220</t>
  </si>
  <si>
    <t>19.07.2026</t>
  </si>
  <si>
    <t>07/26/2026</t>
  </si>
  <si>
    <t xml:space="preserve"> P_025</t>
  </si>
  <si>
    <t xml:space="preserve"> chair max 25</t>
  </si>
  <si>
    <t>6457.05 USD</t>
  </si>
  <si>
    <t>939351137</t>
  </si>
  <si>
    <t>968.773.1517</t>
  </si>
  <si>
    <t>351 Jones Street</t>
  </si>
  <si>
    <t>96695</t>
  </si>
  <si>
    <t>INV/2026/0220</t>
  </si>
  <si>
    <t>$42.36</t>
  </si>
  <si>
    <t>DH102628075</t>
  </si>
  <si>
    <t xml:space="preserve">Sophia Brown </t>
  </si>
  <si>
    <t>TR-2025221</t>
  </si>
  <si>
    <t>01-Dec-25</t>
  </si>
  <si>
    <t>15.12.2025</t>
  </si>
  <si>
    <t>p042</t>
  </si>
  <si>
    <t>3793.44 USD</t>
  </si>
  <si>
    <t xml:space="preserve">   OLIVIA ANDERSON</t>
  </si>
  <si>
    <t xml:space="preserve">   Globex LLC</t>
  </si>
  <si>
    <t>165048379</t>
  </si>
  <si>
    <t>+1 230 800 7987</t>
  </si>
  <si>
    <t>67 Anderson Street</t>
  </si>
  <si>
    <t>01496</t>
  </si>
  <si>
    <t>INV/2025/0221</t>
  </si>
  <si>
    <t>1Z753784688</t>
  </si>
  <si>
    <t>2.7 kg</t>
  </si>
  <si>
    <t xml:space="preserve"> Sophia Anderson</t>
  </si>
  <si>
    <t>Sophia Anderson</t>
  </si>
  <si>
    <t>TR-2025222</t>
  </si>
  <si>
    <t>27.06.2026</t>
  </si>
  <si>
    <t>29.06.2026</t>
  </si>
  <si>
    <t>desk x 27</t>
  </si>
  <si>
    <t>20</t>
  </si>
  <si>
    <t>3601,20</t>
  </si>
  <si>
    <t xml:space="preserve">MICHAEL WILLIAMS   </t>
  </si>
  <si>
    <t>438353148</t>
  </si>
  <si>
    <t>841.380.2025</t>
  </si>
  <si>
    <t>327 Taylor Street</t>
  </si>
  <si>
    <t>53282</t>
  </si>
  <si>
    <t>INV/2026/0222</t>
  </si>
  <si>
    <t>FX541217176</t>
  </si>
  <si>
    <t>Daniel Johnson</t>
  </si>
  <si>
    <t>TR-2025223</t>
  </si>
  <si>
    <t>2026-01-23</t>
  </si>
  <si>
    <t>31.01.2026</t>
  </si>
  <si>
    <t xml:space="preserve">P-038 </t>
  </si>
  <si>
    <t>$15,128.96</t>
  </si>
  <si>
    <t>EIN: 155605536</t>
  </si>
  <si>
    <t>+1 844 458 1411</t>
  </si>
  <si>
    <t>84 Johnson Blvd</t>
  </si>
  <si>
    <t>03592</t>
  </si>
  <si>
    <t>INV/2026/0223</t>
  </si>
  <si>
    <t>DH305446725</t>
  </si>
  <si>
    <t>10.7 kg</t>
  </si>
  <si>
    <t>TR-2025224</t>
  </si>
  <si>
    <t>20250605</t>
  </si>
  <si>
    <t>06-Jun-25</t>
  </si>
  <si>
    <t xml:space="preserve">Wayne Inc.   </t>
  </si>
  <si>
    <t>EIN: 159548620</t>
  </si>
  <si>
    <t>547.851.2211</t>
  </si>
  <si>
    <t>992 Johnson Blvd</t>
  </si>
  <si>
    <t>66935</t>
  </si>
  <si>
    <t>INV/2025/0224</t>
  </si>
  <si>
    <t>49,37</t>
  </si>
  <si>
    <t>1Z258861636</t>
  </si>
  <si>
    <t xml:space="preserve">  david smith  </t>
  </si>
  <si>
    <t>TR-2025225</t>
  </si>
  <si>
    <t>07.05.2026.</t>
  </si>
  <si>
    <t>17.05.2026.</t>
  </si>
  <si>
    <t xml:space="preserve"> P_047</t>
  </si>
  <si>
    <t xml:space="preserve">Monitor Pro 47  </t>
  </si>
  <si>
    <t>USD 1,490</t>
  </si>
  <si>
    <t>56608.22</t>
  </si>
  <si>
    <t xml:space="preserve">Acme Ltd.  </t>
  </si>
  <si>
    <t>163925368</t>
  </si>
  <si>
    <t>415.646.2860</t>
  </si>
  <si>
    <t>984 Wilson Ave</t>
  </si>
  <si>
    <t>16359</t>
  </si>
  <si>
    <t>INV/2026/0225</t>
  </si>
  <si>
    <t>DH990347317</t>
  </si>
  <si>
    <t>9.5 kg</t>
  </si>
  <si>
    <t>1698.25</t>
  </si>
  <si>
    <t xml:space="preserve"> Emily Taylor</t>
  </si>
  <si>
    <t>TR-2025226</t>
  </si>
  <si>
    <t>20250524</t>
  </si>
  <si>
    <t xml:space="preserve">P-039 </t>
  </si>
  <si>
    <t>601.47 USD</t>
  </si>
  <si>
    <t>10224,99</t>
  </si>
  <si>
    <t xml:space="preserve">Sophia Taylor  </t>
  </si>
  <si>
    <t xml:space="preserve">Vortex inc  </t>
  </si>
  <si>
    <t>957377385</t>
  </si>
  <si>
    <t>+1 979 311 3191</t>
  </si>
  <si>
    <t>325 Johnson Blvd</t>
  </si>
  <si>
    <t>05967</t>
  </si>
  <si>
    <t>INV/2025/0226</t>
  </si>
  <si>
    <t>13.57</t>
  </si>
  <si>
    <t>FX523479346</t>
  </si>
  <si>
    <t>10.6 kg</t>
  </si>
  <si>
    <t xml:space="preserve"> Emily Williams</t>
  </si>
  <si>
    <t>TR-2025227</t>
  </si>
  <si>
    <t>05/31/2026</t>
  </si>
  <si>
    <t>09-Jun-26</t>
  </si>
  <si>
    <t>P8</t>
  </si>
  <si>
    <t>Keyboard Pro 8</t>
  </si>
  <si>
    <t xml:space="preserve">equipment   </t>
  </si>
  <si>
    <t xml:space="preserve">   acme inc</t>
  </si>
  <si>
    <t>311127945</t>
  </si>
  <si>
    <t>534.935.4844</t>
  </si>
  <si>
    <t>412 Anderson St.</t>
  </si>
  <si>
    <t>INV/2026/0227</t>
  </si>
  <si>
    <t>DH597309878</t>
  </si>
  <si>
    <t>463,83</t>
  </si>
  <si>
    <t>Laura Taylor</t>
  </si>
  <si>
    <t>TR-2025228</t>
  </si>
  <si>
    <t>2025-04-24</t>
  </si>
  <si>
    <t>25-Apr-25</t>
  </si>
  <si>
    <t>2 kom.</t>
  </si>
  <si>
    <t>687.68 USD</t>
  </si>
  <si>
    <t>1375.36</t>
  </si>
  <si>
    <t xml:space="preserve">Sarah Jones  </t>
  </si>
  <si>
    <t xml:space="preserve">umbrella inc   </t>
  </si>
  <si>
    <t>790050425</t>
  </si>
  <si>
    <t>+1 678 588 9851</t>
  </si>
  <si>
    <t>35811</t>
  </si>
  <si>
    <t>INV/2025/0228</t>
  </si>
  <si>
    <t>3,53</t>
  </si>
  <si>
    <t>DH882282213</t>
  </si>
  <si>
    <t>5,71</t>
  </si>
  <si>
    <t xml:space="preserve"> michael davis   </t>
  </si>
  <si>
    <t>TR-2025229</t>
  </si>
  <si>
    <t>27.11.2025.</t>
  </si>
  <si>
    <t>09.12.2025</t>
  </si>
  <si>
    <t>p013</t>
  </si>
  <si>
    <t xml:space="preserve">Monitor Max 13   </t>
  </si>
  <si>
    <t>28 kom</t>
  </si>
  <si>
    <t>USD 930</t>
  </si>
  <si>
    <t>$26,051.76</t>
  </si>
  <si>
    <t>Vortex INC</t>
  </si>
  <si>
    <t>922778594</t>
  </si>
  <si>
    <t>+1 325 721 2082</t>
  </si>
  <si>
    <t>515 Smith Street</t>
  </si>
  <si>
    <t>18970</t>
  </si>
  <si>
    <t>INV/2025/0229</t>
  </si>
  <si>
    <t>DH867128072</t>
  </si>
  <si>
    <t>$781.55</t>
  </si>
  <si>
    <t xml:space="preserve">chris wilson  </t>
  </si>
  <si>
    <t>TR-2025230</t>
  </si>
  <si>
    <t>2025-02-21</t>
  </si>
  <si>
    <t>03.03.2025.</t>
  </si>
  <si>
    <t xml:space="preserve"> P_060</t>
  </si>
  <si>
    <t>2007.54</t>
  </si>
  <si>
    <t>562199804</t>
  </si>
  <si>
    <t>803.971.7922</t>
  </si>
  <si>
    <t>387 Wilson Ave</t>
  </si>
  <si>
    <t>03196</t>
  </si>
  <si>
    <t>INV/2025/0230</t>
  </si>
  <si>
    <t>12.27 USD</t>
  </si>
  <si>
    <t>FX863047527</t>
  </si>
  <si>
    <t xml:space="preserve">   Ryan Williams</t>
  </si>
  <si>
    <t>TR-2025231</t>
  </si>
  <si>
    <t>06.07.2025.</t>
  </si>
  <si>
    <t>2025-07-17</t>
  </si>
  <si>
    <t>P30</t>
  </si>
  <si>
    <t xml:space="preserve">License Pro 30 </t>
  </si>
  <si>
    <t>$676.54</t>
  </si>
  <si>
    <t>USD 2,030</t>
  </si>
  <si>
    <t>EIN: 245111362</t>
  </si>
  <si>
    <t>(687) 514-3474</t>
  </si>
  <si>
    <t>316 Brown Blvd</t>
  </si>
  <si>
    <t>61075</t>
  </si>
  <si>
    <t>INV/2025/0231</t>
  </si>
  <si>
    <t>FX255400797</t>
  </si>
  <si>
    <t xml:space="preserve">   John Anderson</t>
  </si>
  <si>
    <t>TR-2025232</t>
  </si>
  <si>
    <t>07/16/2025</t>
  </si>
  <si>
    <t>07/20/2025</t>
  </si>
  <si>
    <t xml:space="preserve">P-035 </t>
  </si>
  <si>
    <t>USD 426</t>
  </si>
  <si>
    <t>5117.88</t>
  </si>
  <si>
    <t>459265082</t>
  </si>
  <si>
    <t>(531) 436-5593</t>
  </si>
  <si>
    <t>72 Jones Blvd</t>
  </si>
  <si>
    <t>23622</t>
  </si>
  <si>
    <t>INV/2025/0232</t>
  </si>
  <si>
    <t>USD 45</t>
  </si>
  <si>
    <t>1Z581194794</t>
  </si>
  <si>
    <t>TR-2025299</t>
  </si>
  <si>
    <t>20251202</t>
  </si>
  <si>
    <t>12-Dec-25</t>
  </si>
  <si>
    <t>24 kom.</t>
  </si>
  <si>
    <t>8754.96 USD</t>
  </si>
  <si>
    <t xml:space="preserve">  INITECH LLC</t>
  </si>
  <si>
    <t>673589146</t>
  </si>
  <si>
    <t>+1 878 842 8773</t>
  </si>
  <si>
    <t>287 Anderson St.</t>
  </si>
  <si>
    <t>08215</t>
  </si>
  <si>
    <t>INV/2025/0299</t>
  </si>
  <si>
    <t>FX863447713</t>
  </si>
  <si>
    <t xml:space="preserve">Daniel Smith  </t>
  </si>
  <si>
    <t>TR-2025233</t>
  </si>
  <si>
    <t>20260604</t>
  </si>
  <si>
    <t>P-056</t>
  </si>
  <si>
    <t>Keyboard X 56</t>
  </si>
  <si>
    <t xml:space="preserve"> Vortex LLC</t>
  </si>
  <si>
    <t>EIN: 853703743</t>
  </si>
  <si>
    <t>(558) 769-7458</t>
  </si>
  <si>
    <t>62 Miller St.</t>
  </si>
  <si>
    <t>42165</t>
  </si>
  <si>
    <t>INV/2026/0233</t>
  </si>
  <si>
    <t>FX925282290</t>
  </si>
  <si>
    <t>16,31</t>
  </si>
  <si>
    <t xml:space="preserve">   robert brown</t>
  </si>
  <si>
    <t>Robert Brown</t>
  </si>
  <si>
    <t>TR-2025234</t>
  </si>
  <si>
    <t>20250808</t>
  </si>
  <si>
    <t>2025-08-14</t>
  </si>
  <si>
    <t xml:space="preserve">P-050 </t>
  </si>
  <si>
    <t>553,42</t>
  </si>
  <si>
    <t>373476170</t>
  </si>
  <si>
    <t>(653) 701-3259</t>
  </si>
  <si>
    <t>500 Anderson Street</t>
  </si>
  <si>
    <t>05360</t>
  </si>
  <si>
    <t>INV/2025/0234</t>
  </si>
  <si>
    <t>$10.68</t>
  </si>
  <si>
    <t>1Z647470984</t>
  </si>
  <si>
    <t>16,60</t>
  </si>
  <si>
    <t>Laura Jones</t>
  </si>
  <si>
    <t>TR-2025236</t>
  </si>
  <si>
    <t>02.03.2025.</t>
  </si>
  <si>
    <t>07.03.2025</t>
  </si>
  <si>
    <t xml:space="preserve"> P_040</t>
  </si>
  <si>
    <t>2843,74</t>
  </si>
  <si>
    <t>laura williams</t>
  </si>
  <si>
    <t>967299438</t>
  </si>
  <si>
    <t>727.715.5524</t>
  </si>
  <si>
    <t>287 Taylor St.</t>
  </si>
  <si>
    <t>27796</t>
  </si>
  <si>
    <t>INV/2025/0236</t>
  </si>
  <si>
    <t>24.74</t>
  </si>
  <si>
    <t>FX725878217</t>
  </si>
  <si>
    <t>0,63</t>
  </si>
  <si>
    <t xml:space="preserve">  SOPHIA WILSON</t>
  </si>
  <si>
    <t>Sophia Wilson</t>
  </si>
  <si>
    <t>TR-2025237</t>
  </si>
  <si>
    <t>20260123</t>
  </si>
  <si>
    <t>06.02.2026.</t>
  </si>
  <si>
    <t xml:space="preserve">P-024 </t>
  </si>
  <si>
    <t>USD 96</t>
  </si>
  <si>
    <t>1435.50</t>
  </si>
  <si>
    <t>E014</t>
  </si>
  <si>
    <t>EIN: 102487431</t>
  </si>
  <si>
    <t>(535) 561-9572</t>
  </si>
  <si>
    <t>100 Brown Ave</t>
  </si>
  <si>
    <t>65331</t>
  </si>
  <si>
    <t>INV/2026/0237</t>
  </si>
  <si>
    <t>1Z665337271</t>
  </si>
  <si>
    <t>5.3 kg</t>
  </si>
  <si>
    <t xml:space="preserve"> DAVID MILLER</t>
  </si>
  <si>
    <t>TR-2025238</t>
  </si>
  <si>
    <t>01.02.2025</t>
  </si>
  <si>
    <t>2025-02-11</t>
  </si>
  <si>
    <t xml:space="preserve">  Chair Basic 46</t>
  </si>
  <si>
    <t>14.834,34</t>
  </si>
  <si>
    <t xml:space="preserve">Chris Anderson </t>
  </si>
  <si>
    <t>351242005</t>
  </si>
  <si>
    <t>+1 775 690 4793</t>
  </si>
  <si>
    <t>532 Johnson Street</t>
  </si>
  <si>
    <t>51293</t>
  </si>
  <si>
    <t>INV/2025/0238</t>
  </si>
  <si>
    <t>49,55</t>
  </si>
  <si>
    <t>FX658540975</t>
  </si>
  <si>
    <t>$445.03</t>
  </si>
  <si>
    <t>TR-2025239</t>
  </si>
  <si>
    <t>20250223</t>
  </si>
  <si>
    <t>2025-02-25</t>
  </si>
  <si>
    <t>globex inc.</t>
  </si>
  <si>
    <t>394013445</t>
  </si>
  <si>
    <t>937.684.3461</t>
  </si>
  <si>
    <t>75 Williams Blvd</t>
  </si>
  <si>
    <t>07313</t>
  </si>
  <si>
    <t>INV/2025/0239</t>
  </si>
  <si>
    <t>26,94</t>
  </si>
  <si>
    <t>1Z728357567</t>
  </si>
  <si>
    <t>17,13</t>
  </si>
  <si>
    <t>103,15</t>
  </si>
  <si>
    <t>Olivia Miller</t>
  </si>
  <si>
    <t>TR-2025240</t>
  </si>
  <si>
    <t>15.06.2026</t>
  </si>
  <si>
    <t xml:space="preserve"> P_048</t>
  </si>
  <si>
    <t xml:space="preserve">License Plus 48 </t>
  </si>
  <si>
    <t xml:space="preserve">SOFTWARE </t>
  </si>
  <si>
    <t>4</t>
  </si>
  <si>
    <t>471,22</t>
  </si>
  <si>
    <t xml:space="preserve">   LAURA MILLER</t>
  </si>
  <si>
    <t>792074559</t>
  </si>
  <si>
    <t>511.352.3985</t>
  </si>
  <si>
    <t>112 Jones St.</t>
  </si>
  <si>
    <t>67805</t>
  </si>
  <si>
    <t>INV/2026/0240</t>
  </si>
  <si>
    <t>$24.63</t>
  </si>
  <si>
    <t>FX668463398</t>
  </si>
  <si>
    <t>USD 57</t>
  </si>
  <si>
    <t xml:space="preserve">Daniel Davis   </t>
  </si>
  <si>
    <t>TR-2025241</t>
  </si>
  <si>
    <t>20-Apr-26</t>
  </si>
  <si>
    <t>20260424</t>
  </si>
  <si>
    <t>p007</t>
  </si>
  <si>
    <t>headphones max 7</t>
  </si>
  <si>
    <t>EIN: 946904110</t>
  </si>
  <si>
    <t>+1 818 423 2437</t>
  </si>
  <si>
    <t>27 Taylor Blvd</t>
  </si>
  <si>
    <t>93055</t>
  </si>
  <si>
    <t>INV/2026/0241</t>
  </si>
  <si>
    <t>$4.74</t>
  </si>
  <si>
    <t>FX672945917</t>
  </si>
  <si>
    <t>28,41</t>
  </si>
  <si>
    <t>TR-2025242</t>
  </si>
  <si>
    <t>20250916</t>
  </si>
  <si>
    <t xml:space="preserve">Office </t>
  </si>
  <si>
    <t>801.23</t>
  </si>
  <si>
    <t>5.608,61</t>
  </si>
  <si>
    <t xml:space="preserve">OLIVIA ANDERSON </t>
  </si>
  <si>
    <t>EIN: 626359417</t>
  </si>
  <si>
    <t>703.942.7685</t>
  </si>
  <si>
    <t>839 Davis Street</t>
  </si>
  <si>
    <t>INV/2025/0242</t>
  </si>
  <si>
    <t>1Z360690085</t>
  </si>
  <si>
    <t>4,27</t>
  </si>
  <si>
    <t>168,26</t>
  </si>
  <si>
    <t>JOHN WILSON</t>
  </si>
  <si>
    <t>TR-2025243</t>
  </si>
  <si>
    <t>2025-10-12</t>
  </si>
  <si>
    <t>20251017</t>
  </si>
  <si>
    <t xml:space="preserve">Cable Basic 32  </t>
  </si>
  <si>
    <t>109597773</t>
  </si>
  <si>
    <t>(879) 396-8296</t>
  </si>
  <si>
    <t>95447</t>
  </si>
  <si>
    <t>INV/2025/0243</t>
  </si>
  <si>
    <t>29.57 USD</t>
  </si>
  <si>
    <t>FX502235299</t>
  </si>
  <si>
    <t xml:space="preserve">   Olivia Williams</t>
  </si>
  <si>
    <t>TR-2025244</t>
  </si>
  <si>
    <t>12-Aug-25</t>
  </si>
  <si>
    <t>25.08.2025.</t>
  </si>
  <si>
    <t>P57</t>
  </si>
  <si>
    <t xml:space="preserve">   KEYBOARD X 57</t>
  </si>
  <si>
    <t>27 kom</t>
  </si>
  <si>
    <t>$741.71</t>
  </si>
  <si>
    <t>20026,17</t>
  </si>
  <si>
    <t xml:space="preserve"> Wayne INC</t>
  </si>
  <si>
    <t>EIN: 756802883</t>
  </si>
  <si>
    <t>656.803.6141</t>
  </si>
  <si>
    <t>756 Taylor Ave</t>
  </si>
  <si>
    <t>99045</t>
  </si>
  <si>
    <t>INV/2025/0244</t>
  </si>
  <si>
    <t>21,27</t>
  </si>
  <si>
    <t>DH774151035</t>
  </si>
  <si>
    <t>26.1 kg</t>
  </si>
  <si>
    <t xml:space="preserve"> daniel smith</t>
  </si>
  <si>
    <t>Daniel Smith</t>
  </si>
  <si>
    <t>TR-2025245</t>
  </si>
  <si>
    <t>10/18/2025</t>
  </si>
  <si>
    <t>27.10.2025.</t>
  </si>
  <si>
    <t>P-043</t>
  </si>
  <si>
    <t>2193,66</t>
  </si>
  <si>
    <t>434573960</t>
  </si>
  <si>
    <t>(661) 415-1660</t>
  </si>
  <si>
    <t>693 Williams Street</t>
  </si>
  <si>
    <t>13322</t>
  </si>
  <si>
    <t>INV/2025/0245</t>
  </si>
  <si>
    <t>$24.61</t>
  </si>
  <si>
    <t>FX834049237</t>
  </si>
  <si>
    <t>9.8 kg</t>
  </si>
  <si>
    <t>$65.81</t>
  </si>
  <si>
    <t>emily taylor</t>
  </si>
  <si>
    <t>Emily Taylor</t>
  </si>
  <si>
    <t>TR-2025246</t>
  </si>
  <si>
    <t>01/20/2025</t>
  </si>
  <si>
    <t>20250122</t>
  </si>
  <si>
    <t>P26</t>
  </si>
  <si>
    <t xml:space="preserve"> Umbrella INC</t>
  </si>
  <si>
    <t>EIN: 459101804</t>
  </si>
  <si>
    <t>+1 409 348 6751</t>
  </si>
  <si>
    <t>710 Brown Ave</t>
  </si>
  <si>
    <t>15683</t>
  </si>
  <si>
    <t>INV/2025/0246</t>
  </si>
  <si>
    <t>$15.33</t>
  </si>
  <si>
    <t>1Z965624971</t>
  </si>
  <si>
    <t>John Taylor</t>
  </si>
  <si>
    <t>TR-2025247</t>
  </si>
  <si>
    <t>20250626</t>
  </si>
  <si>
    <t>02.07.2025</t>
  </si>
  <si>
    <t xml:space="preserve">  furniture</t>
  </si>
  <si>
    <t xml:space="preserve">E007 </t>
  </si>
  <si>
    <t>EIN: 158608319</t>
  </si>
  <si>
    <t>+1 493 442 2079</t>
  </si>
  <si>
    <t>654 Taylor St.</t>
  </si>
  <si>
    <t>06398</t>
  </si>
  <si>
    <t>INV/2025/0247</t>
  </si>
  <si>
    <t>1Z128895119</t>
  </si>
  <si>
    <t>464.79</t>
  </si>
  <si>
    <t xml:space="preserve">Laura Johnson </t>
  </si>
  <si>
    <t>TR-2025248</t>
  </si>
  <si>
    <t>21.06.2025</t>
  </si>
  <si>
    <t>25.06.2025</t>
  </si>
  <si>
    <t xml:space="preserve"> P_015</t>
  </si>
  <si>
    <t>8 kom.</t>
  </si>
  <si>
    <t>684084920</t>
  </si>
  <si>
    <t>+1 255 257 5793</t>
  </si>
  <si>
    <t>230 Jones St.</t>
  </si>
  <si>
    <t>03993</t>
  </si>
  <si>
    <t>INV/2025/0248</t>
  </si>
  <si>
    <t>6,92</t>
  </si>
  <si>
    <t>DH923409236</t>
  </si>
  <si>
    <t>0,32</t>
  </si>
  <si>
    <t>USD 131</t>
  </si>
  <si>
    <t>Sophia Smith</t>
  </si>
  <si>
    <t>TR-2025249</t>
  </si>
  <si>
    <t>28.07.2026.</t>
  </si>
  <si>
    <t>20260731</t>
  </si>
  <si>
    <t xml:space="preserve">Monitor Max 13 </t>
  </si>
  <si>
    <t>EMP25</t>
  </si>
  <si>
    <t xml:space="preserve">STARK INC  </t>
  </si>
  <si>
    <t>346073231</t>
  </si>
  <si>
    <t>+1 525 607 6866</t>
  </si>
  <si>
    <t>521 Brown Street</t>
  </si>
  <si>
    <t>93864</t>
  </si>
  <si>
    <t>INV/2026/0249</t>
  </si>
  <si>
    <t>FX279674026</t>
  </si>
  <si>
    <t>669,90</t>
  </si>
  <si>
    <t>TR-2025250</t>
  </si>
  <si>
    <t>25.04.2026.</t>
  </si>
  <si>
    <t xml:space="preserve">   Mouse Pro 11</t>
  </si>
  <si>
    <t>14.602,15</t>
  </si>
  <si>
    <t xml:space="preserve">Wayne Ltd. </t>
  </si>
  <si>
    <t>EIN: 107349626</t>
  </si>
  <si>
    <t>(760) 585-7392</t>
  </si>
  <si>
    <t>20 Taylor Street</t>
  </si>
  <si>
    <t>09495</t>
  </si>
  <si>
    <t>INV/2026/0250</t>
  </si>
  <si>
    <t>FX935631399</t>
  </si>
  <si>
    <t>27,58</t>
  </si>
  <si>
    <t>TR-2025251</t>
  </si>
  <si>
    <t>03.01.2026.</t>
  </si>
  <si>
    <t>16.01.2026.</t>
  </si>
  <si>
    <t xml:space="preserve">  printer plus 4</t>
  </si>
  <si>
    <t xml:space="preserve">   INITECH LTD.</t>
  </si>
  <si>
    <t>881129289</t>
  </si>
  <si>
    <t>548.541.4734</t>
  </si>
  <si>
    <t>352 Miller Blvd</t>
  </si>
  <si>
    <t>02924</t>
  </si>
  <si>
    <t>INV/2026/0251</t>
  </si>
  <si>
    <t>FX656331984</t>
  </si>
  <si>
    <t>1.8 kg</t>
  </si>
  <si>
    <t>Jessica Jones</t>
  </si>
  <si>
    <t>TR-2025252</t>
  </si>
  <si>
    <t>03/18/2025</t>
  </si>
  <si>
    <t xml:space="preserve">P-022 </t>
  </si>
  <si>
    <t>desk basic 22</t>
  </si>
  <si>
    <t>516734395</t>
  </si>
  <si>
    <t>(871) 296-1369</t>
  </si>
  <si>
    <t>799 Brown St.</t>
  </si>
  <si>
    <t>11509</t>
  </si>
  <si>
    <t>INV/2025/0252</t>
  </si>
  <si>
    <t>48.90</t>
  </si>
  <si>
    <t>DH923905238</t>
  </si>
  <si>
    <t>2.8 kg</t>
  </si>
  <si>
    <t>884.64 USD</t>
  </si>
  <si>
    <t>TR-2025253</t>
  </si>
  <si>
    <t>30.06.2026</t>
  </si>
  <si>
    <t>08-Jul-26</t>
  </si>
  <si>
    <t xml:space="preserve">P-021 </t>
  </si>
  <si>
    <t xml:space="preserve">  monitor max 21</t>
  </si>
  <si>
    <t>38</t>
  </si>
  <si>
    <t>45018.60</t>
  </si>
  <si>
    <t xml:space="preserve">Sophia Brown   </t>
  </si>
  <si>
    <t xml:space="preserve">   Wayne Inc.</t>
  </si>
  <si>
    <t>EIN: 493075040</t>
  </si>
  <si>
    <t>875.925.5955</t>
  </si>
  <si>
    <t>307 Taylor Street</t>
  </si>
  <si>
    <t>58501</t>
  </si>
  <si>
    <t>INV/2026/0253</t>
  </si>
  <si>
    <t>FX500507202</t>
  </si>
  <si>
    <t>1350,56</t>
  </si>
  <si>
    <t>TR-2025254</t>
  </si>
  <si>
    <t>21-Oct-25</t>
  </si>
  <si>
    <t>23.10.2025.</t>
  </si>
  <si>
    <t xml:space="preserve">   License Max 14</t>
  </si>
  <si>
    <t>1.166,96</t>
  </si>
  <si>
    <t>44344.48 USD</t>
  </si>
  <si>
    <t xml:space="preserve">   Chris Williams </t>
  </si>
  <si>
    <t>870894913</t>
  </si>
  <si>
    <t>835.754.2583</t>
  </si>
  <si>
    <t>716 Jones Blvd</t>
  </si>
  <si>
    <t>70696</t>
  </si>
  <si>
    <t>INV/2025/0254</t>
  </si>
  <si>
    <t>43,81</t>
  </si>
  <si>
    <t>FX247737850</t>
  </si>
  <si>
    <t>2.3 kg</t>
  </si>
  <si>
    <t>1330.33</t>
  </si>
  <si>
    <t xml:space="preserve"> Michael Davis</t>
  </si>
  <si>
    <t>TR-2025255</t>
  </si>
  <si>
    <t>20260124</t>
  </si>
  <si>
    <t>2026-01-27</t>
  </si>
  <si>
    <t>p053</t>
  </si>
  <si>
    <t xml:space="preserve">Monitor Basic 53   </t>
  </si>
  <si>
    <t xml:space="preserve">Equipment   </t>
  </si>
  <si>
    <t>31 kom</t>
  </si>
  <si>
    <t>USD 553</t>
  </si>
  <si>
    <t>17149,82</t>
  </si>
  <si>
    <t>EIN: 401296708</t>
  </si>
  <si>
    <t>+1 354 658 6286</t>
  </si>
  <si>
    <t>425 Johnson Blvd</t>
  </si>
  <si>
    <t>04485</t>
  </si>
  <si>
    <t>INV/2026/0255</t>
  </si>
  <si>
    <t>USD 36</t>
  </si>
  <si>
    <t>1Z234809247</t>
  </si>
  <si>
    <t>11.7 kg</t>
  </si>
  <si>
    <t>TR-2025256</t>
  </si>
  <si>
    <t>2026-08-23</t>
  </si>
  <si>
    <t>2026-08-29</t>
  </si>
  <si>
    <t>p060</t>
  </si>
  <si>
    <t>EIN: 651118510</t>
  </si>
  <si>
    <t>(697) 428-7443</t>
  </si>
  <si>
    <t>75 Taylor St.</t>
  </si>
  <si>
    <t>67356</t>
  </si>
  <si>
    <t>INV/2026/0256</t>
  </si>
  <si>
    <t>44.15</t>
  </si>
  <si>
    <t>FX281686979</t>
  </si>
  <si>
    <t>USD 80</t>
  </si>
  <si>
    <t>JESSICA SMITH</t>
  </si>
  <si>
    <t>Jessica Smith</t>
  </si>
  <si>
    <t>TR-2025257</t>
  </si>
  <si>
    <t>03/23/2026</t>
  </si>
  <si>
    <t>Desk Basic 60</t>
  </si>
  <si>
    <t>1003,77</t>
  </si>
  <si>
    <t xml:space="preserve">   Vortex LLC</t>
  </si>
  <si>
    <t>EIN: 351580114</t>
  </si>
  <si>
    <t>699.574.5522</t>
  </si>
  <si>
    <t>490 Williams Blvd</t>
  </si>
  <si>
    <t>67424</t>
  </si>
  <si>
    <t>INV/2026/0257</t>
  </si>
  <si>
    <t>39,62</t>
  </si>
  <si>
    <t>FX249342441</t>
  </si>
  <si>
    <t>13,56</t>
  </si>
  <si>
    <t>30,11</t>
  </si>
  <si>
    <t xml:space="preserve">JOHN DAVIS </t>
  </si>
  <si>
    <t>TR-2025258</t>
  </si>
  <si>
    <t>09/20/2025</t>
  </si>
  <si>
    <t>2025-10-02</t>
  </si>
  <si>
    <t>USD 49,764</t>
  </si>
  <si>
    <t>EIN: 153980106</t>
  </si>
  <si>
    <t>+1 905 590 1030</t>
  </si>
  <si>
    <t>949 Anderson Street</t>
  </si>
  <si>
    <t>65889</t>
  </si>
  <si>
    <t>INV/2025/0258</t>
  </si>
  <si>
    <t>FX139998193</t>
  </si>
  <si>
    <t>13,8</t>
  </si>
  <si>
    <t>TR-2025259</t>
  </si>
  <si>
    <t>20260515</t>
  </si>
  <si>
    <t xml:space="preserve">   Umbrella inc</t>
  </si>
  <si>
    <t>691994688</t>
  </si>
  <si>
    <t>(627) 581-1479</t>
  </si>
  <si>
    <t>983 Davis Blvd</t>
  </si>
  <si>
    <t>02664</t>
  </si>
  <si>
    <t>INV/2026/0259</t>
  </si>
  <si>
    <t>31,02</t>
  </si>
  <si>
    <t>FX393382315</t>
  </si>
  <si>
    <t>emily davis</t>
  </si>
  <si>
    <t>TR-2025260</t>
  </si>
  <si>
    <t>27-Jan-26</t>
  </si>
  <si>
    <t>03.02.2026</t>
  </si>
  <si>
    <t xml:space="preserve">  SOFTWARE</t>
  </si>
  <si>
    <t>USD 15,927</t>
  </si>
  <si>
    <t>EIN: 432470535</t>
  </si>
  <si>
    <t>+1 836 761 3464</t>
  </si>
  <si>
    <t>688 Anderson St.</t>
  </si>
  <si>
    <t>50609</t>
  </si>
  <si>
    <t>INV/2026/0260</t>
  </si>
  <si>
    <t>41.89</t>
  </si>
  <si>
    <t>1Z521861842</t>
  </si>
  <si>
    <t>21,43</t>
  </si>
  <si>
    <t>477,82</t>
  </si>
  <si>
    <t>TR-2025261</t>
  </si>
  <si>
    <t>12-May-26</t>
  </si>
  <si>
    <t>05/15/2026</t>
  </si>
  <si>
    <t xml:space="preserve">Globex Ltd.   </t>
  </si>
  <si>
    <t>EIN: 510274483</t>
  </si>
  <si>
    <t>+1 682 799 8211</t>
  </si>
  <si>
    <t>805 Williams Ave</t>
  </si>
  <si>
    <t>76016</t>
  </si>
  <si>
    <t>INV/2026/0261</t>
  </si>
  <si>
    <t>$24.90</t>
  </si>
  <si>
    <t>1Z818660473</t>
  </si>
  <si>
    <t xml:space="preserve">Laura Jones  </t>
  </si>
  <si>
    <t>TR-2025262</t>
  </si>
  <si>
    <t>25.05.2025.</t>
  </si>
  <si>
    <t>2025-06-01</t>
  </si>
  <si>
    <t>P20</t>
  </si>
  <si>
    <t>Desk X 20</t>
  </si>
  <si>
    <t>635,44</t>
  </si>
  <si>
    <t>155867731</t>
  </si>
  <si>
    <t>+1 922 891 4832</t>
  </si>
  <si>
    <t>512 Brown Blvd</t>
  </si>
  <si>
    <t>29201</t>
  </si>
  <si>
    <t>INV/2025/0262</t>
  </si>
  <si>
    <t>30.62 USD</t>
  </si>
  <si>
    <t>1Z616570302</t>
  </si>
  <si>
    <t xml:space="preserve"> Michael Wilson</t>
  </si>
  <si>
    <t>TR-2025263</t>
  </si>
  <si>
    <t>$4,387.32</t>
  </si>
  <si>
    <t xml:space="preserve">  Initech Inc.</t>
  </si>
  <si>
    <t>671697376</t>
  </si>
  <si>
    <t>480.560.9969</t>
  </si>
  <si>
    <t>611 Johnson Blvd</t>
  </si>
  <si>
    <t>02585</t>
  </si>
  <si>
    <t>INV/2025/0263</t>
  </si>
  <si>
    <t>DH236960651</t>
  </si>
  <si>
    <t xml:space="preserve">Michael Anderson   </t>
  </si>
  <si>
    <t>TR-2025264</t>
  </si>
  <si>
    <t>08/07/2025</t>
  </si>
  <si>
    <t>1723.59 USD</t>
  </si>
  <si>
    <t>543176412</t>
  </si>
  <si>
    <t>844.240.5252</t>
  </si>
  <si>
    <t>868 Brown Ave</t>
  </si>
  <si>
    <t>59902</t>
  </si>
  <si>
    <t>INV/2025/0264</t>
  </si>
  <si>
    <t>FX135374944</t>
  </si>
  <si>
    <t>51,71</t>
  </si>
  <si>
    <t xml:space="preserve"> daniel williams</t>
  </si>
  <si>
    <t>TR-2025265</t>
  </si>
  <si>
    <t>07-May-25</t>
  </si>
  <si>
    <t>05/19/2025</t>
  </si>
  <si>
    <t>1184.70 USD</t>
  </si>
  <si>
    <t xml:space="preserve">INITECH INC  </t>
  </si>
  <si>
    <t>274699300</t>
  </si>
  <si>
    <t>251.277.7364</t>
  </si>
  <si>
    <t>649 Davis St.</t>
  </si>
  <si>
    <t>04496</t>
  </si>
  <si>
    <t>INV/2025/0265</t>
  </si>
  <si>
    <t>13,29</t>
  </si>
  <si>
    <t>FX921873852</t>
  </si>
  <si>
    <t>1030,69</t>
  </si>
  <si>
    <t xml:space="preserve"> Jessica Johnson   </t>
  </si>
  <si>
    <t>TR-2025266</t>
  </si>
  <si>
    <t>2026-06-17</t>
  </si>
  <si>
    <t>06/26/2026</t>
  </si>
  <si>
    <t>P29</t>
  </si>
  <si>
    <t xml:space="preserve">Keyboard Plus 29  </t>
  </si>
  <si>
    <t xml:space="preserve">  Laura Anderson  </t>
  </si>
  <si>
    <t>EIN: 692125431</t>
  </si>
  <si>
    <t>597.999.1622</t>
  </si>
  <si>
    <t>619 Jones St.</t>
  </si>
  <si>
    <t>64253</t>
  </si>
  <si>
    <t>INV/2026/0266</t>
  </si>
  <si>
    <t>$7.87</t>
  </si>
  <si>
    <t>DH573588023</t>
  </si>
  <si>
    <t>1.568,23</t>
  </si>
  <si>
    <t>David Davis</t>
  </si>
  <si>
    <t>TR-2025267</t>
  </si>
  <si>
    <t>2026-01-19</t>
  </si>
  <si>
    <t>24-Jan-26</t>
  </si>
  <si>
    <t xml:space="preserve">P-041 </t>
  </si>
  <si>
    <t>4952.80 USD</t>
  </si>
  <si>
    <t>753920561</t>
  </si>
  <si>
    <t>689.297.2195</t>
  </si>
  <si>
    <t>677 Miller Blvd</t>
  </si>
  <si>
    <t>74658</t>
  </si>
  <si>
    <t>INV/2026/0267</t>
  </si>
  <si>
    <t>25.76 USD</t>
  </si>
  <si>
    <t>DH327226700</t>
  </si>
  <si>
    <t>9.7 kg</t>
  </si>
  <si>
    <t>148.58</t>
  </si>
  <si>
    <t>TR-2025268</t>
  </si>
  <si>
    <t>2026-07-18</t>
  </si>
  <si>
    <t>20260730</t>
  </si>
  <si>
    <t>p019</t>
  </si>
  <si>
    <t>7.800,22</t>
  </si>
  <si>
    <t>106227104</t>
  </si>
  <si>
    <t>524.800.9076</t>
  </si>
  <si>
    <t>998 Williams Ave</t>
  </si>
  <si>
    <t>58112</t>
  </si>
  <si>
    <t>INV/2026/0268</t>
  </si>
  <si>
    <t>47.65</t>
  </si>
  <si>
    <t>1Z687233972</t>
  </si>
  <si>
    <t>25,02</t>
  </si>
  <si>
    <t>USD 234</t>
  </si>
  <si>
    <t xml:space="preserve">   Jessica Anderson</t>
  </si>
  <si>
    <t>Jessica Anderson</t>
  </si>
  <si>
    <t>TR-2025269</t>
  </si>
  <si>
    <t>24.01.2025</t>
  </si>
  <si>
    <t>07.02.2025.</t>
  </si>
  <si>
    <t xml:space="preserve"> P_010</t>
  </si>
  <si>
    <t>1225,11</t>
  </si>
  <si>
    <t>USD 30,628</t>
  </si>
  <si>
    <t>466989656</t>
  </si>
  <si>
    <t>(508) 361-6759</t>
  </si>
  <si>
    <t>689 Brown Street</t>
  </si>
  <si>
    <t>32540</t>
  </si>
  <si>
    <t>INV/2025/0269</t>
  </si>
  <si>
    <t>11.52</t>
  </si>
  <si>
    <t>DH572440898</t>
  </si>
  <si>
    <t>Michael Wilson</t>
  </si>
  <si>
    <t>TR-2025270</t>
  </si>
  <si>
    <t>06-Jul-26</t>
  </si>
  <si>
    <t>15.07.2026.</t>
  </si>
  <si>
    <t xml:space="preserve">cable basic 32   </t>
  </si>
  <si>
    <t xml:space="preserve">software   </t>
  </si>
  <si>
    <t xml:space="preserve"> CHRIS WILLIAMS </t>
  </si>
  <si>
    <t>EIN: 176390816</t>
  </si>
  <si>
    <t>(776) 908-8550</t>
  </si>
  <si>
    <t>920 Williams St.</t>
  </si>
  <si>
    <t>75816</t>
  </si>
  <si>
    <t>INV/2026/0270</t>
  </si>
  <si>
    <t>20.53</t>
  </si>
  <si>
    <t>FX797581089</t>
  </si>
  <si>
    <t>18,44</t>
  </si>
  <si>
    <t>355.14 USD</t>
  </si>
  <si>
    <t xml:space="preserve">   SOPHIA SMITH</t>
  </si>
  <si>
    <t>TR-2025271</t>
  </si>
  <si>
    <t>2025-01-03</t>
  </si>
  <si>
    <t>20250116</t>
  </si>
  <si>
    <t>P36</t>
  </si>
  <si>
    <t>$557.03</t>
  </si>
  <si>
    <t>8912,48</t>
  </si>
  <si>
    <t xml:space="preserve">SARAH WILSON   </t>
  </si>
  <si>
    <t>EIN: 482804305</t>
  </si>
  <si>
    <t>415.480.9290</t>
  </si>
  <si>
    <t>872 Smith Ave</t>
  </si>
  <si>
    <t>20996</t>
  </si>
  <si>
    <t>INV/2025/0271</t>
  </si>
  <si>
    <t>$10.98</t>
  </si>
  <si>
    <t>1Z117361357</t>
  </si>
  <si>
    <t>29,24</t>
  </si>
  <si>
    <t>$267.37</t>
  </si>
  <si>
    <t xml:space="preserve">  Robert Anderson</t>
  </si>
  <si>
    <t>TR-2025272</t>
  </si>
  <si>
    <t>31.03.2026</t>
  </si>
  <si>
    <t>04/03/2026</t>
  </si>
  <si>
    <t xml:space="preserve">   OFFICE </t>
  </si>
  <si>
    <t>$35,949.42</t>
  </si>
  <si>
    <t>454762556</t>
  </si>
  <si>
    <t>339.608.1800</t>
  </si>
  <si>
    <t>675 Anderson Ave</t>
  </si>
  <si>
    <t>84623</t>
  </si>
  <si>
    <t>INV/2026/0272</t>
  </si>
  <si>
    <t>48.76 USD</t>
  </si>
  <si>
    <t>1Z696460746</t>
  </si>
  <si>
    <t>14.3 kg</t>
  </si>
  <si>
    <t>$1,078.48</t>
  </si>
  <si>
    <t xml:space="preserve">Michael Williams   </t>
  </si>
  <si>
    <t>TR-2025273</t>
  </si>
  <si>
    <t>20250805</t>
  </si>
  <si>
    <t xml:space="preserve">P-033 </t>
  </si>
  <si>
    <t xml:space="preserve">Printer X 33 </t>
  </si>
  <si>
    <t>1161.54 USD</t>
  </si>
  <si>
    <t xml:space="preserve">  John Smith</t>
  </si>
  <si>
    <t xml:space="preserve">INITECH INC   </t>
  </si>
  <si>
    <t>EIN: 393237241</t>
  </si>
  <si>
    <t>(954) 910-6368</t>
  </si>
  <si>
    <t>221 Brown Ave</t>
  </si>
  <si>
    <t>24642</t>
  </si>
  <si>
    <t>INV/2025/0273</t>
  </si>
  <si>
    <t>42.57 USD</t>
  </si>
  <si>
    <t>DH300600180</t>
  </si>
  <si>
    <t>34.85 USD</t>
  </si>
  <si>
    <t xml:space="preserve"> Daniel Miller</t>
  </si>
  <si>
    <t>TR-2025274</t>
  </si>
  <si>
    <t>20260610</t>
  </si>
  <si>
    <t>2026-06-13</t>
  </si>
  <si>
    <t>5761,92</t>
  </si>
  <si>
    <t xml:space="preserve"> ROBERT WILLIAMS</t>
  </si>
  <si>
    <t>EIN: 576491065</t>
  </si>
  <si>
    <t>(929) 957-9943</t>
  </si>
  <si>
    <t>417 Williams Ave</t>
  </si>
  <si>
    <t>76643</t>
  </si>
  <si>
    <t>INV/2026/0274</t>
  </si>
  <si>
    <t>11,65</t>
  </si>
  <si>
    <t>FX116967809</t>
  </si>
  <si>
    <t>172.86</t>
  </si>
  <si>
    <t>TR-2025275</t>
  </si>
  <si>
    <t>2026-06-10</t>
  </si>
  <si>
    <t>2026-06-11</t>
  </si>
  <si>
    <t>p055</t>
  </si>
  <si>
    <t xml:space="preserve">CABLE BASIC 55   </t>
  </si>
  <si>
    <t>10 kom</t>
  </si>
  <si>
    <t>9217.80</t>
  </si>
  <si>
    <t>chris anderson</t>
  </si>
  <si>
    <t>851653450</t>
  </si>
  <si>
    <t>(330) 890-5284</t>
  </si>
  <si>
    <t>735 Smith Ave</t>
  </si>
  <si>
    <t>39254</t>
  </si>
  <si>
    <t>INV/2026/0275</t>
  </si>
  <si>
    <t>6.72</t>
  </si>
  <si>
    <t>DH298477476</t>
  </si>
  <si>
    <t>14,32</t>
  </si>
  <si>
    <t>TR-2025276</t>
  </si>
  <si>
    <t xml:space="preserve">Mouse Pro 11   </t>
  </si>
  <si>
    <t>$858.95</t>
  </si>
  <si>
    <t>12884.25</t>
  </si>
  <si>
    <t>WAYNE INC</t>
  </si>
  <si>
    <t>409679581</t>
  </si>
  <si>
    <t>707.868.2366</t>
  </si>
  <si>
    <t>546 Miller Blvd</t>
  </si>
  <si>
    <t>INV/2026/0276</t>
  </si>
  <si>
    <t>32.05</t>
  </si>
  <si>
    <t>DH257386306</t>
  </si>
  <si>
    <t>386,53</t>
  </si>
  <si>
    <t>TR-2025277</t>
  </si>
  <si>
    <t>20-Dec-25</t>
  </si>
  <si>
    <t>28.12.2025.</t>
  </si>
  <si>
    <t>21.146,58</t>
  </si>
  <si>
    <t>917666940</t>
  </si>
  <si>
    <t>425.555.1784</t>
  </si>
  <si>
    <t>591 Williams Blvd</t>
  </si>
  <si>
    <t>40233</t>
  </si>
  <si>
    <t>INV/2025/0277</t>
  </si>
  <si>
    <t>DH271491351</t>
  </si>
  <si>
    <t>23,32</t>
  </si>
  <si>
    <t>634.40 USD</t>
  </si>
  <si>
    <t>TR-2025278</t>
  </si>
  <si>
    <t>06-Mar-26</t>
  </si>
  <si>
    <t>16.03.2026.</t>
  </si>
  <si>
    <t xml:space="preserve">P-007 </t>
  </si>
  <si>
    <t xml:space="preserve"> headphones max 7</t>
  </si>
  <si>
    <t xml:space="preserve">  software</t>
  </si>
  <si>
    <t>2374.20 USD</t>
  </si>
  <si>
    <t xml:space="preserve">   Robert Davis</t>
  </si>
  <si>
    <t>EIN: 903643173</t>
  </si>
  <si>
    <t>(829) 316-5555</t>
  </si>
  <si>
    <t>470 Brown St.</t>
  </si>
  <si>
    <t>45613</t>
  </si>
  <si>
    <t>INV/2026/0278</t>
  </si>
  <si>
    <t>FX727050515</t>
  </si>
  <si>
    <t>TR-2025279</t>
  </si>
  <si>
    <t>20250401</t>
  </si>
  <si>
    <t>20250410</t>
  </si>
  <si>
    <t>2452.14 USD</t>
  </si>
  <si>
    <t>EIN: 281224845</t>
  </si>
  <si>
    <t>+1 748 941 4372</t>
  </si>
  <si>
    <t>763 Wilson Ave</t>
  </si>
  <si>
    <t>77894</t>
  </si>
  <si>
    <t>INV/2025/0279</t>
  </si>
  <si>
    <t>USD 21</t>
  </si>
  <si>
    <t>DH322998341</t>
  </si>
  <si>
    <t>15.9 kg</t>
  </si>
  <si>
    <t>73.56</t>
  </si>
  <si>
    <t xml:space="preserve">ryan anderson   </t>
  </si>
  <si>
    <t>TR-2025280</t>
  </si>
  <si>
    <t>12.02.2025.</t>
  </si>
  <si>
    <t>P-003</t>
  </si>
  <si>
    <t xml:space="preserve"> office</t>
  </si>
  <si>
    <t>ACME LLC</t>
  </si>
  <si>
    <t>EIN: 511844782</t>
  </si>
  <si>
    <t>549.330.1145</t>
  </si>
  <si>
    <t>504 Jones Ave</t>
  </si>
  <si>
    <t>30337</t>
  </si>
  <si>
    <t>INV/2025/0280</t>
  </si>
  <si>
    <t>25.47 USD</t>
  </si>
  <si>
    <t>DH464803737</t>
  </si>
  <si>
    <t>14,49</t>
  </si>
  <si>
    <t xml:space="preserve">Robert Taylor   </t>
  </si>
  <si>
    <t>TR-2025281</t>
  </si>
  <si>
    <t>2025-11-29</t>
  </si>
  <si>
    <t>2025-12-06</t>
  </si>
  <si>
    <t>USD 1,376</t>
  </si>
  <si>
    <t>39893,56</t>
  </si>
  <si>
    <t xml:space="preserve">Emily Davis </t>
  </si>
  <si>
    <t xml:space="preserve"> Stark LLC</t>
  </si>
  <si>
    <t>471007897</t>
  </si>
  <si>
    <t>673.627.4903</t>
  </si>
  <si>
    <t>288 Johnson Blvd</t>
  </si>
  <si>
    <t>93780</t>
  </si>
  <si>
    <t>INV/2025/0281</t>
  </si>
  <si>
    <t>DH866014094</t>
  </si>
  <si>
    <t>16.8 kg</t>
  </si>
  <si>
    <t>1196.81</t>
  </si>
  <si>
    <t>TR-2025282</t>
  </si>
  <si>
    <t>2026-04-02</t>
  </si>
  <si>
    <t>12-Apr-26</t>
  </si>
  <si>
    <t xml:space="preserve">P-005 </t>
  </si>
  <si>
    <t>CABLE PLUS 5</t>
  </si>
  <si>
    <t>18617,10</t>
  </si>
  <si>
    <t xml:space="preserve">   Wayne LLC   </t>
  </si>
  <si>
    <t>339407231</t>
  </si>
  <si>
    <t>(519) 984-6670</t>
  </si>
  <si>
    <t>705 Wilson Street</t>
  </si>
  <si>
    <t>58811</t>
  </si>
  <si>
    <t>INV/2026/0282</t>
  </si>
  <si>
    <t>FX288009654</t>
  </si>
  <si>
    <t>USD 559</t>
  </si>
  <si>
    <t xml:space="preserve"> SARAH SMITH </t>
  </si>
  <si>
    <t>TR-2025283</t>
  </si>
  <si>
    <t>10.06.2025.</t>
  </si>
  <si>
    <t>20250613</t>
  </si>
  <si>
    <t>1470,36</t>
  </si>
  <si>
    <t>29407.20</t>
  </si>
  <si>
    <t>EMP16</t>
  </si>
  <si>
    <t>stark inc</t>
  </si>
  <si>
    <t>EIN: 509974858</t>
  </si>
  <si>
    <t>250.663.9666</t>
  </si>
  <si>
    <t>132 Williams Ave</t>
  </si>
  <si>
    <t>02150</t>
  </si>
  <si>
    <t>INV/2025/0283</t>
  </si>
  <si>
    <t>20.00 USD</t>
  </si>
  <si>
    <t>FX446237872</t>
  </si>
  <si>
    <t>12,65</t>
  </si>
  <si>
    <t xml:space="preserve">   Laura Williams</t>
  </si>
  <si>
    <t>TR-2025284</t>
  </si>
  <si>
    <t>07/10/2025</t>
  </si>
  <si>
    <t>07/17/2025</t>
  </si>
  <si>
    <t>license pro 30</t>
  </si>
  <si>
    <t xml:space="preserve"> Laura Miller</t>
  </si>
  <si>
    <t>EIN: 728214802</t>
  </si>
  <si>
    <t>911.852.1818</t>
  </si>
  <si>
    <t>963 Jones Street</t>
  </si>
  <si>
    <t>46845</t>
  </si>
  <si>
    <t>INV/2025/0284</t>
  </si>
  <si>
    <t>21.94</t>
  </si>
  <si>
    <t>1Z766769491</t>
  </si>
  <si>
    <t>21,88</t>
  </si>
  <si>
    <t>$81.18</t>
  </si>
  <si>
    <t>TR-2025285</t>
  </si>
  <si>
    <t>05/08/2026</t>
  </si>
  <si>
    <t>20260522</t>
  </si>
  <si>
    <t xml:space="preserve">P-049 </t>
  </si>
  <si>
    <t xml:space="preserve">Mouse Pro 49  </t>
  </si>
  <si>
    <t>$1,111.83</t>
  </si>
  <si>
    <t>20012,94</t>
  </si>
  <si>
    <t xml:space="preserve">vortex llc  </t>
  </si>
  <si>
    <t>183159846</t>
  </si>
  <si>
    <t>(765) 212-1476</t>
  </si>
  <si>
    <t>166 Wilson St.</t>
  </si>
  <si>
    <t>09979</t>
  </si>
  <si>
    <t>INV/2026/0285</t>
  </si>
  <si>
    <t>1Z154942105</t>
  </si>
  <si>
    <t>15.2 kg</t>
  </si>
  <si>
    <t>TR-2025286</t>
  </si>
  <si>
    <t>24-Apr-26</t>
  </si>
  <si>
    <t>2026-05-08</t>
  </si>
  <si>
    <t>EIN: 600125642</t>
  </si>
  <si>
    <t>+1 940 292 1099</t>
  </si>
  <si>
    <t>704 Brown Ave</t>
  </si>
  <si>
    <t>95309</t>
  </si>
  <si>
    <t>INV/2026/0286</t>
  </si>
  <si>
    <t>1,25</t>
  </si>
  <si>
    <t>DH700815740</t>
  </si>
  <si>
    <t>17,6</t>
  </si>
  <si>
    <t xml:space="preserve">  Jessica Smith   </t>
  </si>
  <si>
    <t>TR-2025287</t>
  </si>
  <si>
    <t>2026-01-08</t>
  </si>
  <si>
    <t>20260120</t>
  </si>
  <si>
    <t>P-020</t>
  </si>
  <si>
    <t xml:space="preserve">software </t>
  </si>
  <si>
    <t>5.083,52</t>
  </si>
  <si>
    <t>EIN: 839228093</t>
  </si>
  <si>
    <t>+1 234 912 5063</t>
  </si>
  <si>
    <t>845 Taylor St.</t>
  </si>
  <si>
    <t>48640</t>
  </si>
  <si>
    <t>INV/2026/0287</t>
  </si>
  <si>
    <t>$49.32</t>
  </si>
  <si>
    <t>1Z853692716</t>
  </si>
  <si>
    <t>152.51 USD</t>
  </si>
  <si>
    <t>TR-2025288</t>
  </si>
  <si>
    <t>22.09.2025.</t>
  </si>
  <si>
    <t xml:space="preserve">  LAPTOP X 28</t>
  </si>
  <si>
    <t>1190,16</t>
  </si>
  <si>
    <t>EIN: 911501444</t>
  </si>
  <si>
    <t>(411) 283-2631</t>
  </si>
  <si>
    <t>23 Anderson Ave</t>
  </si>
  <si>
    <t>15620</t>
  </si>
  <si>
    <t>INV/2025/0288</t>
  </si>
  <si>
    <t>0.57 USD</t>
  </si>
  <si>
    <t>FX177048198</t>
  </si>
  <si>
    <t>17,36</t>
  </si>
  <si>
    <t>35.70</t>
  </si>
  <si>
    <t xml:space="preserve">  RYAN ANDERSON   </t>
  </si>
  <si>
    <t>TR-2025289</t>
  </si>
  <si>
    <t>2026-06-12</t>
  </si>
  <si>
    <t>26.06.2026.</t>
  </si>
  <si>
    <t xml:space="preserve">   Electronics   </t>
  </si>
  <si>
    <t>726297451</t>
  </si>
  <si>
    <t>+1 812 615 9640</t>
  </si>
  <si>
    <t>765 Williams St.</t>
  </si>
  <si>
    <t>18216</t>
  </si>
  <si>
    <t>INV/2026/0289</t>
  </si>
  <si>
    <t>22,30</t>
  </si>
  <si>
    <t>DH196957416</t>
  </si>
  <si>
    <t>25,52</t>
  </si>
  <si>
    <t>TR-2025290</t>
  </si>
  <si>
    <t>20250607</t>
  </si>
  <si>
    <t>18 kom.</t>
  </si>
  <si>
    <t>127.37</t>
  </si>
  <si>
    <t>$2,292.66</t>
  </si>
  <si>
    <t xml:space="preserve"> Sophia Brown</t>
  </si>
  <si>
    <t xml:space="preserve">Globex LLC  </t>
  </si>
  <si>
    <t>432673933</t>
  </si>
  <si>
    <t>(596) 958-6669</t>
  </si>
  <si>
    <t>833 Davis Street</t>
  </si>
  <si>
    <t>93871</t>
  </si>
  <si>
    <t>INV/2025/0290</t>
  </si>
  <si>
    <t>1Z211458642</t>
  </si>
  <si>
    <t>68,78</t>
  </si>
  <si>
    <t>sophia miller</t>
  </si>
  <si>
    <t>TR-2025291</t>
  </si>
  <si>
    <t>09/19/2025</t>
  </si>
  <si>
    <t>2025-10-01</t>
  </si>
  <si>
    <t xml:space="preserve">   printer plus 4</t>
  </si>
  <si>
    <t xml:space="preserve">electronics   </t>
  </si>
  <si>
    <t>10214.12 USD</t>
  </si>
  <si>
    <t>Robert Davis</t>
  </si>
  <si>
    <t>367695558</t>
  </si>
  <si>
    <t>(574) 380-6649</t>
  </si>
  <si>
    <t>216 Brown Ave</t>
  </si>
  <si>
    <t>92794</t>
  </si>
  <si>
    <t>INV/2025/0291</t>
  </si>
  <si>
    <t>FX922493308</t>
  </si>
  <si>
    <t>21.1 kg</t>
  </si>
  <si>
    <t>306.42 USD</t>
  </si>
  <si>
    <t>Jessica Wilson</t>
  </si>
  <si>
    <t>TR-2025292</t>
  </si>
  <si>
    <t>23-Aug-26</t>
  </si>
  <si>
    <t>30.08.2026.</t>
  </si>
  <si>
    <t>P-023</t>
  </si>
  <si>
    <t xml:space="preserve">Vortex LLC  </t>
  </si>
  <si>
    <t>112588347</t>
  </si>
  <si>
    <t>(873) 803-3245</t>
  </si>
  <si>
    <t>540 Wilson Street</t>
  </si>
  <si>
    <t>46844</t>
  </si>
  <si>
    <t>INV/2026/0292</t>
  </si>
  <si>
    <t>1.66</t>
  </si>
  <si>
    <t>DH562772939</t>
  </si>
  <si>
    <t>13.7 kg</t>
  </si>
  <si>
    <t>680.80 USD</t>
  </si>
  <si>
    <t>TR-2025293</t>
  </si>
  <si>
    <t>2025-01-27</t>
  </si>
  <si>
    <t>10-Feb-25</t>
  </si>
  <si>
    <t xml:space="preserve">   Printer Plus 4</t>
  </si>
  <si>
    <t xml:space="preserve">Michael Taylor </t>
  </si>
  <si>
    <t>723780098</t>
  </si>
  <si>
    <t>+1 697 454 7535</t>
  </si>
  <si>
    <t>893 Taylor Ave</t>
  </si>
  <si>
    <t>77910</t>
  </si>
  <si>
    <t>INV/2025/0293</t>
  </si>
  <si>
    <t>FX848279815</t>
  </si>
  <si>
    <t>32,83</t>
  </si>
  <si>
    <t xml:space="preserve">OLIVIA DAVIS  </t>
  </si>
  <si>
    <t>TR-2025294</t>
  </si>
  <si>
    <t>25.06.2026</t>
  </si>
  <si>
    <t>07.07.2026</t>
  </si>
  <si>
    <t>P3</t>
  </si>
  <si>
    <t>61.06</t>
  </si>
  <si>
    <t>USD 1,649</t>
  </si>
  <si>
    <t>EIN: 611143720</t>
  </si>
  <si>
    <t>+1 327 215 5975</t>
  </si>
  <si>
    <t>918 Anderson Street</t>
  </si>
  <si>
    <t>33793</t>
  </si>
  <si>
    <t>INV/2026/0294</t>
  </si>
  <si>
    <t>$33.56</t>
  </si>
  <si>
    <t>1Z623657199</t>
  </si>
  <si>
    <t>7,35</t>
  </si>
  <si>
    <t xml:space="preserve"> Laura Smith</t>
  </si>
  <si>
    <t>TR-2025295</t>
  </si>
  <si>
    <t>25-May-26</t>
  </si>
  <si>
    <t>06/02/2026</t>
  </si>
  <si>
    <t>USD 1,254</t>
  </si>
  <si>
    <t xml:space="preserve">globex llc </t>
  </si>
  <si>
    <t>884438391</t>
  </si>
  <si>
    <t>417.324.9852</t>
  </si>
  <si>
    <t>360 Brown St.</t>
  </si>
  <si>
    <t>07436</t>
  </si>
  <si>
    <t>INV/2026/0295</t>
  </si>
  <si>
    <t>$43.70</t>
  </si>
  <si>
    <t>FX140522264</t>
  </si>
  <si>
    <t>25.5 kg</t>
  </si>
  <si>
    <t>Laura Wilson</t>
  </si>
  <si>
    <t>TR-2025296</t>
  </si>
  <si>
    <t>20260524</t>
  </si>
  <si>
    <t>1225,43</t>
  </si>
  <si>
    <t>EIN: 548904514</t>
  </si>
  <si>
    <t>+1 900 426 7958</t>
  </si>
  <si>
    <t>671 Williams Street</t>
  </si>
  <si>
    <t>68002</t>
  </si>
  <si>
    <t>INV/2026/0296</t>
  </si>
  <si>
    <t>DH721143815</t>
  </si>
  <si>
    <t>26,86</t>
  </si>
  <si>
    <t>TR-2025297</t>
  </si>
  <si>
    <t>08/01/2025</t>
  </si>
  <si>
    <t>08/15/2025</t>
  </si>
  <si>
    <t xml:space="preserve"> P_052</t>
  </si>
  <si>
    <t xml:space="preserve">Laptop Max 52   </t>
  </si>
  <si>
    <t>$1,467.86</t>
  </si>
  <si>
    <t>$8,807.16</t>
  </si>
  <si>
    <t>Wayne Ltd.</t>
  </si>
  <si>
    <t>EIN: 496976436</t>
  </si>
  <si>
    <t>924.992.1116</t>
  </si>
  <si>
    <t>98 Taylor St.</t>
  </si>
  <si>
    <t>64864</t>
  </si>
  <si>
    <t>INV/2025/0297</t>
  </si>
  <si>
    <t>47,62</t>
  </si>
  <si>
    <t>DH669504477</t>
  </si>
  <si>
    <t>1.5 kg</t>
  </si>
  <si>
    <t>264,21</t>
  </si>
  <si>
    <t>david miller</t>
  </si>
  <si>
    <t>TR-2025298</t>
  </si>
  <si>
    <t>27.05.2025.</t>
  </si>
  <si>
    <t>31.05.2025.</t>
  </si>
  <si>
    <t xml:space="preserve"> Desk X 1</t>
  </si>
  <si>
    <t>USD 978</t>
  </si>
  <si>
    <t>$11,737.80</t>
  </si>
  <si>
    <t>EIN: 686301428</t>
  </si>
  <si>
    <t>+1 478 894 2976</t>
  </si>
  <si>
    <t>953 Jones Blvd</t>
  </si>
  <si>
    <t>83667</t>
  </si>
  <si>
    <t>INV/2025/0298</t>
  </si>
  <si>
    <t>1Z411828366</t>
  </si>
  <si>
    <t>$352.13</t>
  </si>
  <si>
    <t>TR-2025300</t>
  </si>
  <si>
    <t>02/06/2025</t>
  </si>
  <si>
    <t xml:space="preserve">DESK BASIC 22   </t>
  </si>
  <si>
    <t>29488.14</t>
  </si>
  <si>
    <t>EIN: 616089352</t>
  </si>
  <si>
    <t>+1 884 607 6009</t>
  </si>
  <si>
    <t>187 Williams Street</t>
  </si>
  <si>
    <t>40394</t>
  </si>
  <si>
    <t>INV/2025/0300</t>
  </si>
  <si>
    <t>12.70 USD</t>
  </si>
  <si>
    <t>DH511943257</t>
  </si>
  <si>
    <t>26,17</t>
  </si>
  <si>
    <t>884,64</t>
  </si>
  <si>
    <t xml:space="preserve">   Chris Williams</t>
  </si>
  <si>
    <t>TR-2025302</t>
  </si>
  <si>
    <t>25-Jan-25</t>
  </si>
  <si>
    <t xml:space="preserve"> P_014</t>
  </si>
  <si>
    <t xml:space="preserve">   license max 14</t>
  </si>
  <si>
    <t>USD 17,504</t>
  </si>
  <si>
    <t xml:space="preserve"> Acme inc   </t>
  </si>
  <si>
    <t>733528382</t>
  </si>
  <si>
    <t>420.227.8388</t>
  </si>
  <si>
    <t>791 Brown Blvd</t>
  </si>
  <si>
    <t>05494</t>
  </si>
  <si>
    <t>INV/2025/0302</t>
  </si>
  <si>
    <t>$3.47</t>
  </si>
  <si>
    <t>1Z627675825</t>
  </si>
  <si>
    <t>525,13</t>
  </si>
  <si>
    <t xml:space="preserve"> Sarah Johnson </t>
  </si>
  <si>
    <t>TR-2025303</t>
  </si>
  <si>
    <t>21.07.2026</t>
  </si>
  <si>
    <t>26-Jul-26</t>
  </si>
  <si>
    <t>46920.06</t>
  </si>
  <si>
    <t xml:space="preserve">Laura Miller </t>
  </si>
  <si>
    <t xml:space="preserve">Stark Inc.   </t>
  </si>
  <si>
    <t>EIN: 847586024</t>
  </si>
  <si>
    <t>+1 781 636 8929</t>
  </si>
  <si>
    <t>626 Williams St.</t>
  </si>
  <si>
    <t>69819</t>
  </si>
  <si>
    <t>INV/2026/0303</t>
  </si>
  <si>
    <t>8.74 USD</t>
  </si>
  <si>
    <t>FX463683210</t>
  </si>
  <si>
    <t>JOHN JOHNSON</t>
  </si>
  <si>
    <t>TR-2025304</t>
  </si>
  <si>
    <t>23.05.2025</t>
  </si>
  <si>
    <t>2025-05-24</t>
  </si>
  <si>
    <t xml:space="preserve">UMBRELLA LLC  </t>
  </si>
  <si>
    <t>315804885</t>
  </si>
  <si>
    <t>252.415.8354</t>
  </si>
  <si>
    <t>963 Williams Blvd</t>
  </si>
  <si>
    <t>23443</t>
  </si>
  <si>
    <t>INV/2025/0304</t>
  </si>
  <si>
    <t>35.45</t>
  </si>
  <si>
    <t>DH576026993</t>
  </si>
  <si>
    <t>231,62</t>
  </si>
  <si>
    <t xml:space="preserve"> Olivia Taylor</t>
  </si>
  <si>
    <t>TR-2025306</t>
  </si>
  <si>
    <t>2026-06-03</t>
  </si>
  <si>
    <t>p023</t>
  </si>
  <si>
    <t xml:space="preserve"> headphones plus 23   </t>
  </si>
  <si>
    <t xml:space="preserve">Electronics </t>
  </si>
  <si>
    <t>11346,75</t>
  </si>
  <si>
    <t>168987698</t>
  </si>
  <si>
    <t>+1 486 605 6054</t>
  </si>
  <si>
    <t>382 Williams Blvd</t>
  </si>
  <si>
    <t>41010</t>
  </si>
  <si>
    <t>INV/2026/0306</t>
  </si>
  <si>
    <t>7.09 USD</t>
  </si>
  <si>
    <t>DH841763622</t>
  </si>
  <si>
    <t xml:space="preserve">Jessica Brown  </t>
  </si>
  <si>
    <t>TR-2025307</t>
  </si>
  <si>
    <t>06/19/2025</t>
  </si>
  <si>
    <t>23.586,57</t>
  </si>
  <si>
    <t>ROBERT TAYLOR</t>
  </si>
  <si>
    <t>621026622</t>
  </si>
  <si>
    <t>579.693.6126</t>
  </si>
  <si>
    <t>717 Williams St.</t>
  </si>
  <si>
    <t>07359</t>
  </si>
  <si>
    <t>INV/2025/0307</t>
  </si>
  <si>
    <t>40,79</t>
  </si>
  <si>
    <t>FX371270970</t>
  </si>
  <si>
    <t>707.60</t>
  </si>
  <si>
    <t>EMILY JONES</t>
  </si>
  <si>
    <t>TR-2025308</t>
  </si>
  <si>
    <t>20260211</t>
  </si>
  <si>
    <t>21.02.2026.</t>
  </si>
  <si>
    <t xml:space="preserve">   Cable Basic 55   </t>
  </si>
  <si>
    <t>921.78 USD</t>
  </si>
  <si>
    <t>384045979</t>
  </si>
  <si>
    <t>(224) 276-2266</t>
  </si>
  <si>
    <t>401 Brown Ave</t>
  </si>
  <si>
    <t>36379</t>
  </si>
  <si>
    <t>INV/2026/0308</t>
  </si>
  <si>
    <t>FX204302061</t>
  </si>
  <si>
    <t>26.9 kg</t>
  </si>
  <si>
    <t>TR-2025309</t>
  </si>
  <si>
    <t>2026-06-06</t>
  </si>
  <si>
    <t xml:space="preserve"> Monitor Basic 53</t>
  </si>
  <si>
    <t>40 kom</t>
  </si>
  <si>
    <t>553,22</t>
  </si>
  <si>
    <t>22128.80</t>
  </si>
  <si>
    <t xml:space="preserve">INITECH INC </t>
  </si>
  <si>
    <t>203070226</t>
  </si>
  <si>
    <t>(747) 670-5672</t>
  </si>
  <si>
    <t>535 Jones Ave</t>
  </si>
  <si>
    <t>51826</t>
  </si>
  <si>
    <t>INV/2026/0309</t>
  </si>
  <si>
    <t>29,57</t>
  </si>
  <si>
    <t>FX173356408</t>
  </si>
  <si>
    <t>$663.86</t>
  </si>
  <si>
    <t>David Brown</t>
  </si>
  <si>
    <t>TR-2025310</t>
  </si>
  <si>
    <t>20250312</t>
  </si>
  <si>
    <t>24.03.2025</t>
  </si>
  <si>
    <t>$251.62</t>
  </si>
  <si>
    <t>3019,44</t>
  </si>
  <si>
    <t>347225419</t>
  </si>
  <si>
    <t>464.633.6840</t>
  </si>
  <si>
    <t>262 Taylor Ave</t>
  </si>
  <si>
    <t>97302</t>
  </si>
  <si>
    <t>INV/2025/0310</t>
  </si>
  <si>
    <t>1Z807174585</t>
  </si>
  <si>
    <t>6,82</t>
  </si>
  <si>
    <t xml:space="preserve"> DANIEL JONES </t>
  </si>
  <si>
    <t>Daniel Jones</t>
  </si>
  <si>
    <t>TR-2025313</t>
  </si>
  <si>
    <t>02/23/2025</t>
  </si>
  <si>
    <t>20250224</t>
  </si>
  <si>
    <t xml:space="preserve">chair max 25   </t>
  </si>
  <si>
    <t>6.887,52</t>
  </si>
  <si>
    <t xml:space="preserve">  Stark inc</t>
  </si>
  <si>
    <t>217414786</t>
  </si>
  <si>
    <t>(385) 807-5918</t>
  </si>
  <si>
    <t>636 Brown Ave</t>
  </si>
  <si>
    <t>11799</t>
  </si>
  <si>
    <t>INV/2025/0313</t>
  </si>
  <si>
    <t>25,55</t>
  </si>
  <si>
    <t>1Z381911561</t>
  </si>
  <si>
    <t>22,49</t>
  </si>
  <si>
    <t>sophia taylor</t>
  </si>
  <si>
    <t>TR-2025314</t>
  </si>
  <si>
    <t>28.06.2025.</t>
  </si>
  <si>
    <t>30.06.2025.</t>
  </si>
  <si>
    <t>430.47</t>
  </si>
  <si>
    <t>USD 9,040</t>
  </si>
  <si>
    <t>EIN: 201700433</t>
  </si>
  <si>
    <t>356.725.7942</t>
  </si>
  <si>
    <t>928 Williams Blvd</t>
  </si>
  <si>
    <t>57812</t>
  </si>
  <si>
    <t>INV/2025/0314</t>
  </si>
  <si>
    <t>1Z867298624</t>
  </si>
  <si>
    <t>12.6 kg</t>
  </si>
  <si>
    <t xml:space="preserve">   Emma Anderson</t>
  </si>
  <si>
    <t>TR-2025316</t>
  </si>
  <si>
    <t>03/23/2025</t>
  </si>
  <si>
    <t xml:space="preserve"> OFFICE</t>
  </si>
  <si>
    <t>21</t>
  </si>
  <si>
    <t xml:space="preserve"> Globex inc</t>
  </si>
  <si>
    <t>EIN: 954858532</t>
  </si>
  <si>
    <t>902.339.1005</t>
  </si>
  <si>
    <t>611 Williams Ave</t>
  </si>
  <si>
    <t>59909</t>
  </si>
  <si>
    <t>INV/2025/0316</t>
  </si>
  <si>
    <t>$10.48</t>
  </si>
  <si>
    <t>FX741862376</t>
  </si>
  <si>
    <t>504.77</t>
  </si>
  <si>
    <t xml:space="preserve">   Daniel Johnson</t>
  </si>
  <si>
    <t>TR-2025317</t>
  </si>
  <si>
    <t>27.08.2025.</t>
  </si>
  <si>
    <t>07.09.2025</t>
  </si>
  <si>
    <t>9477.60</t>
  </si>
  <si>
    <t xml:space="preserve">Acme Ltd.   </t>
  </si>
  <si>
    <t>350082355</t>
  </si>
  <si>
    <t>(560) 551-9014</t>
  </si>
  <si>
    <t>471 Anderson Blvd</t>
  </si>
  <si>
    <t>94080</t>
  </si>
  <si>
    <t>INV/2025/0317</t>
  </si>
  <si>
    <t>USD 24</t>
  </si>
  <si>
    <t>FX163136056</t>
  </si>
  <si>
    <t>22,58</t>
  </si>
  <si>
    <t>TR-2025318</t>
  </si>
  <si>
    <t xml:space="preserve">Desk X 1 </t>
  </si>
  <si>
    <t>USD 20,541</t>
  </si>
  <si>
    <t>711689846</t>
  </si>
  <si>
    <t>+1 853 641 8283</t>
  </si>
  <si>
    <t>444 Wilson Ave</t>
  </si>
  <si>
    <t>47016</t>
  </si>
  <si>
    <t>INV/2025/0318</t>
  </si>
  <si>
    <t>$41.29</t>
  </si>
  <si>
    <t>FX410438395</t>
  </si>
  <si>
    <t>2.4 kg</t>
  </si>
  <si>
    <t xml:space="preserve">Emily Miller </t>
  </si>
  <si>
    <t>TR-2025319</t>
  </si>
  <si>
    <t>20250219</t>
  </si>
  <si>
    <t>25.02.2025</t>
  </si>
  <si>
    <t>p031</t>
  </si>
  <si>
    <t>1229.82</t>
  </si>
  <si>
    <t>USD 28,286</t>
  </si>
  <si>
    <t>681781819</t>
  </si>
  <si>
    <t>+1 484 985 5296</t>
  </si>
  <si>
    <t>181 Wilson St.</t>
  </si>
  <si>
    <t>82782</t>
  </si>
  <si>
    <t>INV/2025/0319</t>
  </si>
  <si>
    <t>10.88</t>
  </si>
  <si>
    <t>DH129720197</t>
  </si>
  <si>
    <t>27.4 kg</t>
  </si>
  <si>
    <t>$848.58</t>
  </si>
  <si>
    <t xml:space="preserve">Laura Johnson  </t>
  </si>
  <si>
    <t>TR-2025320</t>
  </si>
  <si>
    <t>2026-02-26</t>
  </si>
  <si>
    <t>09.03.2026.</t>
  </si>
  <si>
    <t xml:space="preserve">Monitor Max 19  </t>
  </si>
  <si>
    <t>$2,767.82</t>
  </si>
  <si>
    <t xml:space="preserve">  Vortex INC  </t>
  </si>
  <si>
    <t>699116111</t>
  </si>
  <si>
    <t>733.454.3230</t>
  </si>
  <si>
    <t>596 Jones Street</t>
  </si>
  <si>
    <t>INV/2026/0320</t>
  </si>
  <si>
    <t>40,36</t>
  </si>
  <si>
    <t>DH568481027</t>
  </si>
  <si>
    <t>83,03</t>
  </si>
  <si>
    <t>Ryan Williams</t>
  </si>
  <si>
    <t>TOTAL:</t>
  </si>
  <si>
    <t>???</t>
  </si>
  <si>
    <t>Code</t>
  </si>
  <si>
    <t>Name</t>
  </si>
  <si>
    <t>Category</t>
  </si>
  <si>
    <t>Price (USD)</t>
  </si>
  <si>
    <t>Supplier</t>
  </si>
  <si>
    <t>Warranty</t>
  </si>
  <si>
    <t>Monitor Max 2</t>
  </si>
  <si>
    <t>BestParts</t>
  </si>
  <si>
    <t>12m</t>
  </si>
  <si>
    <t>OfficeHub</t>
  </si>
  <si>
    <t>2 yrs</t>
  </si>
  <si>
    <t>TechSupply Co</t>
  </si>
  <si>
    <t>36m</t>
  </si>
  <si>
    <t>P-037</t>
  </si>
  <si>
    <t>Headphones Basic 37</t>
  </si>
  <si>
    <t>Global Distrib</t>
  </si>
  <si>
    <t>24 months</t>
  </si>
  <si>
    <t>P-005</t>
  </si>
  <si>
    <t>Cable Plus 5</t>
  </si>
  <si>
    <t>P-033</t>
  </si>
  <si>
    <t>P-026</t>
  </si>
  <si>
    <t>P-036</t>
  </si>
  <si>
    <t>Mouse Plus 36</t>
  </si>
  <si>
    <t>P-046</t>
  </si>
  <si>
    <t>Headphones Plus 23</t>
  </si>
  <si>
    <t>Desk Max 44</t>
  </si>
  <si>
    <t>Headphones X 35</t>
  </si>
  <si>
    <t>P-047</t>
  </si>
  <si>
    <t>Monitor Pro 47</t>
  </si>
  <si>
    <t>P-031</t>
  </si>
  <si>
    <t>Cable Basic 31</t>
  </si>
  <si>
    <t>P-049</t>
  </si>
  <si>
    <t>Mouse Pro 49</t>
  </si>
  <si>
    <t>P-030</t>
  </si>
  <si>
    <t>P-048</t>
  </si>
  <si>
    <t>License Plus 48</t>
  </si>
  <si>
    <t>Full Name</t>
  </si>
  <si>
    <t>Department</t>
  </si>
  <si>
    <t>Commission %</t>
  </si>
  <si>
    <t>Sales</t>
  </si>
  <si>
    <t>Wholesale</t>
  </si>
  <si>
    <t>Retail</t>
  </si>
  <si>
    <t>E008</t>
  </si>
  <si>
    <t>GBP</t>
  </si>
  <si>
    <t>CAD</t>
  </si>
  <si>
    <t>JPY</t>
  </si>
  <si>
    <t>Discount</t>
  </si>
  <si>
    <t>Date</t>
  </si>
  <si>
    <t>Transaction ID</t>
  </si>
  <si>
    <t xml:space="preserve">  Country </t>
  </si>
  <si>
    <t xml:space="preserve">Tracking no. </t>
  </si>
  <si>
    <t>Price With Discount</t>
  </si>
  <si>
    <t>Profit</t>
  </si>
  <si>
    <t>Damaged</t>
  </si>
  <si>
    <t>Return reason</t>
  </si>
  <si>
    <t xml:space="preserve">  Weight (KG) </t>
  </si>
  <si>
    <t>Notes</t>
  </si>
  <si>
    <t>Comment</t>
  </si>
  <si>
    <t>Duplicate</t>
  </si>
  <si>
    <t>Urgent</t>
  </si>
  <si>
    <t>Check price</t>
  </si>
  <si>
    <t>Wrong item</t>
  </si>
  <si>
    <t>Doesn't fit</t>
  </si>
  <si>
    <t>Octobre</t>
  </si>
  <si>
    <t>Row Labels</t>
  </si>
  <si>
    <t>Grand Total</t>
  </si>
  <si>
    <t>Sum of Rep Commission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</si>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</sst>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.m\.yyyy;@"/>
    <numFmt numFmtId="165" formatCode="&quot;$&quot;#,##0.00"/>
    <numFmt numFmtId="166" formatCode="d\.\ m\.\ 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B365D"/>
        <bgColor indexed="64"/>
      </patternFill>
    </fill>
    <fill>
      <patternFill patternType="solid">
        <fgColor rgb="FF2B4C7E"/>
        <bgColor indexed="64"/>
      </patternFill>
    </fill>
    <fill>
      <patternFill patternType="solid">
        <fgColor rgb="FF1E5631"/>
        <bgColor indexed="64"/>
      </patternFill>
    </fill>
    <fill>
      <patternFill patternType="solid">
        <fgColor rgb="FF4A2E80"/>
        <bgColor indexed="64"/>
      </patternFill>
    </fill>
    <fill>
      <patternFill patternType="solid">
        <fgColor rgb="FF0D5C3A"/>
        <bgColor indexed="64"/>
      </patternFill>
    </fill>
    <fill>
      <patternFill patternType="solid">
        <fgColor rgb="FFE6F4EA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FD2D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1EC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/>
    <xf numFmtId="10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0" fillId="0" borderId="2" xfId="0" applyBorder="1"/>
    <xf numFmtId="0" fontId="0" fillId="9" borderId="2" xfId="0" applyFill="1" applyBorder="1"/>
    <xf numFmtId="0" fontId="0" fillId="11" borderId="2" xfId="0" applyFill="1" applyBorder="1"/>
    <xf numFmtId="0" fontId="0" fillId="13" borderId="2" xfId="0" applyFill="1" applyBorder="1"/>
    <xf numFmtId="0" fontId="0" fillId="12" borderId="2" xfId="0" applyFill="1" applyBorder="1"/>
    <xf numFmtId="0" fontId="0" fillId="8" borderId="2" xfId="0" applyFill="1" applyBorder="1"/>
    <xf numFmtId="0" fontId="0" fillId="10" borderId="2" xfId="0" applyFill="1" applyBorder="1"/>
    <xf numFmtId="165" fontId="0" fillId="0" borderId="2" xfId="0" applyNumberFormat="1" applyBorder="1"/>
    <xf numFmtId="165" fontId="0" fillId="0" borderId="1" xfId="0" applyNumberFormat="1" applyBorder="1" applyAlignment="1">
      <alignment horizontal="right"/>
    </xf>
    <xf numFmtId="165" fontId="0" fillId="0" borderId="1" xfId="0" applyNumberFormat="1" applyBorder="1"/>
    <xf numFmtId="0" fontId="0" fillId="14" borderId="2" xfId="0" applyFill="1" applyBorder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5" fontId="3" fillId="3" borderId="1" xfId="0" applyNumberFormat="1" applyFont="1" applyFill="1" applyBorder="1"/>
  </cellXfs>
  <cellStyles count="1">
    <cellStyle name="Normal" xfId="0" builtinId="0"/>
  </cellStyles>
  <dxfs count="27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E2E8F0"/>
        </patternFill>
      </fill>
    </dxf>
    <dxf>
      <fill>
        <patternFill>
          <bgColor rgb="FFFFD2D2"/>
        </patternFill>
      </fill>
    </dxf>
    <dxf>
      <fill>
        <patternFill>
          <bgColor rgb="FFF3E8FF"/>
        </patternFill>
      </fill>
    </dxf>
    <dxf>
      <fill>
        <patternFill>
          <bgColor rgb="FFFEF3C7"/>
        </patternFill>
      </fill>
    </dxf>
    <dxf>
      <fill>
        <patternFill>
          <bgColor rgb="FFFFF3CD"/>
        </patternFill>
      </fill>
    </dxf>
    <dxf>
      <fill>
        <patternFill>
          <bgColor rgb="FFF8D7DA"/>
        </patternFill>
      </fill>
    </dxf>
    <dxf>
      <fill>
        <patternFill>
          <bgColor rgb="FFD1ECF1"/>
        </patternFill>
      </fill>
    </dxf>
    <dxf>
      <fill>
        <patternFill>
          <bgColor rgb="FFFCE8E6"/>
        </patternFill>
      </fill>
    </dxf>
    <dxf>
      <fill>
        <patternFill>
          <bgColor rgb="FFE6F4E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FFF3CD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FEF7E0"/>
        </patternFill>
      </fill>
    </dxf>
    <dxf>
      <fill>
        <patternFill>
          <bgColor rgb="FFE6F4EA"/>
        </patternFill>
      </fill>
    </dxf>
    <dxf>
      <fill>
        <patternFill>
          <bgColor rgb="FFFCE8E6"/>
        </patternFill>
      </fill>
    </dxf>
    <dxf>
      <fill>
        <patternFill>
          <bgColor rgb="FFFEF7E0"/>
        </patternFill>
      </fill>
    </dxf>
    <dxf>
      <fill>
        <patternFill>
          <bgColor rgb="FFFEF7E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colors>
    <mruColors>
      <color rgb="FFFFD2D2"/>
      <color rgb="FFFEF3C7"/>
      <color rgb="FFD4EDDA"/>
      <color rgb="FFE6F4EA"/>
      <color rgb="FFD1ECF1"/>
      <color rgb="FFF8D7DA"/>
      <color rgb="FFFFF3CD"/>
      <color rgb="FFFCE8E6"/>
      <color rgb="FFF3E8FF"/>
      <color rgb="FFE2E8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[messy_sales_data_portfolio.xlsx]PivotChartRepCommission!PivotTable6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PivotChartRepCommission!$B$1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PivotChartRepCommission!$A$2:$A$27</c:f>
              <c:strCache>
                <c:ptCount val="25"/>
                <c:pt idx="0">
                  <c:v>E001</c:v>
                </c:pt>
                <c:pt idx="1">
                  <c:v>E002</c:v>
                </c:pt>
                <c:pt idx="2">
                  <c:v>E003</c:v>
                </c:pt>
                <c:pt idx="3">
                  <c:v>E004</c:v>
                </c:pt>
                <c:pt idx="4">
                  <c:v>E005</c:v>
                </c:pt>
                <c:pt idx="5">
                  <c:v>E006</c:v>
                </c:pt>
                <c:pt idx="6">
                  <c:v>E007</c:v>
                </c:pt>
                <c:pt idx="7">
                  <c:v>E008</c:v>
                </c:pt>
                <c:pt idx="8">
                  <c:v>E009</c:v>
                </c:pt>
                <c:pt idx="9">
                  <c:v>E010</c:v>
                </c:pt>
                <c:pt idx="10">
                  <c:v>E011</c:v>
                </c:pt>
                <c:pt idx="11">
                  <c:v>E012</c:v>
                </c:pt>
                <c:pt idx="12">
                  <c:v>E013</c:v>
                </c:pt>
                <c:pt idx="13">
                  <c:v>E014</c:v>
                </c:pt>
                <c:pt idx="14">
                  <c:v>E015</c:v>
                </c:pt>
                <c:pt idx="15">
                  <c:v>E016</c:v>
                </c:pt>
                <c:pt idx="16">
                  <c:v>E017</c:v>
                </c:pt>
                <c:pt idx="17">
                  <c:v>E018</c:v>
                </c:pt>
                <c:pt idx="18">
                  <c:v>E019</c:v>
                </c:pt>
                <c:pt idx="19">
                  <c:v>E020</c:v>
                </c:pt>
                <c:pt idx="20">
                  <c:v>E021</c:v>
                </c:pt>
                <c:pt idx="21">
                  <c:v>E022</c:v>
                </c:pt>
                <c:pt idx="22">
                  <c:v>E023</c:v>
                </c:pt>
                <c:pt idx="23">
                  <c:v>E024</c:v>
                </c:pt>
                <c:pt idx="24">
                  <c:v>E025</c:v>
                </c:pt>
              </c:strCache>
            </c:strRef>
          </c:cat>
          <c:val>
            <c:numRef>
              <c:f>PivotChartRepCommission!$B$2:$B$27</c:f>
              <c:numCache>
                <c:formatCode>"$"#,##0.00</c:formatCode>
                <c:ptCount val="25"/>
                <c:pt idx="0">
                  <c:v>7254.171896234111</c:v>
                </c:pt>
                <c:pt idx="1">
                  <c:v>5397.9857883876339</c:v>
                </c:pt>
                <c:pt idx="2">
                  <c:v>6186.3911949900885</c:v>
                </c:pt>
                <c:pt idx="3">
                  <c:v>8268.3620153387255</c:v>
                </c:pt>
                <c:pt idx="4">
                  <c:v>6276.0838777996332</c:v>
                </c:pt>
                <c:pt idx="5">
                  <c:v>8969.9147064812041</c:v>
                </c:pt>
                <c:pt idx="6">
                  <c:v>3689.3220174000003</c:v>
                </c:pt>
                <c:pt idx="7">
                  <c:v>7027.1083169999993</c:v>
                </c:pt>
                <c:pt idx="8">
                  <c:v>8450.5719567405395</c:v>
                </c:pt>
                <c:pt idx="9">
                  <c:v>4987.8694658342565</c:v>
                </c:pt>
                <c:pt idx="10">
                  <c:v>1180.6019352000001</c:v>
                </c:pt>
                <c:pt idx="11">
                  <c:v>4796.6891405287261</c:v>
                </c:pt>
                <c:pt idx="12">
                  <c:v>2433.4644240000002</c:v>
                </c:pt>
                <c:pt idx="13">
                  <c:v>3129.0601590957276</c:v>
                </c:pt>
                <c:pt idx="14">
                  <c:v>4458.3634116000003</c:v>
                </c:pt>
                <c:pt idx="15">
                  <c:v>4346.7073279246761</c:v>
                </c:pt>
                <c:pt idx="16">
                  <c:v>4990.6776221092287</c:v>
                </c:pt>
                <c:pt idx="17">
                  <c:v>4458.8872568049264</c:v>
                </c:pt>
                <c:pt idx="18">
                  <c:v>5550.5032782411081</c:v>
                </c:pt>
                <c:pt idx="19">
                  <c:v>6837.405352798889</c:v>
                </c:pt>
                <c:pt idx="20">
                  <c:v>5493.3536821844837</c:v>
                </c:pt>
                <c:pt idx="21">
                  <c:v>8021.7412063783795</c:v>
                </c:pt>
                <c:pt idx="22">
                  <c:v>3513.8716043376094</c:v>
                </c:pt>
                <c:pt idx="23">
                  <c:v>1114.9731066862871</c:v>
                </c:pt>
                <c:pt idx="24">
                  <c:v>9844.5718174047106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3-44A9-9B40-2CF5EA459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0469616"/>
        <c:axId val="1700470096"/>
      </c:barChart>
      <c:catAx>
        <c:axId val="170046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470096"/>
        <c:crosses val="autoZero"/>
        <c:auto val="1"/>
        <c:lblAlgn val="ctr"/>
        <c:lblOffset val="100"/>
        <c:noMultiLvlLbl val="0"/>
      </c:catAx>
      <c:valAx>
        <c:axId val="170047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46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[messy_sales_data_portfolio.xlsx]PivotChartDepartmentProfit!PivotTable7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PivotChartDepartmentProfit!$B$1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PivotChartDepartmentProfit!$A$2:$A$6</c:f>
              <c:strCache>
                <c:ptCount val="4"/>
                <c:pt idx="0">
                  <c:v>Online</c:v>
                </c:pt>
                <c:pt idx="1">
                  <c:v>Retail</c:v>
                </c:pt>
                <c:pt idx="2">
                  <c:v>Sales</c:v>
                </c:pt>
                <c:pt idx="3">
                  <c:v>Wholesale</c:v>
                </c:pt>
              </c:strCache>
            </c:strRef>
          </c:cat>
          <c:val>
            <c:numRef>
              <c:f>PivotChartDepartmentProfit!$B$2:$B$6</c:f>
              <c:numCache>
                <c:formatCode>"$"#,##0.00</c:formatCode>
                <c:ptCount val="4"/>
                <c:pt idx="0">
                  <c:v>167469.83773163121</c:v>
                </c:pt>
                <c:pt idx="1">
                  <c:v>129231.35723564609</c:v>
                </c:pt>
                <c:pt idx="2">
                  <c:v>192890.21568945856</c:v>
                </c:pt>
                <c:pt idx="3">
                  <c:v>224800.03540409784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1-4C53-BD3B-709C62E8B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36201776"/>
        <c:axId val="1636216656"/>
      </c:barChart>
      <c:catAx>
        <c:axId val="163620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216656"/>
        <c:crosses val="autoZero"/>
        <c:auto val="1"/>
        <c:lblAlgn val="ctr"/>
        <c:lblOffset val="100"/>
        <c:noMultiLvlLbl val="0"/>
      </c:catAx>
      <c:valAx>
        <c:axId val="163621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20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[messy_sales_data_portfolio.xlsx]PivotChartTrend!PivotTable8</c:name>
    <c:fmtId val="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PivotChartTrend!$B$1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poly"/>
            <c:order val="2"/>
            <c:dispRSqr val="0"/>
            <c:dispEq val="0"/>
          </c:trendline>
          <c:cat>
            <c:strRef>
              <c:f>PivotChartTrend!$A$2:$A$14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PivotChartTrend!$B$2:$B$14</c:f>
              <c:numCache>
                <c:formatCode>"$"#,##0.00</c:formatCode>
                <c:ptCount val="12"/>
                <c:pt idx="0">
                  <c:v>66014.063519448639</c:v>
                </c:pt>
                <c:pt idx="1">
                  <c:v>73288.986934114306</c:v>
                </c:pt>
                <c:pt idx="2">
                  <c:v>74549.901702716132</c:v>
                </c:pt>
                <c:pt idx="3">
                  <c:v>55299.641889896448</c:v>
                </c:pt>
                <c:pt idx="4">
                  <c:v>74952.254271623358</c:v>
                </c:pt>
                <c:pt idx="5">
                  <c:v>94160.644263898066</c:v>
                </c:pt>
                <c:pt idx="6">
                  <c:v>88210.53560488009</c:v>
                </c:pt>
                <c:pt idx="7">
                  <c:v>70481.925318240785</c:v>
                </c:pt>
                <c:pt idx="8">
                  <c:v>31947.527655000005</c:v>
                </c:pt>
                <c:pt idx="9">
                  <c:v>24843.260293200001</c:v>
                </c:pt>
                <c:pt idx="10">
                  <c:v>29531.663043626377</c:v>
                </c:pt>
                <c:pt idx="11">
                  <c:v>31111.041564189472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67-4C28-BF7F-098035D20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41009952"/>
        <c:axId val="1140998432"/>
      </c:barChart>
      <c:catAx>
        <c:axId val="114100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998432"/>
        <c:crosses val="autoZero"/>
        <c:auto val="1"/>
        <c:lblAlgn val="ctr"/>
        <c:lblOffset val="100"/>
        <c:noMultiLvlLbl val="0"/>
      </c:catAx>
      <c:valAx>
        <c:axId val="114099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00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276224</xdr:colOff>
      <xdr:row>0</xdr:row>
      <xdr:rowOff>0</xdr:rowOff>
    </xdr:from>
    <xdr:to>
      <xdr:col>11</xdr:col>
      <xdr:colOff>257175</xdr:colOff>
      <xdr:row>21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BFAD1B-07B6-8431-E6D2-73C062984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0</xdr:row>
      <xdr:rowOff>0</xdr:rowOff>
    </xdr:from>
    <xdr:to>
      <xdr:col>9</xdr:col>
      <xdr:colOff>600075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078790-8A29-7F35-56ED-7324DD00B4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590549</xdr:colOff>
      <xdr:row>0</xdr:row>
      <xdr:rowOff>0</xdr:rowOff>
    </xdr:from>
    <xdr:to>
      <xdr:col>11</xdr:col>
      <xdr:colOff>28574</xdr:colOff>
      <xdr:row>17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781BF2-BCEC-E1B2-A270-A409678BB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gdan" refreshedDate="46318.531877662041" createdVersion="8" refreshedVersion="8" minRefreshableVersion="3" recordCount="338" xr:uid="{BDD9CD00-14ED-4A22-93D9-0275DDB7C6BF}">
  <cacheSource type="worksheet">
    <worksheetSource ref="A4:BC342" sheet="Sales_RAW(AFTER)"/>
  </cacheSource>
  <cacheFields count="55">
    <cacheField name="Transaction ID" numFmtId="0">
      <sharedItems/>
    </cacheField>
    <cacheField name="Date" numFmtId="164">
      <sharedItems containsSemiMixedTypes="0" containsNonDate="0" containsDate="1" containsString="0" minDate="2025-01-01T00:00:00" maxDate="2026-11-07T00:00:00"/>
    </cacheField>
    <cacheField name="Delivery Date" numFmtId="164">
      <sharedItems containsDate="1" containsMixedTypes="1" minDate="2025-01-06T00:00:00" maxDate="2026-12-08T00:00:00"/>
    </cacheField>
    <cacheField name="Product Code" numFmtId="0">
      <sharedItems/>
    </cacheField>
    <cacheField name="Product Name " numFmtId="0">
      <sharedItems count="60">
        <s v="Printer X 33"/>
        <s v="Laptop Max 52"/>
        <s v="Cable Basic 32"/>
        <s v="License Plus 48"/>
        <s v="Desk X 1"/>
        <s v="Monitor Basic 53"/>
        <s v="Printer Plus 4"/>
        <s v="Cable Plus 39"/>
        <s v="Monitor Plus 40"/>
        <s v="Chair Plus 24"/>
        <s v="Laptop Pro 58"/>
        <s v="Chair Plus 9"/>
        <s v="Keyboard X 57"/>
        <s v="Desk Max 42"/>
        <s v="Chair Basic 46"/>
        <s v="License Max 14"/>
        <s v="Mouse Basic 54"/>
        <s v="Monitor X 41"/>
        <s v="Mouse X 34"/>
        <s v="Cable Basic 55"/>
        <s v="Monitor Max 19"/>
        <s v="Mouse Pro 11"/>
        <s v="Chair Max 17"/>
        <s v="Keyboard Basic 12"/>
        <s v="Cable Basic 51"/>
        <s v="Keyboard X 56"/>
        <s v="Keyboard Max 59"/>
        <s v="Monitor Max 21"/>
        <s v="License Basic 18"/>
        <s v="Desk Basic 60"/>
        <s v="Printer Basic 26"/>
        <s v="Keyboard X 16"/>
        <s v="Headphones Basic 10"/>
        <s v="Desk Basic 22"/>
        <s v="Keyboard Max 45"/>
        <s v="Monitor Max 13"/>
        <s v="Monitor X 6"/>
        <s v="Cable Max 38"/>
        <s v="Keyboard Plus 29"/>
        <s v="Headphones Basic 37"/>
        <s v="Headphones X 43"/>
        <s v="License X 50"/>
        <s v="License Max 15"/>
        <s v="Headphones Max 7"/>
        <s v="Desk X 27"/>
        <s v="Monitor Pro 47"/>
        <s v="Cable Plus 5"/>
        <s v="License Pro 30"/>
        <s v="Chair Max 25"/>
        <s v="Laptop X 28"/>
        <s v="Desk Max 44"/>
        <s v="Monitor Max 2"/>
        <s v="Desk X 20"/>
        <s v="Headphones X 35"/>
        <s v="Headphones Plus 23"/>
        <s v="Keyboard Pro 8"/>
        <s v="Laptop Max 3"/>
        <s v="Mouse Plus 36"/>
        <s v="Mouse Pro 49"/>
        <s v="Cable Basic 31"/>
      </sharedItems>
    </cacheField>
    <cacheField name="Supplier" numFmtId="0">
      <sharedItems/>
    </cacheField>
    <cacheField name="Category" numFmtId="0">
      <sharedItems/>
    </cacheField>
    <cacheField name="Quantity" numFmtId="0">
      <sharedItems/>
    </cacheField>
    <cacheField name="Unit Price" numFmtId="165">
      <sharedItems containsSemiMixedTypes="0" containsString="0" containsNumber="1" minValue="23.03" maxValue="1489.69"/>
    </cacheField>
    <cacheField name="Discount %" numFmtId="10">
      <sharedItems containsSemiMixedTypes="0" containsString="0" containsNumber="1" minValue="0" maxValue="0.1"/>
    </cacheField>
    <cacheField name="Total" numFmtId="165">
      <sharedItems containsSemiMixedTypes="0" containsString="0" containsNumber="1" minValue="42.874186550976141" maxValue="56608.22"/>
    </cacheField>
    <cacheField name="Currency" numFmtId="165">
      <sharedItems/>
    </cacheField>
    <cacheField name="Employee ID" numFmtId="0">
      <sharedItems count="25">
        <s v="E016"/>
        <s v="E023"/>
        <s v="E022"/>
        <s v="E014"/>
        <s v="E010"/>
        <s v="E008"/>
        <s v="E015"/>
        <s v="E009"/>
        <s v="E013"/>
        <s v="E002"/>
        <s v="E001"/>
        <s v="E021"/>
        <s v="E004"/>
        <s v="E005"/>
        <s v="E018"/>
        <s v="E017"/>
        <s v="E012"/>
        <s v="E020"/>
        <s v="E019"/>
        <s v="E003"/>
        <s v="E024"/>
        <s v="E011"/>
        <s v="E006"/>
        <s v="E025"/>
        <s v="E007"/>
      </sharedItems>
    </cacheField>
    <cacheField name="Sales Rep" numFmtId="0">
      <sharedItems count="23">
        <s v="Chris Anderson"/>
        <s v="Laura Anderson"/>
        <s v="Chris Williams"/>
        <s v="Sophia Brown"/>
        <s v="Olivia Anderson"/>
        <s v="Michael Williams"/>
        <s v="Sarah Jones"/>
        <s v="Olivia Wilson"/>
        <s v="Robert Williams"/>
        <s v="Sarah Wilson"/>
        <s v="Sophia Johnson"/>
        <s v="Laura Williams"/>
        <s v="John Miller"/>
        <s v="Robert Davis"/>
        <s v="John Smith"/>
        <s v="Robert Taylor"/>
        <s v="Sophia Taylor"/>
        <s v="Laura Miller"/>
        <s v="Robert Smith"/>
        <s v="Michael Taylor"/>
        <s v="Emily Davis"/>
        <s v="Chris Johnson"/>
        <s v="Emma Johnson"/>
      </sharedItems>
    </cacheField>
    <cacheField name="Department" numFmtId="0">
      <sharedItems count="4">
        <s v="Online"/>
        <s v="Sales"/>
        <s v="Wholesale"/>
        <s v="Retail"/>
      </sharedItems>
    </cacheField>
    <cacheField name="Region" numFmtId="0">
      <sharedItems/>
    </cacheField>
    <cacheField name="City" numFmtId="0">
      <sharedItems/>
    </cacheField>
    <cacheField name="Customer" numFmtId="0">
      <sharedItems/>
    </cacheField>
    <cacheField name="Tax ID" numFmtId="0">
      <sharedItems/>
    </cacheField>
    <cacheField name="CUSTOMER EMAIL " numFmtId="0">
      <sharedItems containsBlank="1"/>
    </cacheField>
    <cacheField name="Phone" numFmtId="0">
      <sharedItems/>
    </cacheField>
    <cacheField name=" Address" numFmtId="0">
      <sharedItems/>
    </cacheField>
    <cacheField name="ZIP Code" numFmtId="0">
      <sharedItems containsBlank="1"/>
    </cacheField>
    <cacheField name="  Country " numFmtId="0">
      <sharedItems/>
    </cacheField>
    <cacheField name="Payment Method" numFmtId="0">
      <sharedItems/>
    </cacheField>
    <cacheField name="Status" numFmtId="0">
      <sharedItems/>
    </cacheField>
    <cacheField name="Payment Status   " numFmtId="0">
      <sharedItems/>
    </cacheField>
    <cacheField name="Invoice No." numFmtId="0">
      <sharedItems/>
    </cacheField>
    <cacheField name="Sales Channel" numFmtId="0">
      <sharedItems/>
    </cacheField>
    <cacheField name="Quarter" numFmtId="0">
      <sharedItems/>
    </cacheField>
    <cacheField name=" Month  " numFmtId="0">
      <sharedItems count="12">
        <s v="September"/>
        <s v="August"/>
        <s v="April"/>
        <s v="January"/>
        <s v="June"/>
        <s v="July"/>
        <s v="February"/>
        <s v="May"/>
        <s v="March"/>
        <s v="December"/>
        <s v="November"/>
        <s v="October"/>
      </sharedItems>
    </cacheField>
    <cacheField name="Year  " numFmtId="0">
      <sharedItems containsSemiMixedTypes="0" containsString="0" containsNumber="1" containsInteger="1" minValue="2025" maxValue="2026"/>
    </cacheField>
    <cacheField name="Payment Terms" numFmtId="0">
      <sharedItems/>
    </cacheField>
    <cacheField name="Days Overdue" numFmtId="0">
      <sharedItems containsSemiMixedTypes="0" containsString="0" containsNumber="1" containsInteger="1" minValue="0" maxValue="90"/>
    </cacheField>
    <cacheField name="VAT" numFmtId="10">
      <sharedItems containsSemiMixedTypes="0" containsString="0" containsNumber="1" minValue="0.08" maxValue="0.08"/>
    </cacheField>
    <cacheField name="VAT Amount" numFmtId="165">
      <sharedItems containsSemiMixedTypes="0" containsString="0" containsNumber="1" minValue="3.4299349240780912" maxValue="4528.6576000000005"/>
    </cacheField>
    <cacheField name="Amount incl. VAT" numFmtId="165">
      <sharedItems containsSemiMixedTypes="0" containsString="0" containsNumber="1" minValue="46.304121475054231" maxValue="61136.8776"/>
    </cacheField>
    <cacheField name="Shipping Cost" numFmtId="0">
      <sharedItems/>
    </cacheField>
    <cacheField name="Courier" numFmtId="0">
      <sharedItems/>
    </cacheField>
    <cacheField name="Tracking no. " numFmtId="0">
      <sharedItems/>
    </cacheField>
    <cacheField name="  Weight (KG) " numFmtId="0">
      <sharedItems/>
    </cacheField>
    <cacheField name="Warehouse" numFmtId="0">
      <sharedItems/>
    </cacheField>
    <cacheField name="Stock" numFmtId="0">
      <sharedItems containsString="0" containsBlank="1" containsNumber="1" containsInteger="1" minValue="0" maxValue="500"/>
    </cacheField>
    <cacheField name="Customer Rating" numFmtId="0">
      <sharedItems containsBlank="1" containsMixedTypes="1" containsNumber="1" minValue="1" maxValue="5"/>
    </cacheField>
    <cacheField name="Comment" numFmtId="0">
      <sharedItems containsBlank="1"/>
    </cacheField>
    <cacheField name="Returned?" numFmtId="0">
      <sharedItems containsBlank="1" count="3">
        <s v="No"/>
        <m/>
        <s v="Yes"/>
      </sharedItems>
    </cacheField>
    <cacheField name="Return reason" numFmtId="0">
      <sharedItems containsBlank="1"/>
    </cacheField>
    <cacheField name="Margin" numFmtId="10">
      <sharedItems containsSemiMixedTypes="0" containsString="0" containsNumber="1" minValue="0" maxValue="0.3"/>
    </cacheField>
    <cacheField name="Rep Commission" numFmtId="165">
      <sharedItems containsSemiMixedTypes="0" containsString="0" containsNumber="1" minValue="0.74086594360086777" maxValue="2598.3172979999999"/>
    </cacheField>
    <cacheField name="Customer Full Name" numFmtId="0">
      <sharedItems/>
    </cacheField>
    <cacheField name="Contact Person" numFmtId="0">
      <sharedItems/>
    </cacheField>
    <cacheField name="Notes" numFmtId="0">
      <sharedItems containsBlank="1"/>
    </cacheField>
    <cacheField name="Price With Discount" numFmtId="165">
      <sharedItems containsSemiMixedTypes="0" containsString="0" containsNumber="1" minValue="37.043297180043389" maxValue="54216.876959999994"/>
    </cacheField>
    <cacheField name="Warranty" numFmtId="166">
      <sharedItems containsDate="1" containsMixedTypes="1" minDate="2026-01-13T00:00:00" maxDate="2029-10-06T00:00:00"/>
    </cacheField>
    <cacheField name="Profit" numFmtId="165">
      <sharedItems containsSemiMixedTypes="0" containsString="0" containsNumber="1" minValue="0" maxValue="15589.9037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8">
  <r>
    <s v="TR-2025001"/>
    <d v="2025-09-09T00:00:00"/>
    <d v="2025-09-23T00:00:00"/>
    <s v="P-033"/>
    <x v="0"/>
    <s v="Global Distrib"/>
    <s v="Office"/>
    <s v="7"/>
    <n v="129.06"/>
    <n v="0.1"/>
    <n v="903.42000000000007"/>
    <s v="$"/>
    <x v="0"/>
    <x v="0"/>
    <x v="0"/>
    <s v="East"/>
    <s v="Chicago"/>
    <s v="Wayne Llc"/>
    <s v=" 388875967"/>
    <s v="daniel.gmail.com"/>
    <s v="(536) 760-6300"/>
    <s v="344 Davis Street"/>
    <s v="63212"/>
    <s v="USA"/>
    <s v="Credit Card"/>
    <s v="Delivered"/>
    <s v="Paid"/>
    <s v="INV/2025/0001"/>
    <s v="Online"/>
    <s v="1 "/>
    <x v="0"/>
    <n v="2025"/>
    <s v="Immediate"/>
    <n v="0"/>
    <n v="0.08"/>
    <n v="72.273600000000002"/>
    <n v="975.69360000000006"/>
    <s v="15,21$"/>
    <s v="DHL"/>
    <s v="1Z806032141"/>
    <s v="23.5 "/>
    <s v="B"/>
    <n v="76"/>
    <n v="3"/>
    <s v="OK"/>
    <x v="0"/>
    <m/>
    <n v="0"/>
    <n v="23.416646400000005"/>
    <s v="Daniel Davis"/>
    <s v="Daniel Davis"/>
    <s v="Duplicate"/>
    <n v="780.55488000000014"/>
    <d v="2027-09-23T00:00:00"/>
    <n v="0"/>
  </r>
  <r>
    <s v="TR-2025002"/>
    <d v="2025-08-24T00:00:00"/>
    <d v="2025-08-31T00:00:00"/>
    <s v="P-052"/>
    <x v="1"/>
    <s v="TechSupply Co"/>
    <s v="Furniture"/>
    <s v="2"/>
    <n v="1467.86"/>
    <n v="0.1"/>
    <n v="2935.72"/>
    <s v="$"/>
    <x v="1"/>
    <x v="1"/>
    <x v="1"/>
    <s v="North"/>
    <s v="Seattle"/>
    <s v="Wayne Inc   "/>
    <s v="790161495"/>
    <s v="john.company.com"/>
    <s v="+1 836 781 3186"/>
    <s v="276 Johnson St."/>
    <s v="89566"/>
    <s v="USA"/>
    <s v="Cash"/>
    <s v="Cancelled"/>
    <s v="Partial"/>
    <s v="INV/2025/0002"/>
    <s v="Phone"/>
    <s v="1"/>
    <x v="1"/>
    <n v="2025"/>
    <s v="Net 60"/>
    <n v="10"/>
    <n v="0.08"/>
    <n v="234.85759999999999"/>
    <n v="3170.5775999999996"/>
    <s v="14.48$"/>
    <s v="ups"/>
    <s v="FX515375252"/>
    <s v="6,4"/>
    <s v="A"/>
    <n v="72"/>
    <n v="5"/>
    <s v="all good"/>
    <x v="1"/>
    <m/>
    <n v="0.15"/>
    <n v="50.729241599999995"/>
    <s v="  John Williams"/>
    <s v="  John Williams"/>
    <s v="Urgent"/>
    <n v="2536.4620799999998"/>
    <d v="2028-08-31T00:00:00"/>
    <n v="380.46931199999995"/>
  </r>
  <r>
    <s v="TR-2025003"/>
    <d v="2026-04-07T00:00:00"/>
    <d v="2026-04-13T00:00:00"/>
    <s v="P-032"/>
    <x v="2"/>
    <s v="OfficeHub"/>
    <s v="Software"/>
    <s v="20 "/>
    <n v="1479.77"/>
    <n v="0"/>
    <n v="29595.4"/>
    <s v="$"/>
    <x v="2"/>
    <x v="2"/>
    <x v="1"/>
    <s v="South"/>
    <s v="Boston"/>
    <s v="Umbrella Inc"/>
    <s v="943040526"/>
    <s v="emma.company.com"/>
    <s v="949.620.8386"/>
    <s v="771 Williams Ave"/>
    <s v="null"/>
    <s v="USA"/>
    <s v="Credit Card"/>
    <s v="Cancelled"/>
    <s v="Partial"/>
    <s v="INV/2026/0003"/>
    <s v="Store"/>
    <s v="1 "/>
    <x v="2"/>
    <n v="2026"/>
    <s v="Net 60"/>
    <n v="51"/>
    <n v="0.08"/>
    <n v="2367.6320000000001"/>
    <n v="31963.032000000003"/>
    <s v="24.16$"/>
    <s v="Fed Ex"/>
    <s v="DH273577842"/>
    <s v="24,37"/>
    <s v="A"/>
    <n v="231"/>
    <m/>
    <m/>
    <x v="1"/>
    <m/>
    <n v="0.18"/>
    <n v="815.05731600000001"/>
    <s v="Emma Williams"/>
    <s v="Emma Williams"/>
    <s v="VIP customer"/>
    <n v="27168.577200000003"/>
    <d v="2029-04-13T00:00:00"/>
    <n v="4890.3438960000003"/>
  </r>
  <r>
    <s v="TR-2025004"/>
    <d v="2026-01-28T00:00:00"/>
    <d v="2026-05-02T00:00:00"/>
    <s v="P-048"/>
    <x v="3"/>
    <s v="BestParts"/>
    <s v="Software"/>
    <s v="34 "/>
    <n v="471.22"/>
    <n v="0.05"/>
    <n v="16021.480000000001"/>
    <s v="$"/>
    <x v="3"/>
    <x v="3"/>
    <x v="0"/>
    <s v="West"/>
    <s v="New York"/>
    <s v=" Initech Inc   "/>
    <s v=" 986261507"/>
    <s v="sarah.gmail.com"/>
    <s v="(240) 201-3058"/>
    <s v="642 Jones Blvd"/>
    <s v="92564"/>
    <s v="USA"/>
    <s v="Credit Card"/>
    <s v="Processing"/>
    <s v="Paid"/>
    <s v="INV/2026/0004"/>
    <s v="Online"/>
    <s v="1"/>
    <x v="3"/>
    <n v="2026"/>
    <s v="15"/>
    <n v="0"/>
    <n v="0.08"/>
    <n v="1281.7184000000002"/>
    <n v="17303.198400000001"/>
    <s v="49.82$"/>
    <s v="USPS"/>
    <s v="1Z610354022"/>
    <s v="16.5 "/>
    <s v="B"/>
    <n v="0"/>
    <n v="5"/>
    <s v="satisfied"/>
    <x v="1"/>
    <m/>
    <n v="0"/>
    <n v="415.27676159999999"/>
    <s v="Sarah Davis"/>
    <s v="Sarah Davis"/>
    <s v="Check price"/>
    <n v="13842.558720000001"/>
    <d v="2027-05-02T00:00:00"/>
    <n v="0"/>
  </r>
  <r>
    <s v="TR-2025005"/>
    <d v="2026-06-01T00:00:00"/>
    <d v="2026-09-06T00:00:00"/>
    <s v="P-001"/>
    <x v="4"/>
    <s v="Global Distrib"/>
    <s v="Software"/>
    <s v="14"/>
    <n v="978.15"/>
    <n v="0.1"/>
    <n v="13694.1"/>
    <s v="$"/>
    <x v="4"/>
    <x v="4"/>
    <x v="0"/>
    <s v="South"/>
    <s v="Houston"/>
    <s v="Initech Inc"/>
    <s v=" 134245587"/>
    <s v="laura.company.com"/>
    <s v="+1 373 311 1047"/>
    <s v="431 Johnson St."/>
    <s v="50824"/>
    <s v="USA"/>
    <s v="Wire Transfer"/>
    <s v="Delivered"/>
    <s v="Paid"/>
    <s v="INV/2026/0005"/>
    <s v="Phone"/>
    <s v="1"/>
    <x v="4"/>
    <n v="2026"/>
    <s v="Immediate"/>
    <n v="24"/>
    <n v="0.08"/>
    <n v="1095.528"/>
    <n v="14789.628000000001"/>
    <s v=" 2$"/>
    <s v="USPS"/>
    <s v="FX143647055"/>
    <s v="11.33"/>
    <s v="B"/>
    <n v="99"/>
    <n v="5"/>
    <m/>
    <x v="1"/>
    <m/>
    <n v="0.15"/>
    <n v="332.76663000000002"/>
    <s v="Laura Brown"/>
    <s v="Laura Brown"/>
    <m/>
    <n v="11092.221000000001"/>
    <d v="2028-09-06T00:00:00"/>
    <n v="1663.8331500000002"/>
  </r>
  <r>
    <s v="TR-2025006"/>
    <d v="2025-04-20T00:00:00"/>
    <d v="2025-04-05T00:00:00"/>
    <s v="P-053"/>
    <x v="5"/>
    <s v="Global Distrib"/>
    <s v="Equipment"/>
    <s v="30 "/>
    <n v="553.22"/>
    <n v="0.1"/>
    <n v="16596.600000000002"/>
    <s v="$"/>
    <x v="5"/>
    <x v="5"/>
    <x v="2"/>
    <s v="North"/>
    <s v="New York"/>
    <s v=" Vortex Inc"/>
    <s v="862110984"/>
    <s v="chris.gmail.com"/>
    <s v="+1 965 751 2985"/>
    <s v="581 Jones Ave"/>
    <s v="34299"/>
    <s v="USA"/>
    <s v="Wire Transfer"/>
    <s v="Delivered"/>
    <s v="Paid"/>
    <s v="INV/2025/0006"/>
    <s v="Web"/>
    <s v="1"/>
    <x v="2"/>
    <n v="2025"/>
    <s v="15"/>
    <n v="0"/>
    <n v="0.08"/>
    <n v="1327.7280000000003"/>
    <n v="17924.328000000001"/>
    <s v="25,37$"/>
    <s v="FedEx"/>
    <s v="DH598125683"/>
    <s v="29.73"/>
    <s v="B"/>
    <n v="468"/>
    <n v="5"/>
    <m/>
    <x v="1"/>
    <m/>
    <n v="0.18"/>
    <n v="716.97312000000011"/>
    <s v="Chris Davis"/>
    <s v="Chris Davis"/>
    <m/>
    <n v="14339.462400000002"/>
    <d v="2027-04-05T00:00:00"/>
    <n v="2581.1032320000004"/>
  </r>
  <r>
    <s v="TR-2025118"/>
    <d v="2026-06-14T00:00:00"/>
    <d v="2026-06-20T00:00:00"/>
    <s v="P-004"/>
    <x v="6"/>
    <s v="OfficeHub"/>
    <s v="Electronics"/>
    <s v="7 "/>
    <n v="364.79"/>
    <n v="0.1"/>
    <n v="2553.5300000000002"/>
    <s v="$"/>
    <x v="6"/>
    <x v="6"/>
    <x v="2"/>
    <s v="South"/>
    <s v="Boston"/>
    <s v=" Stark Inc."/>
    <s v=" 986739414"/>
    <s v="sophia.gmail.com"/>
    <s v="348.471.3029"/>
    <s v="450 Brown St."/>
    <s v="58661"/>
    <s v="USA"/>
    <s v="Credit Card"/>
    <s v="Delivered"/>
    <s v="Paid"/>
    <s v="INV/2026/0118"/>
    <s v="Online"/>
    <s v="3"/>
    <x v="4"/>
    <n v="2026"/>
    <s v="15"/>
    <n v="34"/>
    <n v="0.08"/>
    <n v="204.28240000000002"/>
    <n v="2757.8124000000003"/>
    <s v="40.91$"/>
    <s v="DHL"/>
    <s v="1Z412227285"/>
    <s v="22,73"/>
    <s v="C"/>
    <n v="56"/>
    <n v="5"/>
    <m/>
    <x v="1"/>
    <m/>
    <n v="0.15"/>
    <n v="66.1874976"/>
    <s v="  Sophia Johnson"/>
    <s v="  Sophia Johnson"/>
    <m/>
    <n v="2206.2499200000002"/>
    <d v="2028-06-20T00:00:00"/>
    <n v="330.93748800000003"/>
  </r>
  <r>
    <s v="TR-2025007"/>
    <d v="2025-01-07T00:00:00"/>
    <d v="2025-01-13T00:00:00"/>
    <s v="P-039"/>
    <x v="7"/>
    <s v="TechSupply Co"/>
    <s v="Software"/>
    <s v="39 "/>
    <n v="601.47"/>
    <n v="0.05"/>
    <n v="23457.33"/>
    <s v="$"/>
    <x v="7"/>
    <x v="7"/>
    <x v="2"/>
    <s v="North"/>
    <s v="Miami"/>
    <s v="Initech Inc"/>
    <s v=" 430278432"/>
    <s v="emma.gmail.com"/>
    <s v="859.401.7401"/>
    <s v="415 Brown Street"/>
    <s v="57906"/>
    <s v="USA"/>
    <s v="Credit Card"/>
    <s v="Delivered"/>
    <s v="Partial"/>
    <s v="INV/2025/0007"/>
    <s v="Online"/>
    <s v="1 "/>
    <x v="3"/>
    <n v="2025"/>
    <s v="15"/>
    <n v="0"/>
    <n v="0.08"/>
    <n v="1876.5864000000001"/>
    <n v="25333.916400000002"/>
    <s v="4,45$"/>
    <s v="USPS"/>
    <s v="DH284346077"/>
    <s v="4.46"/>
    <s v="A"/>
    <n v="196"/>
    <n v="4"/>
    <m/>
    <x v="1"/>
    <m/>
    <n v="0"/>
    <n v="608.01399360000005"/>
    <s v="Emma Anderson"/>
    <s v="Emma Anderson"/>
    <m/>
    <n v="20267.133120000002"/>
    <d v="2026-01-13T00:00:00"/>
    <n v="0"/>
  </r>
  <r>
    <s v="TR-2025008"/>
    <d v="2025-07-20T00:00:00"/>
    <d v="2025-07-29T00:00:00"/>
    <s v="P-040"/>
    <x v="8"/>
    <s v="TechSupply Co"/>
    <s v="Software"/>
    <s v="31 "/>
    <n v="98.06"/>
    <n v="0.05"/>
    <n v="3039.86"/>
    <s v="$"/>
    <x v="8"/>
    <x v="8"/>
    <x v="2"/>
    <s v="West"/>
    <s v="Houston"/>
    <s v="Globex Inc."/>
    <s v=" 579768106"/>
    <s v="michael.gmail.com"/>
    <s v="574.293.8241"/>
    <s v="523 Smith Street"/>
    <s v="84419"/>
    <s v="USA"/>
    <s v="Paypal"/>
    <s v="Delivered"/>
    <s v="Paid"/>
    <s v="INV/2025/0008"/>
    <s v="Online"/>
    <s v="3"/>
    <x v="5"/>
    <n v="2025"/>
    <s v="15"/>
    <n v="3"/>
    <n v="0.08"/>
    <n v="243.18880000000001"/>
    <n v="3283.0488"/>
    <s v=" 10$"/>
    <s v="Fed Ex"/>
    <s v="DH946518213"/>
    <s v="25,01"/>
    <s v="B"/>
    <n v="81"/>
    <n v="5"/>
    <m/>
    <x v="1"/>
    <m/>
    <n v="0.3"/>
    <n v="131.32195200000001"/>
    <s v="Michael Anderson"/>
    <s v="Michael Anderson"/>
    <m/>
    <n v="2626.4390400000002"/>
    <d v="2027-07-29T00:00:00"/>
    <n v="787.93171200000006"/>
  </r>
  <r>
    <s v="TR-2025009"/>
    <d v="2025-07-23T00:00:00"/>
    <d v="2025-07-26T00:00:00"/>
    <s v="P-024"/>
    <x v="9"/>
    <s v="TechSupply Co"/>
    <s v="Electronics"/>
    <s v="26 "/>
    <n v="95.7"/>
    <n v="0.1"/>
    <n v="2664.0256959314775"/>
    <s v="€"/>
    <x v="9"/>
    <x v="9"/>
    <x v="0"/>
    <s v="East"/>
    <s v="Los Angeles"/>
    <s v="Wayne Inc"/>
    <s v="812640864"/>
    <s v="N/A"/>
    <s v="(497) 830-8081"/>
    <s v="628 Smith Street"/>
    <s v="-"/>
    <s v="USA"/>
    <s v="Credit Card"/>
    <s v="Delivered"/>
    <s v="Unpaid"/>
    <s v="INV/2025/0009"/>
    <s v="Online"/>
    <s v="1"/>
    <x v="5"/>
    <n v="2025"/>
    <s v="Net 60"/>
    <n v="0"/>
    <n v="0.08"/>
    <n v="213.12205567451821"/>
    <n v="2877.1477516059958"/>
    <s v="7.93€"/>
    <s v="Fed Ex"/>
    <s v="DH260323700"/>
    <s v="4,43"/>
    <s v="B"/>
    <n v="205"/>
    <n v="1"/>
    <s v="late delivery!!"/>
    <x v="2"/>
    <m/>
    <n v="0.3"/>
    <n v="69.05154603854389"/>
    <s v="Michael Jones"/>
    <s v="Michael Jones"/>
    <m/>
    <n v="2301.7182012847966"/>
    <d v="2027-07-26T00:00:00"/>
    <n v="690.51546038543893"/>
  </r>
  <r>
    <s v="TR-2025010"/>
    <d v="2025-02-15T00:00:00"/>
    <s v="null"/>
    <s v="P-058"/>
    <x v="10"/>
    <s v="Global Distrib"/>
    <s v="Furniture"/>
    <s v="35"/>
    <n v="711"/>
    <n v="0"/>
    <n v="26931.81818181818"/>
    <s v="€"/>
    <x v="10"/>
    <x v="9"/>
    <x v="0"/>
    <s v="South"/>
    <s v="Los Angeles"/>
    <s v="Globex Inc"/>
    <s v=" 460257622"/>
    <s v="john.company.com"/>
    <s v="(851) 767-8144"/>
    <s v="902 Taylor Street"/>
    <s v="23252"/>
    <s v="USA"/>
    <s v="Paypal"/>
    <s v="Delivered"/>
    <s v="Paid"/>
    <s v="INV/2025/0010"/>
    <s v="Store"/>
    <s v="1"/>
    <x v="6"/>
    <n v="2025"/>
    <s v="15"/>
    <n v="48"/>
    <n v="0.08"/>
    <n v="2154.5454545454545"/>
    <n v="29086.363636363636"/>
    <s v="23,61€"/>
    <s v="FedEx"/>
    <s v="FX878058375"/>
    <s v="26.6 "/>
    <s v="C"/>
    <n v="299"/>
    <n v="3"/>
    <m/>
    <x v="1"/>
    <m/>
    <n v="0.25"/>
    <n v="785.33181818181811"/>
    <s v="John Davis"/>
    <s v="John Davis"/>
    <m/>
    <n v="26177.727272727272"/>
    <s v="Empty"/>
    <n v="6544.431818181818"/>
  </r>
  <r>
    <s v="TR-2025011"/>
    <d v="2025-02-13T00:00:00"/>
    <d v="2025-02-17T00:00:00"/>
    <s v="P-009"/>
    <x v="11"/>
    <s v="BestParts"/>
    <s v="Office"/>
    <s v="5 "/>
    <n v="813.33"/>
    <n v="0.05"/>
    <n v="4066.65"/>
    <s v="$"/>
    <x v="1"/>
    <x v="1"/>
    <x v="1"/>
    <s v="North"/>
    <s v="Seattle"/>
    <s v="Acme Ltd."/>
    <s v=" 640883830"/>
    <s v="emma.yahoo.com"/>
    <s v="555.680.1788"/>
    <s v="580 Brown Street"/>
    <s v="76306"/>
    <s v="USA"/>
    <s v="Wire Transfer"/>
    <s v="Delivered"/>
    <s v="Paid"/>
    <s v="INV/2025/0011"/>
    <s v="Web"/>
    <s v="1 "/>
    <x v="6"/>
    <n v="2025"/>
    <s v="Net 60"/>
    <n v="0"/>
    <n v="0.08"/>
    <n v="325.33199999999999"/>
    <n v="4391.982"/>
    <s v="29.63 $"/>
    <s v="DHL"/>
    <s v="1Z404652501"/>
    <s v="24.48"/>
    <s v="A"/>
    <n v="480"/>
    <n v="2"/>
    <s v="complaint"/>
    <x v="2"/>
    <s v="Damaged"/>
    <n v="0.25"/>
    <n v="74.663693999999992"/>
    <s v="Emma Smith"/>
    <s v="Emma Smith"/>
    <m/>
    <n v="3733.1846999999998"/>
    <d v="2028-02-17T00:00:00"/>
    <n v="933.29617499999995"/>
  </r>
  <r>
    <s v="TR-2025012"/>
    <d v="2025-01-26T00:00:00"/>
    <d v="2025-01-29T00:00:00"/>
    <s v="P-057"/>
    <x v="12"/>
    <s v="BestParts"/>
    <s v="Equipment"/>
    <s v="14"/>
    <n v="741.71"/>
    <n v="0"/>
    <n v="10383.94"/>
    <s v="$"/>
    <x v="11"/>
    <x v="2"/>
    <x v="1"/>
    <s v="West"/>
    <s v="Boston"/>
    <s v="Umbrella Ltd."/>
    <s v="987473445"/>
    <s v="david.company.com"/>
    <s v="(453) 940-6350"/>
    <s v="265 Johnson St."/>
    <s v="87232"/>
    <s v="USA"/>
    <s v="Credit Card"/>
    <s v="Delivered"/>
    <s v="Unpaid"/>
    <s v="INV/2025/0012"/>
    <s v="Store"/>
    <s v="2"/>
    <x v="3"/>
    <n v="2025"/>
    <s v="Net 30"/>
    <n v="81"/>
    <n v="0.08"/>
    <n v="830.7152000000001"/>
    <n v="11214.655200000001"/>
    <s v=" 10$"/>
    <s v="FedEx"/>
    <s v="FX949334392"/>
    <s v="6.8 "/>
    <s v="B"/>
    <n v="11"/>
    <n v="5"/>
    <m/>
    <x v="1"/>
    <m/>
    <n v="0"/>
    <n v="302.79569040000001"/>
    <s v="David Jones   "/>
    <s v="David Jones   "/>
    <m/>
    <n v="10093.189680000001"/>
    <d v="2028-01-29T00:00:00"/>
    <n v="0"/>
  </r>
  <r>
    <s v="TR-2025013"/>
    <d v="2026-04-10T00:00:00"/>
    <d v="2026-04-22T00:00:00"/>
    <s v="P-042"/>
    <x v="13"/>
    <s v="TechSupply Co"/>
    <s v="Electronics"/>
    <s v="21"/>
    <n v="158.06"/>
    <n v="0.1"/>
    <n v="3319.26"/>
    <s v="$"/>
    <x v="12"/>
    <x v="10"/>
    <x v="2"/>
    <s v="North"/>
    <s v="Houston"/>
    <s v="Umbrella Inc"/>
    <s v=" 896834466"/>
    <s v="david.gmail.com"/>
    <s v="+1 981 325 6824"/>
    <s v="392 Davis Street"/>
    <s v="02744"/>
    <s v="USA"/>
    <s v="Paypal"/>
    <s v="Pending"/>
    <s v="Unpaid"/>
    <s v="INV/2026/0013"/>
    <s v="Store"/>
    <s v="3"/>
    <x v="2"/>
    <n v="2026"/>
    <s v="15"/>
    <n v="38"/>
    <n v="0.08"/>
    <n v="265.54080000000005"/>
    <n v="3584.8008000000004"/>
    <s v=" 50$"/>
    <s v="Fed Ex"/>
    <s v="1Z933875961"/>
    <s v="5,88"/>
    <s v="C"/>
    <n v="369"/>
    <n v="3"/>
    <m/>
    <x v="1"/>
    <m/>
    <n v="0"/>
    <n v="143.39203200000003"/>
    <s v="David Johnson"/>
    <s v="David Johnson"/>
    <m/>
    <n v="2867.8406400000003"/>
    <d v="2029-04-22T00:00:00"/>
    <n v="0"/>
  </r>
  <r>
    <s v="TR-2025014"/>
    <d v="2025-09-17T00:00:00"/>
    <d v="2025-09-21T00:00:00"/>
    <s v="P-046"/>
    <x v="14"/>
    <s v="Global Distrib"/>
    <s v="Equipment"/>
    <s v="12"/>
    <n v="549.41999999999996"/>
    <n v="0"/>
    <n v="6593.0399999999991"/>
    <s v="$"/>
    <x v="8"/>
    <x v="8"/>
    <x v="2"/>
    <s v="South"/>
    <s v="Houston"/>
    <s v="  Vortex Inc"/>
    <s v="280294956"/>
    <s v="laura.company.com"/>
    <s v="743.280.8185"/>
    <s v="904 Johnson Street"/>
    <s v="35667"/>
    <s v="USA"/>
    <s v="Wire Transfer"/>
    <s v="Cancelled"/>
    <s v="Paid"/>
    <s v="INV/2025/0014"/>
    <s v="Online"/>
    <s v="2"/>
    <x v="0"/>
    <n v="2025"/>
    <s v="Immediate"/>
    <n v="31"/>
    <n v="0.08"/>
    <n v="527.44319999999993"/>
    <n v="7120.4831999999988"/>
    <s v="8.02$"/>
    <s v="DHL"/>
    <s v="FX814361021"/>
    <s v="12,83"/>
    <s v="A"/>
    <n v="92"/>
    <n v="1"/>
    <s v="complaint"/>
    <x v="2"/>
    <s v="Wrong item"/>
    <n v="0.3"/>
    <n v="320.42174399999999"/>
    <s v="Laura Smith"/>
    <s v="Laura Smith"/>
    <m/>
    <n v="6408.4348799999989"/>
    <d v="2028-09-21T00:00:00"/>
    <n v="1922.5304639999995"/>
  </r>
  <r>
    <s v="TR-2025015"/>
    <d v="2025-05-10T00:00:00"/>
    <d v="2025-05-19T00:00:00"/>
    <s v="P-046"/>
    <x v="14"/>
    <s v="Global Distrib"/>
    <s v="Equipment"/>
    <s v="7 "/>
    <n v="549.41999999999996"/>
    <n v="0.05"/>
    <n v="3845.9399999999996"/>
    <s v="$"/>
    <x v="3"/>
    <x v="3"/>
    <x v="0"/>
    <s v="West"/>
    <s v="New York"/>
    <s v=" Initech Llc  "/>
    <s v="753571200"/>
    <s v="sophia.company.com"/>
    <s v="417.240.8501"/>
    <s v="781 Williams Street"/>
    <s v="87981"/>
    <s v="USA"/>
    <s v="Wire Transfer"/>
    <s v="Delivered"/>
    <s v="Unpaid"/>
    <s v="INV/2025/0015"/>
    <s v="Online"/>
    <s v="1 "/>
    <x v="7"/>
    <n v="2025"/>
    <s v="Net 60"/>
    <n v="0"/>
    <n v="0.08"/>
    <n v="307.67519999999996"/>
    <n v="4153.6151999999993"/>
    <s v="1,02$"/>
    <s v="FedEx"/>
    <s v="FX709356414"/>
    <s v="24.8 "/>
    <s v="C"/>
    <n v="356"/>
    <m/>
    <m/>
    <x v="1"/>
    <m/>
    <n v="0.15"/>
    <n v="105.91718759999998"/>
    <s v="  Sophia Miller"/>
    <s v="  Sophia Miller"/>
    <m/>
    <n v="3530.5729199999992"/>
    <d v="2028-05-19T00:00:00"/>
    <n v="529.58593799999983"/>
  </r>
  <r>
    <s v="TR-2025016"/>
    <d v="2025-01-16T00:00:00"/>
    <d v="2025-01-30T00:00:00"/>
    <s v="P-014"/>
    <x v="15"/>
    <s v="OfficeHub"/>
    <s v="Software"/>
    <s v="1"/>
    <n v="1166.96"/>
    <n v="0.1"/>
    <n v="1166.96"/>
    <s v="$"/>
    <x v="13"/>
    <x v="11"/>
    <x v="0"/>
    <s v="North"/>
    <s v="Houston"/>
    <s v="Vortex Inc."/>
    <s v=" 517630478"/>
    <s v="john.yahoo.com"/>
    <s v="(369) 698-1979"/>
    <s v="990 Johnson Ave"/>
    <s v="85526"/>
    <s v="USA"/>
    <s v="Wire Transfer"/>
    <s v="Cancelled"/>
    <s v="Partial"/>
    <s v="INV/2025/0016"/>
    <s v="Store"/>
    <s v="3"/>
    <x v="3"/>
    <n v="2025"/>
    <s v="Net 60"/>
    <n v="7"/>
    <n v="0.08"/>
    <n v="93.356800000000007"/>
    <n v="1260.3168000000001"/>
    <s v="43.48$"/>
    <s v="Fed Ex"/>
    <s v="DH994024254"/>
    <s v="12.9 "/>
    <s v="B"/>
    <n v="350"/>
    <n v="4"/>
    <m/>
    <x v="1"/>
    <m/>
    <n v="0.25"/>
    <n v="28.357127999999999"/>
    <s v="John Johnson"/>
    <s v="John Johnson"/>
    <m/>
    <n v="945.23760000000004"/>
    <d v="2028-01-30T00:00:00"/>
    <n v="236.30940000000001"/>
  </r>
  <r>
    <s v="TR-2025017"/>
    <d v="2026-09-08T00:00:00"/>
    <d v="2026-08-18T00:00:00"/>
    <s v="P-054"/>
    <x v="16"/>
    <s v="OfficeHub"/>
    <s v="Office"/>
    <s v="18 "/>
    <n v="801.23"/>
    <n v="0.05"/>
    <n v="14422.14"/>
    <s v="$"/>
    <x v="13"/>
    <x v="11"/>
    <x v="0"/>
    <s v="East"/>
    <s v="Houston"/>
    <s v=" Wayne Llc "/>
    <s v=" 852761906"/>
    <s v="sophia.yahoo.com"/>
    <s v="+1 352 452 1730"/>
    <s v="648 Wilson Street"/>
    <s v="21467"/>
    <s v="USA"/>
    <s v="Cash"/>
    <s v="Processing"/>
    <s v="Paid"/>
    <s v="INV/2026/0017"/>
    <s v="Online"/>
    <s v="1"/>
    <x v="1"/>
    <n v="2026"/>
    <s v="15"/>
    <n v="72"/>
    <n v="0.08"/>
    <n v="1153.7711999999999"/>
    <n v="15575.911199999999"/>
    <s v="13.08 $"/>
    <s v="FedEx"/>
    <s v="FX923827298"/>
    <s v="17.83"/>
    <s v="B"/>
    <n v="102"/>
    <n v="5"/>
    <m/>
    <x v="1"/>
    <m/>
    <n v="0.25"/>
    <n v="397.18573559999993"/>
    <s v="Sophia Taylor"/>
    <s v="Sophia Taylor"/>
    <m/>
    <n v="13239.524519999999"/>
    <d v="2028-08-18T00:00:00"/>
    <n v="3309.8811299999998"/>
  </r>
  <r>
    <s v="TR-2025018"/>
    <d v="2025-05-03T00:00:00"/>
    <d v="2025-05-05T00:00:00"/>
    <s v="P-041"/>
    <x v="17"/>
    <s v="TechSupply Co"/>
    <s v="Software"/>
    <s v="6"/>
    <n v="247.64"/>
    <n v="0.1"/>
    <n v="1485.84"/>
    <s v="$"/>
    <x v="8"/>
    <x v="8"/>
    <x v="2"/>
    <s v="East"/>
    <s v="Houston"/>
    <s v="Stark Inc  "/>
    <s v=" 375962955"/>
    <s v="david.gmail.com"/>
    <s v="(588) 372-8231"/>
    <s v="161 Brown Street"/>
    <s v="82088"/>
    <s v="USA"/>
    <s v="Wire Transfer"/>
    <s v="Delivered"/>
    <s v="Partial"/>
    <s v="INV/2025/0018"/>
    <s v="Online"/>
    <s v="4"/>
    <x v="7"/>
    <n v="2025"/>
    <s v="Net 60"/>
    <n v="41"/>
    <n v="0.08"/>
    <n v="118.8672"/>
    <n v="1604.7071999999998"/>
    <s v="5.78$"/>
    <s v="Fed Ex"/>
    <s v="DH160909509"/>
    <s v="13.6 "/>
    <s v="A"/>
    <n v="136"/>
    <n v="4"/>
    <m/>
    <x v="1"/>
    <m/>
    <n v="0.15"/>
    <n v="60.176519999999996"/>
    <s v="  David Miller"/>
    <s v="  David Miller"/>
    <m/>
    <n v="1203.5303999999999"/>
    <d v="2027-05-05T00:00:00"/>
    <n v="180.52955999999998"/>
  </r>
  <r>
    <s v="TR-2025019"/>
    <d v="2025-08-05T00:00:00"/>
    <d v="2025-11-08T00:00:00"/>
    <s v="P-033"/>
    <x v="0"/>
    <s v="Global Distrib"/>
    <s v="Office"/>
    <s v="31"/>
    <n v="129.06"/>
    <n v="0.1"/>
    <n v="4000.86"/>
    <s v="$"/>
    <x v="9"/>
    <x v="9"/>
    <x v="0"/>
    <s v="South"/>
    <s v="Los Angeles"/>
    <s v="Acme Inc"/>
    <s v=" 884743535"/>
    <s v="sophia.yahoo.com"/>
    <s v="+1 796 515 4314"/>
    <s v="862 Smith Ave"/>
    <s v="44937"/>
    <s v="USA"/>
    <s v="Credit Card"/>
    <s v="Delivered"/>
    <s v="Partial"/>
    <s v="INV/2025/0019"/>
    <s v="Phone"/>
    <s v="1"/>
    <x v="1"/>
    <n v="2025"/>
    <s v="15"/>
    <n v="23"/>
    <n v="0.08"/>
    <n v="320.06880000000001"/>
    <n v="4320.9287999999997"/>
    <s v="1.83$"/>
    <s v="DHL"/>
    <s v="1Z482420536"/>
    <s v="15.64"/>
    <s v="B"/>
    <n v="365"/>
    <n v="5"/>
    <m/>
    <x v="1"/>
    <m/>
    <n v="0.15"/>
    <n v="103.70229119999999"/>
    <s v="   Sophia Jones"/>
    <s v="   Sophia Jones"/>
    <m/>
    <n v="3456.7430399999998"/>
    <d v="2027-11-08T00:00:00"/>
    <n v="518.51145599999995"/>
  </r>
  <r>
    <s v="TR-2025020"/>
    <d v="2025-05-18T00:00:00"/>
    <d v="2025-05-20T00:00:00"/>
    <s v="P-052"/>
    <x v="1"/>
    <s v="TechSupply Co"/>
    <s v="Furniture"/>
    <s v="16 "/>
    <n v="1467.86"/>
    <n v="0.1"/>
    <n v="23485.759999999998"/>
    <s v="$"/>
    <x v="14"/>
    <x v="12"/>
    <x v="3"/>
    <s v="South"/>
    <s v="Houston"/>
    <s v="Stark Inc   "/>
    <s v=" 901632584"/>
    <s v="emily.gmail.com"/>
    <s v="+1 910 630 9611"/>
    <s v="347 Davis St."/>
    <s v="44919"/>
    <s v="USA"/>
    <s v="Cash"/>
    <s v="Cancelled"/>
    <s v="Paid"/>
    <s v="INV/2025/0020"/>
    <s v="Online"/>
    <s v="1 "/>
    <x v="7"/>
    <n v="2025"/>
    <s v="Net 60"/>
    <n v="31"/>
    <n v="0.08"/>
    <n v="1878.8607999999999"/>
    <n v="25364.620799999997"/>
    <s v="18,22$"/>
    <s v="ups"/>
    <s v="FX315591108"/>
    <s v="0.7 "/>
    <s v="B"/>
    <m/>
    <n v="1"/>
    <s v="complaint"/>
    <x v="2"/>
    <s v="Doesn't fit"/>
    <n v="0.3"/>
    <n v="405.83393279999996"/>
    <s v="Emily Brown "/>
    <s v="Emily Brown "/>
    <m/>
    <n v="20291.696639999998"/>
    <d v="2028-05-20T00:00:00"/>
    <n v="6087.5089919999991"/>
  </r>
  <r>
    <s v="TR-2025021"/>
    <d v="2026-03-21T00:00:00"/>
    <d v="2026-03-24T00:00:00"/>
    <s v="P-034"/>
    <x v="18"/>
    <s v="Global Distrib"/>
    <s v="Office"/>
    <s v="3 "/>
    <n v="23.03"/>
    <n v="0"/>
    <n v="74.290322580645167"/>
    <s v="€"/>
    <x v="10"/>
    <x v="9"/>
    <x v="0"/>
    <s v="East"/>
    <s v="Los Angeles"/>
    <s v="Initech Inc "/>
    <s v=" 650238460"/>
    <s v="david.company.com"/>
    <s v="(561) 366-4908"/>
    <s v="303 Smith Street"/>
    <s v="21783"/>
    <s v="USA"/>
    <s v="Cash"/>
    <s v="Cancelled"/>
    <s v="Unpaid"/>
    <s v="INV/2026/0021"/>
    <s v="Online"/>
    <s v="3"/>
    <x v="8"/>
    <n v="2026"/>
    <s v="Net 60"/>
    <n v="13"/>
    <n v="0.08"/>
    <n v="5.9432258064516139"/>
    <n v="80.233548387096775"/>
    <s v="20.84€"/>
    <s v="USPS"/>
    <s v="1Z761743464"/>
    <s v="18.36"/>
    <s v="B"/>
    <n v="137"/>
    <n v="3"/>
    <m/>
    <x v="1"/>
    <m/>
    <n v="0.25"/>
    <n v="2.166305806451613"/>
    <s v="David Johnson"/>
    <s v="David Johnson"/>
    <m/>
    <n v="72.210193548387096"/>
    <d v="2028-03-24T00:00:00"/>
    <n v="18.052548387096774"/>
  </r>
  <r>
    <s v="TR-2025022"/>
    <d v="2025-04-24T00:00:00"/>
    <d v="2025-04-30T00:00:00"/>
    <s v="P-055"/>
    <x v="19"/>
    <s v="BestParts"/>
    <s v="Office"/>
    <s v="29 "/>
    <n v="921.78"/>
    <n v="0.1"/>
    <n v="26731.62"/>
    <s v="$"/>
    <x v="7"/>
    <x v="7"/>
    <x v="2"/>
    <s v="North"/>
    <s v="Miami"/>
    <s v="Initech Inc"/>
    <s v=" 930519543"/>
    <s v="emma.company.com"/>
    <s v="(647) 729-9474"/>
    <s v="609 Miller Blvd"/>
    <s v="02360"/>
    <s v="USA"/>
    <s v="Credit Card"/>
    <s v="Delivered"/>
    <s v="Partial"/>
    <s v="INV/2025/0022"/>
    <s v="Store"/>
    <s v="3"/>
    <x v="2"/>
    <n v="2025"/>
    <s v="15"/>
    <n v="24"/>
    <n v="0.08"/>
    <n v="2138.5295999999998"/>
    <n v="28870.149599999997"/>
    <s v="20.08 $"/>
    <s v="DHL"/>
    <s v="FX842576360"/>
    <s v="24.5 "/>
    <s v="B"/>
    <n v="500"/>
    <n v="5"/>
    <m/>
    <x v="1"/>
    <m/>
    <n v="0.3"/>
    <n v="692.8835904"/>
    <s v="Emma Wilson"/>
    <s v="Emma Wilson"/>
    <m/>
    <n v="23096.11968"/>
    <d v="2027-04-30T00:00:00"/>
    <n v="6928.8359039999996"/>
  </r>
  <r>
    <s v="TR-2025023"/>
    <d v="2025-08-01T00:00:00"/>
    <d v="2025-03-08T00:00:00"/>
    <s v="P-019"/>
    <x v="20"/>
    <s v="BestParts"/>
    <s v="Software"/>
    <s v="13"/>
    <n v="251.62"/>
    <n v="0.05"/>
    <n v="3547.7874186550976"/>
    <s v="€"/>
    <x v="15"/>
    <x v="13"/>
    <x v="2"/>
    <s v="North"/>
    <s v="Miami"/>
    <s v="   Acme Ltd."/>
    <s v=" 758208298"/>
    <s v="james.gmail.com"/>
    <s v="(900) 989-6289"/>
    <s v="274 Johnson Street"/>
    <s v="46730"/>
    <s v="USA"/>
    <s v="Wire Transfer"/>
    <s v="Delivered"/>
    <s v="Paid"/>
    <s v="INV/2025/0023"/>
    <s v="Web"/>
    <s v="2"/>
    <x v="1"/>
    <n v="2025"/>
    <s v="Immediate"/>
    <n v="6"/>
    <n v="0.08"/>
    <n v="283.82299349240782"/>
    <n v="3831.6104121475055"/>
    <s v="11,14€"/>
    <s v="Fed Ex"/>
    <s v="FX106617834"/>
    <s v="9,18"/>
    <s v="B"/>
    <n v="491"/>
    <n v="2"/>
    <m/>
    <x v="1"/>
    <m/>
    <n v="0.15"/>
    <n v="91.958649891540134"/>
    <s v="James Williams "/>
    <s v="James Williams "/>
    <m/>
    <n v="3065.2883297180047"/>
    <d v="2027-03-08T00:00:00"/>
    <n v="459.79324945770071"/>
  </r>
  <r>
    <s v="TR-2025024"/>
    <d v="2026-01-24T00:00:00"/>
    <d v="2026-01-26T00:00:00"/>
    <s v="P-011"/>
    <x v="21"/>
    <s v="OfficeHub"/>
    <s v="Equipment"/>
    <s v="1 "/>
    <n v="858.95"/>
    <n v="0.1"/>
    <n v="858.95"/>
    <s v="$"/>
    <x v="16"/>
    <x v="14"/>
    <x v="1"/>
    <s v="West"/>
    <s v="Miami"/>
    <s v="Umbrella Ltd."/>
    <s v="504686425"/>
    <s v="ryan.yahoo.com"/>
    <s v="923.467.8214"/>
    <s v="377 Taylor St."/>
    <s v="53972"/>
    <s v="USA"/>
    <s v="Credit Card"/>
    <s v="Delivered"/>
    <s v="Unpaid"/>
    <s v="INV/2026/0024"/>
    <s v="Online"/>
    <s v="1"/>
    <x v="3"/>
    <n v="2026"/>
    <s v="Immediate"/>
    <n v="3"/>
    <n v="0.08"/>
    <n v="68.716000000000008"/>
    <n v="927.66600000000005"/>
    <s v=" 16$"/>
    <s v="USPS"/>
    <s v="1Z933371692"/>
    <s v="25.54"/>
    <s v="A"/>
    <n v="287"/>
    <n v="4.5"/>
    <m/>
    <x v="1"/>
    <m/>
    <n v="0.25"/>
    <n v="14.842656000000002"/>
    <s v="   Ryan Jones"/>
    <s v="   Ryan Jones"/>
    <m/>
    <n v="742.13280000000009"/>
    <d v="2027-01-26T00:00:00"/>
    <n v="185.53320000000002"/>
  </r>
  <r>
    <s v="TR-2025025"/>
    <d v="2025-05-16T00:00:00"/>
    <d v="2025-05-17T00:00:00"/>
    <s v="P-055"/>
    <x v="19"/>
    <s v="BestParts"/>
    <s v="Office"/>
    <s v="12"/>
    <n v="921.78"/>
    <n v="0.1"/>
    <n v="11061.36"/>
    <s v="$"/>
    <x v="6"/>
    <x v="6"/>
    <x v="2"/>
    <s v="North"/>
    <s v="Boston"/>
    <s v="Wayne Inc"/>
    <s v=" 819550596"/>
    <s v="john.gmail.com"/>
    <s v="(982) 995-5691"/>
    <s v="811 Miller St."/>
    <s v="46306"/>
    <s v="USA"/>
    <s v="Wire Transfer"/>
    <s v="Pending"/>
    <s v="Unpaid"/>
    <s v="INV/2025/0025"/>
    <s v="Phone"/>
    <s v="4"/>
    <x v="7"/>
    <n v="2025"/>
    <s v="Net 60"/>
    <n v="0"/>
    <n v="0.08"/>
    <n v="884.90880000000004"/>
    <n v="11946.2688"/>
    <s v="46.51$"/>
    <s v="USPS"/>
    <s v="DH772107295"/>
    <s v="1.7 "/>
    <s v="C"/>
    <n v="433"/>
    <n v="3"/>
    <m/>
    <x v="1"/>
    <m/>
    <n v="0.25"/>
    <n v="286.71045120000002"/>
    <s v=" John Miller"/>
    <s v=" John Miller"/>
    <m/>
    <n v="9557.0150400000002"/>
    <d v="2027-05-17T00:00:00"/>
    <n v="2389.2537600000001"/>
  </r>
  <r>
    <s v="TR-2025026"/>
    <d v="2025-03-02T00:00:00"/>
    <d v="2025-07-03T00:00:00"/>
    <s v="P-017"/>
    <x v="22"/>
    <s v="BestParts"/>
    <s v="Software"/>
    <s v="23"/>
    <n v="1313.33"/>
    <n v="0.1"/>
    <n v="30206.589999999997"/>
    <s v="$"/>
    <x v="5"/>
    <x v="5"/>
    <x v="2"/>
    <s v="North"/>
    <s v="New York"/>
    <s v="Acme Inc  "/>
    <s v="426314041"/>
    <s v="jessica.company.com"/>
    <s v="(315) 365-6316"/>
    <s v="12 Wilson Blvd"/>
    <s v="12006"/>
    <s v="USA"/>
    <s v="Paypal"/>
    <s v="Delivered"/>
    <s v="Unpaid"/>
    <s v="INV/2025/0026"/>
    <s v="Online"/>
    <s v="4"/>
    <x v="8"/>
    <n v="2025"/>
    <s v="Immediate"/>
    <n v="24"/>
    <n v="0.08"/>
    <n v="2416.5272"/>
    <n v="32623.117199999997"/>
    <s v="0.42$"/>
    <s v="USPS"/>
    <s v="DH884520761"/>
    <s v="19.61"/>
    <s v="A"/>
    <n v="12"/>
    <n v="3"/>
    <m/>
    <x v="1"/>
    <m/>
    <n v="0.15"/>
    <n v="1223.3668949999999"/>
    <s v="   Jessica Davis"/>
    <s v="   Jessica Davis"/>
    <m/>
    <n v="24467.337899999999"/>
    <d v="2027-07-03T00:00:00"/>
    <n v="3670.1006849999999"/>
  </r>
  <r>
    <s v="TR-2025027"/>
    <d v="2025-12-31T00:00:00"/>
    <s v="null"/>
    <s v="P-012"/>
    <x v="23"/>
    <s v="OfficeHub"/>
    <s v="Electronics"/>
    <s v="15"/>
    <n v="823.88"/>
    <n v="0.1"/>
    <n v="12358.2"/>
    <s v="$"/>
    <x v="11"/>
    <x v="2"/>
    <x v="1"/>
    <s v="North"/>
    <s v="Boston"/>
    <s v="Stark Inc"/>
    <s v=" 253719173"/>
    <s v="jessica.gmail.com"/>
    <s v="209.882.3888"/>
    <s v="169 Davis Ave"/>
    <s v="01549"/>
    <s v="USA"/>
    <s v="Paypal"/>
    <s v="Processing"/>
    <s v="Paid"/>
    <s v="INV/2025/0027"/>
    <s v="Web"/>
    <s v="2"/>
    <x v="9"/>
    <n v="2025"/>
    <s v="Net 60"/>
    <n v="66"/>
    <n v="0.08"/>
    <n v="988.65600000000006"/>
    <n v="13346.856000000002"/>
    <s v="48,72$"/>
    <s v="FedEx"/>
    <s v="DH826328507"/>
    <s v="19.8 "/>
    <s v="B"/>
    <n v="246"/>
    <n v="3"/>
    <m/>
    <x v="1"/>
    <m/>
    <n v="0.15"/>
    <n v="320.32454400000006"/>
    <s v="Jessica Williams"/>
    <s v="Jessica Williams"/>
    <m/>
    <n v="10677.484800000002"/>
    <s v="Empty"/>
    <n v="1601.6227200000003"/>
  </r>
  <r>
    <s v="TR-2025028"/>
    <d v="2026-08-18T00:00:00"/>
    <d v="2026-08-23T00:00:00"/>
    <s v="P-024"/>
    <x v="9"/>
    <s v="TechSupply Co"/>
    <s v="Electronics"/>
    <s v="24"/>
    <n v="95.7"/>
    <n v="0.1"/>
    <n v="2491.1062906724515"/>
    <s v="€"/>
    <x v="14"/>
    <x v="12"/>
    <x v="3"/>
    <s v="West"/>
    <s v="Houston"/>
    <s v="Stark Llc  "/>
    <s v="932128440"/>
    <s v="robert.yahoo.com"/>
    <s v="+1 248 581 1683"/>
    <s v="308 Johnson St."/>
    <s v="56833"/>
    <s v="USA"/>
    <s v="Wire"/>
    <s v="Delivered"/>
    <s v="Paid"/>
    <s v="INV/2026/0028"/>
    <s v="Online"/>
    <s v="4"/>
    <x v="1"/>
    <n v="2026"/>
    <s v="Net 60"/>
    <n v="43"/>
    <n v="0.08"/>
    <n v="199.28850325379611"/>
    <n v="2690.3947939262475"/>
    <s v="41.28€"/>
    <s v="DHL"/>
    <s v="DH663401775"/>
    <s v="1,4"/>
    <s v="B"/>
    <n v="51"/>
    <n v="5"/>
    <m/>
    <x v="1"/>
    <m/>
    <n v="0.25"/>
    <n v="43.046316702819958"/>
    <s v="Robert Brown"/>
    <s v="Robert Brown"/>
    <m/>
    <n v="2152.3158351409979"/>
    <d v="2028-08-23T00:00:00"/>
    <n v="538.07895878524948"/>
  </r>
  <r>
    <s v="TR-2025029"/>
    <d v="2026-05-15T00:00:00"/>
    <d v="2026-05-20T00:00:00"/>
    <s v="P-051"/>
    <x v="24"/>
    <s v="TechSupply Co"/>
    <s v="Office"/>
    <s v="5 "/>
    <n v="1036.6500000000001"/>
    <n v="0.1"/>
    <n v="5609.5779220779223"/>
    <s v="€"/>
    <x v="10"/>
    <x v="9"/>
    <x v="0"/>
    <s v="South"/>
    <s v="Los Angeles"/>
    <s v="Globex Inc"/>
    <s v="434209630"/>
    <s v="chris.gmail.com"/>
    <s v="(569) 944-8663"/>
    <s v="344 Anderson Blvd"/>
    <s v="44749"/>
    <s v="USA"/>
    <s v="Wire Transfer"/>
    <s v="Delivered"/>
    <s v="Paid"/>
    <s v="INV/2026/0029"/>
    <s v="Web"/>
    <s v="4"/>
    <x v="7"/>
    <n v="2026"/>
    <s v="Net 60"/>
    <n v="49"/>
    <n v="0.08"/>
    <n v="448.76623376623377"/>
    <n v="6058.3441558441564"/>
    <s v="17,84€"/>
    <s v="Fed Ex"/>
    <s v="DH136627024"/>
    <s v="27.46"/>
    <s v="B"/>
    <n v="324"/>
    <n v="2"/>
    <m/>
    <x v="1"/>
    <m/>
    <n v="0.18"/>
    <n v="145.40025974025974"/>
    <s v="  Chris Jones"/>
    <s v="  Chris Jones"/>
    <m/>
    <n v="4846.6753246753251"/>
    <d v="2028-05-20T00:00:00"/>
    <n v="872.40155844155845"/>
  </r>
  <r>
    <s v="TR-2025030"/>
    <d v="2026-02-20T00:00:00"/>
    <d v="2026-01-03T00:00:00"/>
    <s v="P-056"/>
    <x v="25"/>
    <s v="OfficeHub"/>
    <s v="Software"/>
    <s v="4"/>
    <n v="1111.1099999999999"/>
    <n v="0.1"/>
    <n v="4809.9999999999991"/>
    <s v="€"/>
    <x v="14"/>
    <x v="12"/>
    <x v="3"/>
    <s v="West"/>
    <s v="Houston"/>
    <s v="Wayne Inc"/>
    <s v=" 620244895"/>
    <s v="emma.gmail.com"/>
    <s v="(463) 759-1378"/>
    <s v="49 Davis Blvd"/>
    <s v="27259"/>
    <s v="USA"/>
    <s v="Wire"/>
    <s v="Pending"/>
    <s v="Paid"/>
    <s v="INV/2026/0030"/>
    <s v="Web"/>
    <s v="1"/>
    <x v="6"/>
    <n v="2026"/>
    <s v="15"/>
    <n v="0"/>
    <n v="0.08"/>
    <n v="384.79999999999995"/>
    <n v="5194.7999999999993"/>
    <s v="35.95€"/>
    <s v="DHL"/>
    <s v="DH116113610"/>
    <s v="27.7 "/>
    <s v="A"/>
    <n v="332"/>
    <n v="5"/>
    <m/>
    <x v="1"/>
    <m/>
    <n v="0.25"/>
    <n v="77.921999999999997"/>
    <s v="Emma Miller"/>
    <s v="Emma Miller"/>
    <m/>
    <n v="3896.0999999999995"/>
    <d v="2029-01-03T00:00:00"/>
    <n v="974.02499999999986"/>
  </r>
  <r>
    <s v="TR-2025031"/>
    <d v="2025-01-27T00:00:00"/>
    <d v="2025-02-08T00:00:00"/>
    <s v="P-056"/>
    <x v="25"/>
    <s v="OfficeHub"/>
    <s v="Software"/>
    <s v="37"/>
    <n v="1111.1099999999999"/>
    <n v="0"/>
    <n v="41111.07"/>
    <s v="$"/>
    <x v="10"/>
    <x v="9"/>
    <x v="0"/>
    <s v="West"/>
    <s v="Los Angeles"/>
    <s v="Acme Llc"/>
    <s v=" 241588570"/>
    <s v="daniel.gmail.com"/>
    <s v="(302) 871-6939"/>
    <s v="640 Williams Street"/>
    <s v="08886"/>
    <s v="USA"/>
    <s v="Wire"/>
    <s v="Delivered"/>
    <s v="Unpaid"/>
    <s v="INV/2025/0031"/>
    <s v="Online"/>
    <s v="1 "/>
    <x v="3"/>
    <n v="2025"/>
    <s v="15"/>
    <n v="20"/>
    <n v="0.08"/>
    <n v="3288.8856000000001"/>
    <n v="44399.955600000001"/>
    <s v="38,91$"/>
    <s v="ups"/>
    <s v="1Z783034651"/>
    <s v="27.38"/>
    <s v="B"/>
    <n v="404"/>
    <n v="2"/>
    <m/>
    <x v="1"/>
    <m/>
    <n v="0.25"/>
    <n v="1132.1988678"/>
    <s v="Daniel Miller   "/>
    <s v="Daniel Miller   "/>
    <m/>
    <n v="37739.96226"/>
    <d v="2028-02-08T00:00:00"/>
    <n v="9434.9905650000001"/>
  </r>
  <r>
    <s v="TR-2025032"/>
    <d v="2025-08-18T00:00:00"/>
    <d v="2025-08-22T00:00:00"/>
    <s v="P-059"/>
    <x v="26"/>
    <s v="OfficeHub"/>
    <s v="Furniture"/>
    <s v="17 "/>
    <n v="673.61"/>
    <n v="0.1"/>
    <n v="11451.37"/>
    <s v="$"/>
    <x v="8"/>
    <x v="8"/>
    <x v="2"/>
    <s v="South"/>
    <s v="Houston"/>
    <s v="Wayne Llc"/>
    <s v=" 250107754"/>
    <m/>
    <s v="(355) 209-3185"/>
    <s v="476 Davis Street"/>
    <s v="55290"/>
    <s v="USA"/>
    <s v="Cash"/>
    <s v="Delivered"/>
    <s v="Paid"/>
    <s v="INV/2025/0032"/>
    <s v="Web"/>
    <s v="1"/>
    <x v="1"/>
    <n v="2025"/>
    <s v="Net 30"/>
    <n v="0"/>
    <n v="0.08"/>
    <n v="916.10960000000011"/>
    <n v="12367.479600000001"/>
    <s v="28.74$"/>
    <s v="FedEx"/>
    <s v="1Z439828953"/>
    <s v="2.03"/>
    <s v="C"/>
    <n v="0"/>
    <n v="4.5"/>
    <m/>
    <x v="1"/>
    <m/>
    <n v="0.15"/>
    <n v="494.69918400000006"/>
    <s v="John Jones "/>
    <s v="John Jones "/>
    <m/>
    <n v="9893.9836800000012"/>
    <d v="2027-08-22T00:00:00"/>
    <n v="1484.0975520000002"/>
  </r>
  <r>
    <s v="TR-2025193"/>
    <d v="2025-01-22T00:00:00"/>
    <d v="2025-03-02T00:00:00"/>
    <s v="P-021"/>
    <x v="27"/>
    <s v="OfficeHub"/>
    <s v="Equipment"/>
    <s v="30"/>
    <n v="1184.7"/>
    <n v="0.1"/>
    <n v="35541"/>
    <s v="$"/>
    <x v="16"/>
    <x v="14"/>
    <x v="1"/>
    <s v="North"/>
    <s v="Miami"/>
    <s v="Acme Inc."/>
    <s v="499269182"/>
    <s v="laura.gmail.com"/>
    <s v="(798) 468-6016"/>
    <s v="428 Jones Street"/>
    <s v="51354"/>
    <s v="USA"/>
    <s v="Wire"/>
    <s v="Delivered"/>
    <s v="Unpaid"/>
    <s v="INV/2025/0193"/>
    <s v="Store"/>
    <s v="3"/>
    <x v="3"/>
    <n v="2025"/>
    <s v="Immediate"/>
    <n v="84"/>
    <n v="0.08"/>
    <n v="2843.28"/>
    <n v="38384.28"/>
    <s v="21.04$"/>
    <s v="ups"/>
    <s v="FX387168701"/>
    <s v="25.4 "/>
    <s v="B"/>
    <n v="197"/>
    <n v="2"/>
    <m/>
    <x v="1"/>
    <m/>
    <n v="0"/>
    <n v="614.14847999999995"/>
    <s v="Laura Williams"/>
    <s v="Laura Williams"/>
    <m/>
    <n v="30707.423999999999"/>
    <d v="2027-03-02T00:00:00"/>
    <n v="0"/>
  </r>
  <r>
    <s v="TR-2025033"/>
    <d v="2025-07-01T00:00:00"/>
    <d v="2025-02-07T00:00:00"/>
    <s v="P-018"/>
    <x v="28"/>
    <s v="Global Distrib"/>
    <s v="Equipment"/>
    <s v="17 "/>
    <n v="1470.36"/>
    <n v="0"/>
    <n v="24996.12"/>
    <s v="$"/>
    <x v="1"/>
    <x v="1"/>
    <x v="1"/>
    <s v="West"/>
    <s v="Seattle"/>
    <s v="Acme Inc"/>
    <s v=" 755957168"/>
    <s v="david.gmail.com"/>
    <s v="615.910.6314"/>
    <s v="662 Wilson Ave"/>
    <s v="60702"/>
    <s v="USA"/>
    <s v="Wire Transfer"/>
    <s v="Pending"/>
    <s v="Unpaid"/>
    <s v="INV/2025/0033"/>
    <s v="Phone"/>
    <s v="3"/>
    <x v="5"/>
    <n v="2025"/>
    <s v="Immediate"/>
    <n v="30"/>
    <n v="0.08"/>
    <n v="1999.6895999999999"/>
    <n v="26995.809600000001"/>
    <s v="17.76$"/>
    <s v="DHL"/>
    <s v="FX758003774"/>
    <s v="2,25"/>
    <s v="A"/>
    <n v="473"/>
    <n v="5"/>
    <m/>
    <x v="1"/>
    <m/>
    <n v="0.3"/>
    <n v="485.92457280000002"/>
    <s v="David Johnson   "/>
    <s v="David Johnson   "/>
    <m/>
    <n v="24296.228640000001"/>
    <d v="2026-02-07T00:00:00"/>
    <n v="7288.8685919999998"/>
  </r>
  <r>
    <s v="TR-2025034"/>
    <d v="2025-06-23T00:00:00"/>
    <d v="2025-07-04T00:00:00"/>
    <s v="P-014"/>
    <x v="15"/>
    <s v="OfficeHub"/>
    <s v="Software"/>
    <s v="24 "/>
    <n v="1166.96"/>
    <n v="0.1"/>
    <n v="28007.040000000001"/>
    <s v="$"/>
    <x v="15"/>
    <x v="13"/>
    <x v="2"/>
    <s v="East"/>
    <s v="Miami"/>
    <s v="  Globex Llc"/>
    <s v=" 509238663"/>
    <s v="sarah.gmail.com"/>
    <s v="+1 259 804 3923"/>
    <s v="939 Miller Ave"/>
    <s v="32697"/>
    <s v="USA"/>
    <s v="Credit Card"/>
    <s v="Delivered"/>
    <s v="Unpaid"/>
    <s v="INV/2025/0034"/>
    <s v="Phone"/>
    <s v="1"/>
    <x v="4"/>
    <n v="2025"/>
    <s v="Immediate"/>
    <n v="37"/>
    <n v="0.08"/>
    <n v="2240.5632000000001"/>
    <n v="30247.603200000001"/>
    <s v="46.03$"/>
    <s v="ups"/>
    <s v="1Z865080132"/>
    <s v="12,99"/>
    <s v="B"/>
    <n v="180"/>
    <n v="3"/>
    <m/>
    <x v="1"/>
    <m/>
    <n v="0.3"/>
    <n v="680.57107200000007"/>
    <s v="  Sarah Williams"/>
    <s v="  Sarah Williams"/>
    <m/>
    <n v="22685.702400000002"/>
    <d v="2028-07-04T00:00:00"/>
    <n v="6805.71072"/>
  </r>
  <r>
    <s v="TR-2025035"/>
    <d v="2025-01-27T00:00:00"/>
    <d v="2025-04-02T00:00:00"/>
    <s v="P-060"/>
    <x v="29"/>
    <s v="Global Distrib"/>
    <s v="Electronics"/>
    <s v="38 "/>
    <n v="334.59"/>
    <n v="0.1"/>
    <n v="13745.318918918916"/>
    <s v="€"/>
    <x v="11"/>
    <x v="2"/>
    <x v="1"/>
    <s v="West"/>
    <s v="Boston"/>
    <s v="   Umbrella Llc"/>
    <s v=" 250559903"/>
    <s v="olivia.gmail.com"/>
    <s v="390.751.5500"/>
    <s v="269 Johnson Ave"/>
    <s v="51295"/>
    <s v="USA"/>
    <s v="Wire"/>
    <s v="Cancelled"/>
    <s v="Paid"/>
    <s v="INV/2025/0035"/>
    <s v="Phone"/>
    <s v="4"/>
    <x v="3"/>
    <n v="2025"/>
    <s v="Net 60"/>
    <n v="31"/>
    <n v="0.08"/>
    <n v="1099.6255135135134"/>
    <n v="14844.944432432429"/>
    <s v="42.83€"/>
    <s v="Fed Ex"/>
    <s v="1Z322808127"/>
    <s v="11.3 "/>
    <s v="C"/>
    <n v="72"/>
    <n v="5"/>
    <m/>
    <x v="1"/>
    <m/>
    <n v="0.25"/>
    <n v="356.27866637837832"/>
    <s v="Olivia Wilson"/>
    <s v="Olivia Wilson"/>
    <m/>
    <n v="11875.955545945944"/>
    <d v="2028-04-02T00:00:00"/>
    <n v="2968.9888864864861"/>
  </r>
  <r>
    <s v="TR-2025036"/>
    <d v="2026-03-26T00:00:00"/>
    <d v="2026-03-04T00:00:00"/>
    <s v="P-018"/>
    <x v="28"/>
    <s v="Global Distrib"/>
    <s v="Equipment"/>
    <s v="13"/>
    <n v="1470.36"/>
    <n v="0.05"/>
    <n v="19114.68"/>
    <s v="$"/>
    <x v="5"/>
    <x v="5"/>
    <x v="2"/>
    <s v="South"/>
    <s v="New York"/>
    <s v="Vortex Ltd."/>
    <s v=" 858287081"/>
    <s v="emma.company.com"/>
    <s v="500.976.4812"/>
    <s v="817 Miller St."/>
    <s v="41575"/>
    <s v="USA"/>
    <s v="Wire"/>
    <s v="Delivered"/>
    <s v="Paid"/>
    <s v="INV/2026/0036"/>
    <s v="Web"/>
    <s v="2"/>
    <x v="8"/>
    <n v="2026"/>
    <s v="Immediate"/>
    <n v="19"/>
    <n v="0.08"/>
    <n v="1529.1744000000001"/>
    <n v="20643.8544"/>
    <s v="32.74$"/>
    <s v="ups"/>
    <s v="1Z881941210"/>
    <s v="5.6"/>
    <s v="B"/>
    <n v="62"/>
    <n v="4"/>
    <m/>
    <x v="1"/>
    <m/>
    <n v="0.25"/>
    <n v="877.36381200000005"/>
    <s v="Emma Brown"/>
    <s v="Emma Brown"/>
    <m/>
    <n v="17547.276239999999"/>
    <d v="2027-03-04T00:00:00"/>
    <n v="4386.8190599999998"/>
  </r>
  <r>
    <s v="TR-2025037"/>
    <d v="2025-11-07T00:00:00"/>
    <d v="2025-12-11T00:00:00"/>
    <s v="P-032"/>
    <x v="2"/>
    <s v="OfficeHub"/>
    <s v="Software"/>
    <s v="38 "/>
    <n v="1479.77"/>
    <n v="0.1"/>
    <n v="56231.26"/>
    <s v="$"/>
    <x v="7"/>
    <x v="7"/>
    <x v="2"/>
    <s v="West"/>
    <s v="Miami"/>
    <s v="Globex Inc   "/>
    <s v=" 241701002"/>
    <s v="robert.company.com"/>
    <s v="+1 568 373 2475"/>
    <s v="153 Jones Street"/>
    <s v="14963"/>
    <s v="USA"/>
    <s v="Credit Card"/>
    <s v="Cancelled"/>
    <s v="Unpaid"/>
    <s v="INV/2025/0037"/>
    <s v="Online"/>
    <s v="3"/>
    <x v="10"/>
    <n v="2025"/>
    <s v="Immediate"/>
    <n v="0"/>
    <n v="0.08"/>
    <n v="4498.5008000000007"/>
    <n v="60729.760800000004"/>
    <s v="25.34$"/>
    <s v="ups"/>
    <s v="FX696240173"/>
    <s v="7,27"/>
    <s v="C"/>
    <n v="122"/>
    <n v="1"/>
    <m/>
    <x v="1"/>
    <m/>
    <n v="0.15"/>
    <n v="1366.4196180000001"/>
    <s v="Robert Johnson  "/>
    <s v="Robert Johnson  "/>
    <m/>
    <n v="45547.320600000006"/>
    <d v="2028-12-11T00:00:00"/>
    <n v="6832.0980900000004"/>
  </r>
  <r>
    <s v="TR-2025038"/>
    <d v="2026-06-15T00:00:00"/>
    <d v="2026-06-19T00:00:00"/>
    <s v="P-026"/>
    <x v="30"/>
    <s v="TechSupply Co"/>
    <s v="Electronics"/>
    <s v="19 "/>
    <n v="1411.27"/>
    <n v="0.1"/>
    <n v="26814.13"/>
    <s v="$"/>
    <x v="17"/>
    <x v="15"/>
    <x v="3"/>
    <s v="South"/>
    <s v="New York"/>
    <s v="  Acme Ltd."/>
    <s v="318762581"/>
    <s v="olivia.company.com"/>
    <s v="997.537.2131"/>
    <s v="652 Johnson St."/>
    <s v="82940"/>
    <s v="USA"/>
    <s v="Wire Transfer"/>
    <s v="Delivered"/>
    <s v="Unpaid"/>
    <s v="INV/2026/0038"/>
    <s v="Store"/>
    <s v="3"/>
    <x v="4"/>
    <n v="2026"/>
    <s v="Immediate"/>
    <n v="17"/>
    <n v="0.08"/>
    <n v="2145.1304"/>
    <n v="28959.260399999999"/>
    <s v="45.24$"/>
    <s v="USPS"/>
    <s v="DH276871522"/>
    <s v="23,55"/>
    <s v="B"/>
    <n v="382"/>
    <n v="4.5"/>
    <m/>
    <x v="1"/>
    <m/>
    <n v="0.25"/>
    <n v="695.02224960000001"/>
    <s v="Olivia Johnson "/>
    <s v="Olivia Johnson "/>
    <m/>
    <n v="23167.408320000002"/>
    <d v="2028-06-19T00:00:00"/>
    <n v="5791.8520800000006"/>
  </r>
  <r>
    <s v="TR-2025039"/>
    <d v="2026-08-12T00:00:00"/>
    <d v="2026-08-19T00:00:00"/>
    <s v="P-016"/>
    <x v="31"/>
    <s v="TechSupply Co"/>
    <s v="Office"/>
    <s v="4 "/>
    <n v="127.37"/>
    <n v="0.1"/>
    <n v="509.48"/>
    <s v="$"/>
    <x v="0"/>
    <x v="0"/>
    <x v="0"/>
    <s v="East"/>
    <s v="Chicago"/>
    <s v="Vortex Inc"/>
    <s v="966650888"/>
    <s v="james.gmail.com"/>
    <s v="(242) 584-4016"/>
    <s v="360 Anderson Blvd"/>
    <s v="41444"/>
    <s v="USA"/>
    <s v="Wire"/>
    <s v="Delivered"/>
    <s v="Paid"/>
    <s v="INV/2026/0039"/>
    <s v="Phone"/>
    <s v="3"/>
    <x v="1"/>
    <n v="2026"/>
    <s v="15"/>
    <n v="13"/>
    <n v="0.08"/>
    <n v="40.758400000000002"/>
    <n v="550.23840000000007"/>
    <s v="28.26$"/>
    <s v="ups"/>
    <s v="DH208348261"/>
    <s v="22,62"/>
    <s v="B"/>
    <n v="69"/>
    <n v="5"/>
    <m/>
    <x v="1"/>
    <m/>
    <n v="0.15"/>
    <n v="13.2057216"/>
    <s v="James Davis"/>
    <s v="James Davis"/>
    <m/>
    <n v="440.19072000000006"/>
    <d v="2027-08-19T00:00:00"/>
    <n v="66.028608000000006"/>
  </r>
  <r>
    <s v="TR-2025315"/>
    <d v="2026-05-02T00:00:00"/>
    <d v="2026-05-11T00:00:00"/>
    <s v="P-051"/>
    <x v="24"/>
    <s v="TechSupply Co"/>
    <s v="Office"/>
    <s v="3"/>
    <n v="1036.6500000000001"/>
    <n v="0.05"/>
    <n v="3109.9500000000003"/>
    <s v="$"/>
    <x v="5"/>
    <x v="5"/>
    <x v="2"/>
    <s v="South"/>
    <s v="New York"/>
    <s v="Globex Llc   "/>
    <s v=" 676954297"/>
    <s v="sarah.yahoo.com"/>
    <s v="(873) 709-9403"/>
    <s v="961 Johnson Street"/>
    <s v="49274"/>
    <s v="USA"/>
    <s v="Wire"/>
    <s v="Delivered"/>
    <s v="Partial"/>
    <s v="INV/2026/0315"/>
    <s v="Online"/>
    <s v="4"/>
    <x v="7"/>
    <n v="2026"/>
    <s v="Net 60"/>
    <n v="43"/>
    <n v="0.08"/>
    <n v="248.79600000000002"/>
    <n v="3358.7460000000001"/>
    <s v="5,85$"/>
    <s v="Fed Ex"/>
    <s v="DH773058896"/>
    <s v="16.22"/>
    <s v="B"/>
    <n v="300"/>
    <n v="5"/>
    <m/>
    <x v="1"/>
    <m/>
    <n v="0.3"/>
    <n v="142.74670499999999"/>
    <s v="Sarah Johnson"/>
    <s v="Sarah Johnson"/>
    <m/>
    <n v="2854.9340999999999"/>
    <d v="2028-05-11T00:00:00"/>
    <n v="856.48023000000001"/>
  </r>
  <r>
    <s v="TR-2025040"/>
    <d v="2025-03-03T00:00:00"/>
    <d v="2025-03-17T00:00:00"/>
    <s v="P-052"/>
    <x v="1"/>
    <s v="TechSupply Co"/>
    <s v="Furniture"/>
    <s v="32"/>
    <n v="1467.86"/>
    <n v="0"/>
    <n v="46971.519999999997"/>
    <s v="$"/>
    <x v="2"/>
    <x v="2"/>
    <x v="1"/>
    <s v="West"/>
    <s v="Boston"/>
    <s v="Wayne Inc."/>
    <s v=" 486805686"/>
    <s v="laura.yahoo.com"/>
    <s v="(788) 707-1791"/>
    <s v="316 Taylor St."/>
    <s v="90313"/>
    <s v="USA"/>
    <s v="Wire"/>
    <s v="Processing"/>
    <s v="Partial"/>
    <s v="INV/2025/0040"/>
    <s v="Store"/>
    <s v="4"/>
    <x v="8"/>
    <n v="2025"/>
    <s v="Net 60"/>
    <n v="0"/>
    <n v="0.08"/>
    <n v="3757.7215999999999"/>
    <n v="50729.241599999994"/>
    <s v="20.15$"/>
    <s v="ups"/>
    <s v="FX513945836"/>
    <s v="3,46"/>
    <s v="B"/>
    <n v="256"/>
    <n v="3"/>
    <m/>
    <x v="1"/>
    <m/>
    <n v="0.18"/>
    <n v="1369.6895231999999"/>
    <s v="Laura Miller"/>
    <s v="Laura Miller"/>
    <m/>
    <n v="45656.317439999999"/>
    <d v="2028-03-17T00:00:00"/>
    <n v="8218.1371392000001"/>
  </r>
  <r>
    <s v="TR-2025142"/>
    <d v="2025-09-16T00:00:00"/>
    <d v="2025-09-21T00:00:00"/>
    <s v="P-010"/>
    <x v="32"/>
    <s v="TechSupply Co"/>
    <s v="Equipment"/>
    <s v="25"/>
    <n v="1225.1099999999999"/>
    <n v="0.1"/>
    <n v="30627.749999999996"/>
    <s v="$"/>
    <x v="18"/>
    <x v="16"/>
    <x v="2"/>
    <s v="West"/>
    <s v="Los Angeles"/>
    <s v="Globex Inc."/>
    <s v="115358037"/>
    <s v="chris.gmail.com"/>
    <s v="(685) 870-5970"/>
    <s v="614 Williams St."/>
    <s v="26466"/>
    <s v="USA"/>
    <s v="Credit Card"/>
    <s v="Cancelled"/>
    <s v="Unpaid"/>
    <s v="INV/2025/0142"/>
    <s v="Phone"/>
    <s v="4"/>
    <x v="0"/>
    <n v="2025"/>
    <s v="15"/>
    <n v="79"/>
    <n v="0.08"/>
    <n v="2450.2199999999998"/>
    <n v="33077.969999999994"/>
    <s v="N/A$"/>
    <s v="ups"/>
    <s v="DH682392370"/>
    <s v="26.05"/>
    <s v="A"/>
    <n v="0"/>
    <n v="4"/>
    <m/>
    <x v="1"/>
    <m/>
    <n v="0.25"/>
    <n v="793.87127999999984"/>
    <s v="Chris Jones   "/>
    <s v="Chris Jones   "/>
    <m/>
    <n v="26462.375999999997"/>
    <d v="2027-09-21T00:00:00"/>
    <n v="6615.5939999999991"/>
  </r>
  <r>
    <s v="TR-2025041"/>
    <d v="2026-02-10T00:00:00"/>
    <d v="2026-02-11T00:00:00"/>
    <s v="P-026"/>
    <x v="30"/>
    <s v="TechSupply Co"/>
    <s v="Electronics"/>
    <s v="19 "/>
    <n v="1411.27"/>
    <n v="0.1"/>
    <n v="26814.13"/>
    <s v="$"/>
    <x v="16"/>
    <x v="14"/>
    <x v="1"/>
    <s v="West"/>
    <s v="Miami"/>
    <s v=" Initech Llc"/>
    <s v=" 544142395"/>
    <s v="sophia.gmail.com"/>
    <s v="787.883.4859"/>
    <s v="443 Davis St."/>
    <s v="76198"/>
    <s v="USA"/>
    <s v="Credit Card"/>
    <s v="Delivered"/>
    <s v="Unpaid"/>
    <s v="INV/2026/0041"/>
    <s v="Web"/>
    <s v="3"/>
    <x v="6"/>
    <n v="2026"/>
    <s v="Net 30"/>
    <n v="83"/>
    <n v="0.08"/>
    <n v="2145.1304"/>
    <n v="28959.260399999999"/>
    <s v="6.56$"/>
    <s v="ups"/>
    <s v="DH395362069"/>
    <s v="18,18"/>
    <s v="B"/>
    <n v="311"/>
    <n v="4"/>
    <m/>
    <x v="1"/>
    <m/>
    <n v="0.15"/>
    <n v="463.34816640000008"/>
    <s v="  Sophia Johnson  "/>
    <s v="  Sophia Johnson  "/>
    <m/>
    <n v="23167.408320000002"/>
    <d v="2028-02-11T00:00:00"/>
    <n v="3475.1112480000002"/>
  </r>
  <r>
    <s v="TR-2025042"/>
    <d v="2025-03-02T00:00:00"/>
    <d v="2025-11-03T00:00:00"/>
    <s v="P-018"/>
    <x v="28"/>
    <s v="Global Distrib"/>
    <s v="Equipment"/>
    <s v="38"/>
    <n v="1470.36"/>
    <n v="0.1"/>
    <n v="55873.679999999993"/>
    <s v="$"/>
    <x v="15"/>
    <x v="13"/>
    <x v="2"/>
    <s v="West"/>
    <s v="Miami"/>
    <s v="Vortex Inc. "/>
    <s v=" 498732700"/>
    <s v="robert.company.com"/>
    <s v="(273) 857-8829"/>
    <s v="350 Anderson St."/>
    <s v="15664"/>
    <s v="USA"/>
    <s v="Credit Card"/>
    <s v="Delivered"/>
    <s v="Unpaid"/>
    <s v="INV/2025/0042"/>
    <s v="Online"/>
    <s v="1"/>
    <x v="8"/>
    <n v="2025"/>
    <s v="15"/>
    <n v="33"/>
    <n v="0.08"/>
    <n v="4469.8943999999992"/>
    <n v="60343.57439999999"/>
    <s v="37.38$"/>
    <s v="USPS"/>
    <s v="DH872570652"/>
    <s v="12,6"/>
    <s v="C"/>
    <n v="135"/>
    <n v="3"/>
    <m/>
    <x v="1"/>
    <m/>
    <n v="0.3"/>
    <n v="1448.2457855999999"/>
    <s v="Robert Anderson   "/>
    <s v="Robert Anderson   "/>
    <m/>
    <n v="48274.859519999998"/>
    <d v="2026-11-03T00:00:00"/>
    <n v="14482.457855999999"/>
  </r>
  <r>
    <s v="TR-2025043"/>
    <d v="2025-06-07T00:00:00"/>
    <d v="2025-06-21T00:00:00"/>
    <s v="P-022"/>
    <x v="33"/>
    <s v="BestParts"/>
    <s v="Furniture"/>
    <s v="31 "/>
    <n v="893.58"/>
    <n v="0.1"/>
    <n v="27700.98"/>
    <s v="$"/>
    <x v="12"/>
    <x v="10"/>
    <x v="2"/>
    <s v="North"/>
    <s v="Houston"/>
    <s v="   Initech Inc"/>
    <s v=" 447211740"/>
    <s v="laura.company.com"/>
    <s v="(672) 696-4370"/>
    <s v="606 Williams St."/>
    <s v="58676"/>
    <s v="USA"/>
    <s v="Paypal"/>
    <s v="Pending"/>
    <s v="Unpaid"/>
    <s v="INV/2025/0043"/>
    <s v="Phone"/>
    <s v="1"/>
    <x v="4"/>
    <n v="2025"/>
    <s v="Net 30"/>
    <n v="0"/>
    <n v="0.08"/>
    <n v="2216.0783999999999"/>
    <n v="29917.058399999998"/>
    <s v=" 35$"/>
    <s v="FedEx"/>
    <s v="FX743248426"/>
    <s v="11.51"/>
    <s v="A"/>
    <n v="200"/>
    <n v="4"/>
    <m/>
    <x v="1"/>
    <m/>
    <n v="0.18"/>
    <n v="1196.6823360000001"/>
    <s v="  Laura Johnson "/>
    <s v="  Laura Johnson "/>
    <m/>
    <n v="23933.646720000001"/>
    <d v="2026-06-21T00:00:00"/>
    <n v="4308.0564095999998"/>
  </r>
  <r>
    <s v="TR-2025044"/>
    <d v="2026-08-15T00:00:00"/>
    <d v="2026-08-28T00:00:00"/>
    <s v="P-060"/>
    <x v="29"/>
    <s v="Global Distrib"/>
    <s v="Electronics"/>
    <s v="17"/>
    <n v="334.59"/>
    <n v="0"/>
    <n v="6169.2299349240775"/>
    <s v="€"/>
    <x v="14"/>
    <x v="12"/>
    <x v="3"/>
    <s v="West"/>
    <s v="Houston"/>
    <s v=" Umbrella Inc."/>
    <s v=" 999035931"/>
    <s v="john.gmail.com"/>
    <s v="827.288.9947"/>
    <s v="361 Johnson Street"/>
    <s v="96705"/>
    <s v="USA"/>
    <s v="Credit Card"/>
    <s v="Processing"/>
    <s v="Unpaid"/>
    <s v="INV/2026/0044"/>
    <s v="Store"/>
    <s v="1 "/>
    <x v="1"/>
    <n v="2026"/>
    <s v="Immediate"/>
    <n v="77"/>
    <n v="0.08"/>
    <n v="493.53839479392622"/>
    <n v="6662.7683297180038"/>
    <s v="38.44€"/>
    <s v="FedEx"/>
    <s v="1Z833233426"/>
    <s v="18.0 "/>
    <s v="B"/>
    <n v="472"/>
    <n v="4"/>
    <m/>
    <x v="1"/>
    <m/>
    <n v="0.25"/>
    <n v="119.92982993492407"/>
    <s v="  John Williams"/>
    <s v="  John Williams"/>
    <m/>
    <n v="5996.4914967462037"/>
    <d v="2029-08-28T00:00:00"/>
    <n v="1499.1228741865509"/>
  </r>
  <r>
    <s v="TR-2025045"/>
    <d v="2026-03-29T00:00:00"/>
    <d v="2026-04-04T00:00:00"/>
    <s v="P-040"/>
    <x v="8"/>
    <s v="TechSupply Co"/>
    <s v="Software"/>
    <s v="9"/>
    <n v="98.06"/>
    <n v="0.1"/>
    <n v="882.54"/>
    <s v="$"/>
    <x v="4"/>
    <x v="4"/>
    <x v="0"/>
    <s v="North"/>
    <s v="Houston"/>
    <s v="Vortex Inc"/>
    <s v=" 461801009"/>
    <s v="david.gmail.com"/>
    <s v="450.617.9500"/>
    <s v="796 Johnson St."/>
    <s v="29581"/>
    <s v="USA"/>
    <s v="Paypal"/>
    <s v="Processing"/>
    <s v="Partial"/>
    <s v="INV/2026/0045"/>
    <s v="Online"/>
    <s v="1"/>
    <x v="8"/>
    <n v="2026"/>
    <s v="15"/>
    <n v="88"/>
    <n v="0.08"/>
    <n v="70.603200000000001"/>
    <n v="953.14319999999998"/>
    <s v="37,66$"/>
    <s v="FedEx"/>
    <s v="1Z842113802"/>
    <s v="18,59"/>
    <s v="C"/>
    <n v="72"/>
    <n v="2"/>
    <m/>
    <x v="1"/>
    <m/>
    <n v="0.25"/>
    <n v="21.445722"/>
    <s v=" David Jones "/>
    <s v=" David Jones "/>
    <m/>
    <n v="714.85739999999998"/>
    <d v="2028-04-04T00:00:00"/>
    <n v="178.71435"/>
  </r>
  <r>
    <s v="TR-2025046"/>
    <d v="2026-04-06T00:00:00"/>
    <d v="2026-04-18T00:00:00"/>
    <s v="P-045"/>
    <x v="34"/>
    <s v="TechSupply Co"/>
    <s v="Software"/>
    <s v="7 "/>
    <n v="227.08"/>
    <n v="0"/>
    <n v="1589.5600000000002"/>
    <s v="$"/>
    <x v="7"/>
    <x v="7"/>
    <x v="2"/>
    <s v="South"/>
    <s v="Miami"/>
    <s v=" Umbrella Llc"/>
    <s v="800324313"/>
    <s v="david.gmail.com"/>
    <s v="+1 563 572 9883"/>
    <s v="807 Jones Ave"/>
    <s v="49002"/>
    <s v="USA"/>
    <s v="Credit Card"/>
    <s v="Delivered"/>
    <s v="Unpaid"/>
    <s v="INV/2026/0046"/>
    <s v="Phone"/>
    <s v="1"/>
    <x v="2"/>
    <n v="2026"/>
    <s v="15"/>
    <n v="28"/>
    <n v="0.08"/>
    <n v="127.16480000000001"/>
    <n v="1716.7248000000002"/>
    <s v=" 12$"/>
    <s v="FedEx"/>
    <s v="1Z206951192"/>
    <s v="19.94"/>
    <s v="B"/>
    <n v="224"/>
    <n v="2"/>
    <m/>
    <x v="1"/>
    <m/>
    <n v="0.25"/>
    <n v="43.776482400000006"/>
    <s v="David Jones"/>
    <s v="David Jones"/>
    <m/>
    <n v="1459.2160800000001"/>
    <d v="2029-04-18T00:00:00"/>
    <n v="364.80402000000004"/>
  </r>
  <r>
    <s v="TR-2025047"/>
    <d v="2025-09-30T00:00:00"/>
    <d v="2025-10-02T00:00:00"/>
    <s v="P-013"/>
    <x v="35"/>
    <s v="OfficeHub"/>
    <s v="Electronics"/>
    <s v="29"/>
    <n v="930.42"/>
    <n v="0.1"/>
    <n v="26982.18"/>
    <s v="$"/>
    <x v="19"/>
    <x v="17"/>
    <x v="1"/>
    <s v="West"/>
    <s v="Miami"/>
    <s v="Initech Ltd."/>
    <s v="376295913"/>
    <s v="laura.company.com"/>
    <s v="+1 903 958 1527"/>
    <s v="681 Anderson St."/>
    <s v="86345"/>
    <s v="USA"/>
    <s v="Cash"/>
    <s v="Pending"/>
    <s v="Paid"/>
    <s v="INV/2025/0047"/>
    <s v="Store"/>
    <s v="4"/>
    <x v="0"/>
    <n v="2025"/>
    <s v="15"/>
    <n v="2"/>
    <n v="0.08"/>
    <n v="2158.5744"/>
    <n v="29140.754400000002"/>
    <s v="#N/A$"/>
    <s v="Fed Ex"/>
    <s v="1Z426893931"/>
    <s v="17.5 "/>
    <s v="A"/>
    <n v="347"/>
    <n v="5"/>
    <m/>
    <x v="1"/>
    <m/>
    <n v="0"/>
    <n v="1165.6301760000003"/>
    <s v="Laura Brown"/>
    <s v="Laura Brown"/>
    <m/>
    <n v="23312.603520000004"/>
    <d v="2028-10-02T00:00:00"/>
    <n v="0"/>
  </r>
  <r>
    <s v="TR-2025048"/>
    <d v="2025-07-26T00:00:00"/>
    <d v="2025-02-08T00:00:00"/>
    <s v="P-054"/>
    <x v="16"/>
    <s v="OfficeHub"/>
    <s v="Office"/>
    <s v="30 "/>
    <n v="801.23"/>
    <n v="0"/>
    <n v="24036.9"/>
    <s v="$"/>
    <x v="0"/>
    <x v="0"/>
    <x v="0"/>
    <s v="West"/>
    <s v="Chicago"/>
    <s v="Vortex Inc"/>
    <s v="371847290"/>
    <s v="david.gmail.com"/>
    <s v="(475) 929-7680"/>
    <s v="296 Williams St."/>
    <s v="56061"/>
    <s v="USA"/>
    <s v="Cash"/>
    <s v="Pending"/>
    <s v="Unpaid"/>
    <s v="INV/2025/0048"/>
    <s v="Online"/>
    <s v="3"/>
    <x v="5"/>
    <n v="2025"/>
    <s v="15"/>
    <n v="63"/>
    <n v="0.08"/>
    <n v="1922.9520000000002"/>
    <n v="25959.852000000003"/>
    <s v="44,94$"/>
    <s v="FedEx"/>
    <s v="DH372030581"/>
    <s v="5.5 "/>
    <s v="A"/>
    <n v="210"/>
    <n v="4.5"/>
    <m/>
    <x v="1"/>
    <m/>
    <n v="0.25"/>
    <n v="700.91600400000004"/>
    <s v="David Brown"/>
    <s v="David Brown"/>
    <m/>
    <n v="23363.866800000003"/>
    <d v="2027-02-08T00:00:00"/>
    <n v="5840.9667000000009"/>
  </r>
  <r>
    <s v="TR-2025049"/>
    <d v="2025-07-04T00:00:00"/>
    <d v="2025-07-13T00:00:00"/>
    <s v="P-022"/>
    <x v="33"/>
    <s v="BestParts"/>
    <s v="Furniture"/>
    <s v="21 "/>
    <n v="893.58"/>
    <n v="0.1"/>
    <n v="18765.18"/>
    <s v="$"/>
    <x v="2"/>
    <x v="2"/>
    <x v="1"/>
    <s v="East"/>
    <s v="Boston"/>
    <s v="Umbrella Inc."/>
    <s v=" 272806008"/>
    <s v="chris.yahoo.com"/>
    <s v="+1 763 857 4342"/>
    <s v="785 Jones Ave"/>
    <s v="22418"/>
    <s v="USA"/>
    <s v="Wire Transfer"/>
    <s v="Pending"/>
    <s v="Paid"/>
    <s v="INV/2025/0049"/>
    <s v="Online"/>
    <s v="1"/>
    <x v="5"/>
    <n v="2025"/>
    <s v="Immediate"/>
    <n v="71"/>
    <n v="0.08"/>
    <n v="1501.2144000000001"/>
    <n v="20266.394400000001"/>
    <s v="39.92 $"/>
    <s v="USPS"/>
    <s v="1Z104225747"/>
    <s v="5.29"/>
    <s v="A"/>
    <n v="12"/>
    <n v="2"/>
    <m/>
    <x v="1"/>
    <m/>
    <n v="0.3"/>
    <n v="486.39346560000001"/>
    <s v="Chris Brown"/>
    <s v="Chris Brown"/>
    <m/>
    <n v="16213.115520000001"/>
    <d v="2026-07-13T00:00:00"/>
    <n v="4863.9346560000004"/>
  </r>
  <r>
    <s v="TR-2025050"/>
    <d v="2025-09-28T00:00:00"/>
    <d v="2025-03-10T00:00:00"/>
    <s v="P-004"/>
    <x v="6"/>
    <s v="OfficeHub"/>
    <s v="Electronics"/>
    <s v="17 "/>
    <n v="364.79"/>
    <n v="0.05"/>
    <n v="6201.43"/>
    <s v="$"/>
    <x v="19"/>
    <x v="17"/>
    <x v="1"/>
    <s v="South"/>
    <s v="Miami"/>
    <s v="Stark Inc."/>
    <s v="114117891"/>
    <s v="emily.gmail.com"/>
    <s v="(668) 446-5235"/>
    <s v="235 Smith St."/>
    <s v="68212"/>
    <s v="USA"/>
    <s v="Wire"/>
    <s v="Delivered"/>
    <s v="Paid"/>
    <s v="INV/2025/0050"/>
    <s v="Web"/>
    <s v="1 "/>
    <x v="0"/>
    <n v="2025"/>
    <s v="15"/>
    <n v="0"/>
    <n v="0.08"/>
    <n v="496.11440000000005"/>
    <n v="6697.5444000000007"/>
    <s v="41.35$"/>
    <s v="USPS"/>
    <s v="FX525758121"/>
    <s v="1,76"/>
    <s v="B"/>
    <n v="45"/>
    <n v="5"/>
    <m/>
    <x v="1"/>
    <m/>
    <n v="0.18"/>
    <n v="284.64563700000002"/>
    <s v=" Emily Johnson"/>
    <s v=" Emily Johnson"/>
    <m/>
    <n v="5692.9127400000007"/>
    <d v="2027-03-10T00:00:00"/>
    <n v="1024.7242932000001"/>
  </r>
  <r>
    <s v="TR-2025051"/>
    <d v="2025-03-18T00:00:00"/>
    <d v="2025-03-23T00:00:00"/>
    <s v="P-034"/>
    <x v="18"/>
    <s v="Global Distrib"/>
    <s v="Office"/>
    <s v="5"/>
    <n v="23.03"/>
    <n v="0.1"/>
    <n v="115.15"/>
    <s v="$"/>
    <x v="4"/>
    <x v="4"/>
    <x v="0"/>
    <s v="North"/>
    <s v="Houston"/>
    <s v="Umbrella Llc"/>
    <s v="465930425"/>
    <s v="olivia.gmail.com"/>
    <s v="+1 232 494 3212"/>
    <s v="168 Taylor Blvd"/>
    <s v="23165"/>
    <s v="USA"/>
    <s v="Wire Transfer"/>
    <s v="Pending"/>
    <s v="Unpaid"/>
    <s v="INV/2025/0051"/>
    <s v="Store"/>
    <s v="1"/>
    <x v="8"/>
    <n v="2025"/>
    <s v="Net 30"/>
    <n v="11"/>
    <n v="0.08"/>
    <n v="9.2120000000000015"/>
    <n v="124.36200000000001"/>
    <s v="23,64$"/>
    <s v="ups"/>
    <s v="FX522196969"/>
    <s v="21.51"/>
    <s v="B"/>
    <n v="54"/>
    <n v="4.5"/>
    <m/>
    <x v="1"/>
    <m/>
    <n v="0.25"/>
    <n v="2.9846880000000002"/>
    <s v="Olivia Davis"/>
    <s v="Olivia Davis"/>
    <m/>
    <n v="99.48960000000001"/>
    <d v="2027-03-23T00:00:00"/>
    <n v="24.872400000000003"/>
  </r>
  <r>
    <s v="TR-2025052"/>
    <d v="2025-12-16T00:00:00"/>
    <s v="-"/>
    <s v="P-012"/>
    <x v="23"/>
    <s v="OfficeHub"/>
    <s v="Electronics"/>
    <s v="13 "/>
    <n v="823.88"/>
    <n v="0.1"/>
    <n v="10710.44"/>
    <s v="$"/>
    <x v="20"/>
    <x v="18"/>
    <x v="3"/>
    <s v="East"/>
    <s v="Chicago"/>
    <s v="Acme Inc."/>
    <s v="429757560"/>
    <s v="daniel.company.com"/>
    <s v="962.893.9889"/>
    <s v="933 Smith Blvd"/>
    <s v="45474"/>
    <s v="USA"/>
    <s v="Paypal"/>
    <s v="Delivered"/>
    <s v="Unpaid"/>
    <s v="INV/2025/0052"/>
    <s v="Store"/>
    <s v="1 "/>
    <x v="9"/>
    <n v="2025"/>
    <s v="Net 30"/>
    <n v="15"/>
    <n v="0.08"/>
    <n v="856.8352000000001"/>
    <n v="11567.2752"/>
    <s v="45.15$"/>
    <s v="FedEx"/>
    <s v="DH172650775"/>
    <s v="25,81"/>
    <s v="B"/>
    <n v="159"/>
    <n v="5"/>
    <m/>
    <x v="1"/>
    <m/>
    <n v="0"/>
    <n v="185.07640320000002"/>
    <s v="Daniel Davis"/>
    <s v="Daniel Davis"/>
    <m/>
    <n v="9253.8201600000011"/>
    <s v="Empty"/>
    <n v="0"/>
  </r>
  <r>
    <s v="TR-2025311"/>
    <d v="2025-02-08T00:00:00"/>
    <d v="2025-11-02T00:00:00"/>
    <s v="P-006"/>
    <x v="36"/>
    <s v="TechSupply Co"/>
    <s v="Equipment"/>
    <s v="14 "/>
    <n v="1421.82"/>
    <n v="0.1"/>
    <n v="19905.48"/>
    <s v="$"/>
    <x v="6"/>
    <x v="6"/>
    <x v="2"/>
    <s v="West"/>
    <s v="Boston"/>
    <s v="Initech Llc"/>
    <s v="891637245"/>
    <s v="robert.gmail.com"/>
    <s v="+1 588 405 8590"/>
    <s v="170 Wilson Street"/>
    <s v="27723"/>
    <s v="USA"/>
    <s v="Credit Card"/>
    <s v="Delivered"/>
    <s v="Paid"/>
    <s v="INV/2025/0311"/>
    <s v="Online"/>
    <s v="2"/>
    <x v="6"/>
    <n v="2025"/>
    <s v="Net 30"/>
    <n v="60"/>
    <n v="0.08"/>
    <n v="1592.4384"/>
    <n v="21497.918399999999"/>
    <s v="13,63$"/>
    <s v="USPS"/>
    <s v="1Z598689555"/>
    <s v="18.1 "/>
    <s v="B"/>
    <n v="443"/>
    <n v="1"/>
    <m/>
    <x v="1"/>
    <m/>
    <n v="0.15"/>
    <n v="515.95004159999996"/>
    <s v="Robert Anderson   "/>
    <s v="Robert Anderson   "/>
    <m/>
    <n v="17198.334719999999"/>
    <d v="2026-11-02T00:00:00"/>
    <n v="2579.7502079999999"/>
  </r>
  <r>
    <s v="TR-2025053"/>
    <d v="2025-03-12T00:00:00"/>
    <d v="2025-03-16T00:00:00"/>
    <s v="P-038"/>
    <x v="37"/>
    <s v="TechSupply Co"/>
    <s v="Electronics"/>
    <s v="29 "/>
    <n v="687.68"/>
    <n v="0"/>
    <n v="19942.719999999998"/>
    <s v="$"/>
    <x v="15"/>
    <x v="13"/>
    <x v="2"/>
    <s v="West"/>
    <s v="Miami"/>
    <s v="Wayne Inc"/>
    <s v="300591442"/>
    <s v="james.company.com"/>
    <s v="(819) 587-3688"/>
    <s v="213 Taylor Street"/>
    <s v="66850"/>
    <s v="USA"/>
    <s v="Wire"/>
    <s v="Cancelled"/>
    <s v="Paid"/>
    <s v="INV/2025/0053"/>
    <s v="Online"/>
    <s v="1"/>
    <x v="8"/>
    <n v="2025"/>
    <s v="Immediate"/>
    <n v="3"/>
    <n v="0.08"/>
    <n v="1595.4175999999998"/>
    <n v="21538.137599999998"/>
    <s v="30,21$"/>
    <s v="DHL"/>
    <s v="DH602821939"/>
    <s v="24,1"/>
    <s v="A"/>
    <n v="383"/>
    <n v="4.5"/>
    <m/>
    <x v="1"/>
    <m/>
    <n v="0.18"/>
    <n v="581.52971519999994"/>
    <s v="   James Smith"/>
    <s v="   James Smith"/>
    <m/>
    <n v="19384.323839999997"/>
    <d v="2027-03-16T00:00:00"/>
    <n v="3489.1782911999994"/>
  </r>
  <r>
    <s v="TR-2025054"/>
    <d v="2025-08-10T00:00:00"/>
    <d v="2025-08-18T00:00:00"/>
    <s v="P-046"/>
    <x v="14"/>
    <s v="Global Distrib"/>
    <s v="Equipment"/>
    <s v="28 "/>
    <n v="549.41999999999996"/>
    <n v="0.1"/>
    <n v="15383.759999999998"/>
    <s v="$"/>
    <x v="17"/>
    <x v="15"/>
    <x v="3"/>
    <s v="West"/>
    <s v="New York"/>
    <s v="Acme Llc"/>
    <s v="606622553"/>
    <s v="ryan.company.com"/>
    <s v="+1 271 613 2645"/>
    <s v="361 Davis St."/>
    <s v="61986"/>
    <s v="USA"/>
    <s v="Wire"/>
    <s v="Delivered"/>
    <s v="Paid"/>
    <s v="INV/2025/0054"/>
    <s v="Phone"/>
    <s v="1 "/>
    <x v="1"/>
    <n v="2025"/>
    <s v="Immediate"/>
    <n v="55"/>
    <n v="0.08"/>
    <n v="1230.7007999999998"/>
    <n v="16614.460799999997"/>
    <s v="27.71$"/>
    <s v="FedEx"/>
    <s v="DH256032416"/>
    <s v="20.4 "/>
    <s v="C"/>
    <n v="292"/>
    <n v="5"/>
    <m/>
    <x v="1"/>
    <m/>
    <n v="0.15"/>
    <n v="398.74705919999991"/>
    <s v=" Ryan Taylor"/>
    <s v=" Ryan Taylor"/>
    <m/>
    <n v="13291.568639999998"/>
    <d v="2028-08-18T00:00:00"/>
    <n v="1993.7352959999996"/>
  </r>
  <r>
    <s v="TR-2025104"/>
    <d v="2026-04-05T00:00:00"/>
    <d v="2026-04-12T00:00:00"/>
    <s v="P-046"/>
    <x v="14"/>
    <s v="Global Distrib"/>
    <s v="Equipment"/>
    <s v="16 "/>
    <n v="549.41999999999996"/>
    <n v="0.05"/>
    <n v="8790.7199999999993"/>
    <s v="$"/>
    <x v="1"/>
    <x v="1"/>
    <x v="1"/>
    <s v="North"/>
    <s v="Seattle"/>
    <s v="Initech Inc"/>
    <s v="567147611"/>
    <s v="john.company.com"/>
    <s v="+1 852 532 1222"/>
    <s v="778 Davis Ave"/>
    <s v="02457"/>
    <s v="USA"/>
    <s v="Wire"/>
    <s v="Cancelled"/>
    <s v="Unpaid"/>
    <s v="INV/2026/0104"/>
    <s v="Web"/>
    <s v="1 "/>
    <x v="2"/>
    <n v="2026"/>
    <s v="15"/>
    <n v="41"/>
    <n v="0.08"/>
    <n v="703.25759999999991"/>
    <n v="9493.9775999999983"/>
    <s v="48.82$"/>
    <s v="FedEx"/>
    <s v="DH627617812"/>
    <s v="17,98"/>
    <s v="B"/>
    <n v="284"/>
    <n v="2"/>
    <m/>
    <x v="1"/>
    <m/>
    <n v="0.15"/>
    <n v="161.39761919999998"/>
    <s v="John Anderson"/>
    <s v="John Anderson"/>
    <m/>
    <n v="8069.8809599999986"/>
    <d v="2029-04-12T00:00:00"/>
    <n v="1210.4821439999998"/>
  </r>
  <r>
    <s v="TR-2025055"/>
    <d v="2026-01-08T00:00:00"/>
    <d v="2026-01-16T00:00:00"/>
    <s v="P-032"/>
    <x v="2"/>
    <s v="OfficeHub"/>
    <s v="Software"/>
    <s v="2 "/>
    <n v="1479.77"/>
    <n v="0"/>
    <n v="2959.54"/>
    <s v="$"/>
    <x v="7"/>
    <x v="7"/>
    <x v="2"/>
    <s v="North"/>
    <s v="Miami"/>
    <s v="Stark Inc "/>
    <s v="691518047"/>
    <s v="jessica.gmail.com"/>
    <s v="295.844.3940"/>
    <s v="130 Jones Street"/>
    <s v="12023"/>
    <s v="USA"/>
    <s v="Credit Card"/>
    <s v="Delivered"/>
    <s v="Unpaid"/>
    <s v="INV/2026/0055"/>
    <s v="Web"/>
    <s v="1"/>
    <x v="3"/>
    <n v="2026"/>
    <s v="Net 30"/>
    <n v="0"/>
    <n v="0.08"/>
    <n v="236.76320000000001"/>
    <n v="3196.3031999999998"/>
    <s v="18.03 $"/>
    <s v="ups"/>
    <s v="FX371992882"/>
    <s v="0,83"/>
    <s v="A"/>
    <n v="84"/>
    <n v="3"/>
    <m/>
    <x v="1"/>
    <m/>
    <n v="0"/>
    <n v="81.50573159999999"/>
    <s v="Jessica Taylor"/>
    <s v="Jessica Taylor"/>
    <m/>
    <n v="2716.85772"/>
    <d v="2029-01-16T00:00:00"/>
    <n v="0"/>
  </r>
  <r>
    <s v="TR-2025056"/>
    <d v="2025-12-12T00:00:00"/>
    <d v="2025-12-21T00:00:00"/>
    <s v="P-029"/>
    <x v="38"/>
    <s v="OfficeHub"/>
    <s v="Software"/>
    <s v="26 "/>
    <n v="1375.64"/>
    <n v="0.1"/>
    <n v="39217.807017543855"/>
    <s v="€"/>
    <x v="10"/>
    <x v="9"/>
    <x v="0"/>
    <s v="West"/>
    <s v="Los Angeles"/>
    <s v="Vortex Inc."/>
    <s v=" 789866266"/>
    <s v="robert.company.com"/>
    <s v="+1 481 284 9061"/>
    <s v="780 Johnson Blvd"/>
    <s v="39546"/>
    <s v="USA"/>
    <s v="Paypal"/>
    <s v="Delivered"/>
    <s v="Paid"/>
    <s v="INV/2025/0056"/>
    <s v="Online"/>
    <s v="1"/>
    <x v="9"/>
    <n v="2025"/>
    <s v="Net 60"/>
    <n v="14"/>
    <n v="0.08"/>
    <n v="3137.4245614035085"/>
    <n v="42355.231578947365"/>
    <s v="22.09€"/>
    <s v="FedEx"/>
    <s v="DH582009372"/>
    <s v="14,87"/>
    <s v="B"/>
    <n v="109"/>
    <n v="5"/>
    <m/>
    <x v="1"/>
    <m/>
    <n v="0.18"/>
    <n v="952.9927105263157"/>
    <s v="Robert Williams"/>
    <s v="Robert Williams"/>
    <m/>
    <n v="31766.423684210524"/>
    <d v="2027-12-21T00:00:00"/>
    <n v="5717.9562631578938"/>
  </r>
  <r>
    <s v="TR-2025057"/>
    <d v="2026-02-15T00:00:00"/>
    <d v="2026-02-20T00:00:00"/>
    <s v="P-042"/>
    <x v="13"/>
    <s v="TechSupply Co"/>
    <s v="Electronics"/>
    <s v="31"/>
    <n v="158.06"/>
    <n v="0.05"/>
    <n v="4899.8599999999997"/>
    <s v="$"/>
    <x v="21"/>
    <x v="19"/>
    <x v="2"/>
    <s v="West"/>
    <s v="Boston"/>
    <s v="Wayne Inc"/>
    <s v="276355873"/>
    <s v="emily.yahoo.com"/>
    <s v="827.509.2033"/>
    <s v="393 Taylor Blvd"/>
    <s v="28818"/>
    <s v="USA"/>
    <s v="Cash"/>
    <s v="Pending"/>
    <s v="Paid"/>
    <s v="INV/2026/0057"/>
    <s v="Phone"/>
    <s v="1"/>
    <x v="6"/>
    <n v="2026"/>
    <s v="Immediate"/>
    <n v="67"/>
    <n v="0.08"/>
    <n v="391.98879999999997"/>
    <n v="5291.8487999999998"/>
    <s v="8.02$"/>
    <s v="ups"/>
    <s v="FX280115051"/>
    <s v="27.0 "/>
    <s v="C"/>
    <n v="188"/>
    <s v=""/>
    <m/>
    <x v="1"/>
    <m/>
    <n v="0.18"/>
    <n v="89.961429599999988"/>
    <s v="Emily Smith"/>
    <s v="Emily Smith"/>
    <m/>
    <n v="4498.0714799999996"/>
    <d v="2029-02-20T00:00:00"/>
    <n v="809.65286639999988"/>
  </r>
  <r>
    <s v="TR-2025058"/>
    <d v="2025-05-12T00:00:00"/>
    <d v="2025-09-12T00:00:00"/>
    <s v="P-038"/>
    <x v="37"/>
    <s v="TechSupply Co"/>
    <s v="Electronics"/>
    <s v="37"/>
    <n v="687.68"/>
    <n v="0.1"/>
    <n v="27899.298245614034"/>
    <s v="€"/>
    <x v="4"/>
    <x v="4"/>
    <x v="0"/>
    <s v="South"/>
    <s v="Houston"/>
    <s v="Initech Inc. "/>
    <s v="828226053"/>
    <s v="#N/A"/>
    <s v="727.625.6734"/>
    <s v="604 Taylor St."/>
    <s v="02712"/>
    <s v="USA"/>
    <s v="Credit Card"/>
    <s v="Delivered"/>
    <s v="Paid"/>
    <s v="INV/2025/0058"/>
    <s v="Online"/>
    <s v="1 "/>
    <x v="9"/>
    <n v="2025"/>
    <s v="Net 60"/>
    <n v="86"/>
    <n v="0.08"/>
    <n v="2231.9438596491227"/>
    <n v="30131.242105263158"/>
    <s v="49.63€"/>
    <s v="USPS"/>
    <s v="FX218650855"/>
    <s v="26.8 "/>
    <s v="B"/>
    <n v="445"/>
    <n v="1"/>
    <m/>
    <x v="1"/>
    <m/>
    <n v="0.15"/>
    <n v="723.14981052631583"/>
    <s v="Robert Williams  "/>
    <s v="Robert Williams  "/>
    <m/>
    <n v="24104.993684210527"/>
    <d v="2027-09-12T00:00:00"/>
    <n v="3615.7490526315792"/>
  </r>
  <r>
    <s v="TR-2025059"/>
    <d v="2025-06-11T00:00:00"/>
    <d v="2025-06-16T00:00:00"/>
    <s v="P-010"/>
    <x v="32"/>
    <s v="TechSupply Co"/>
    <s v="Equipment"/>
    <s v="10"/>
    <n v="1225.1099999999999"/>
    <n v="0.1"/>
    <n v="12251.099999999999"/>
    <s v="$"/>
    <x v="22"/>
    <x v="20"/>
    <x v="3"/>
    <s v="North"/>
    <s v="Houston"/>
    <s v="Vortex Inc."/>
    <s v=" 195399847"/>
    <s v="emily.company.com"/>
    <s v="(972) 515-2215"/>
    <s v="313 Davis Ave"/>
    <s v="14915"/>
    <s v="USA"/>
    <s v="Credit Card"/>
    <s v="Delivered"/>
    <s v="Paid"/>
    <s v="INV/2025/0059"/>
    <s v="Phone"/>
    <s v="1"/>
    <x v="4"/>
    <n v="2025"/>
    <s v="15"/>
    <n v="80"/>
    <n v="0.08"/>
    <n v="980.08799999999985"/>
    <n v="13231.187999999998"/>
    <s v="null$"/>
    <s v="USPS"/>
    <s v="DH869629458"/>
    <s v="5.82"/>
    <s v="B"/>
    <n v="132"/>
    <n v="2"/>
    <m/>
    <x v="1"/>
    <m/>
    <n v="0.18"/>
    <n v="529.24752000000001"/>
    <s v="   Emily Anderson"/>
    <s v="   Emily Anderson"/>
    <m/>
    <n v="10584.9504"/>
    <d v="2027-06-16T00:00:00"/>
    <n v="1905.291072"/>
  </r>
  <r>
    <s v="TR-2025060"/>
    <d v="2025-12-05T00:00:00"/>
    <d v="2025-12-08T00:00:00"/>
    <s v="P-016"/>
    <x v="31"/>
    <s v="TechSupply Co"/>
    <s v="Office"/>
    <s v="3 "/>
    <n v="127.37"/>
    <n v="0"/>
    <n v="382.11"/>
    <s v="$"/>
    <x v="7"/>
    <x v="7"/>
    <x v="2"/>
    <s v="North"/>
    <s v="Miami"/>
    <s v="Wayne Llc  "/>
    <s v="357724330"/>
    <s v="james.company.com"/>
    <s v="+1 912 575 7662"/>
    <s v="449 Williams Street"/>
    <s v="18304"/>
    <s v="USA"/>
    <s v="Credit Card"/>
    <s v="Pending"/>
    <s v="Paid"/>
    <s v="INV/2025/0060"/>
    <s v="Store"/>
    <s v="4"/>
    <x v="9"/>
    <n v="2025"/>
    <s v="Immediate"/>
    <n v="11"/>
    <n v="0.08"/>
    <n v="30.568800000000003"/>
    <n v="412.67880000000002"/>
    <s v="7.65 $"/>
    <s v="ups"/>
    <s v="DH441786172"/>
    <s v="16,82"/>
    <s v="B"/>
    <n v="496"/>
    <n v="4.5"/>
    <m/>
    <x v="1"/>
    <m/>
    <n v="0.18"/>
    <n v="11.1423276"/>
    <s v="James Davis"/>
    <s v="James Davis"/>
    <m/>
    <n v="371.41092000000003"/>
    <d v="2026-12-08T00:00:00"/>
    <n v="66.853965600000009"/>
  </r>
  <r>
    <s v="TR-2025061"/>
    <d v="2026-05-30T00:00:00"/>
    <d v="2026-05-31T00:00:00"/>
    <s v="P-018"/>
    <x v="28"/>
    <s v="Global Distrib"/>
    <s v="Equipment"/>
    <s v="33 "/>
    <n v="1470.36"/>
    <n v="0"/>
    <n v="48521.88"/>
    <s v="$"/>
    <x v="2"/>
    <x v="2"/>
    <x v="1"/>
    <s v="West"/>
    <s v="Boston"/>
    <s v="Umbrella Ltd."/>
    <s v=" 351046051"/>
    <s v="john.company.com"/>
    <s v="+1 910 217 5469"/>
    <s v="420 Smith Blvd"/>
    <s v="80736"/>
    <s v="USA"/>
    <s v="Credit Card"/>
    <s v="Processing"/>
    <s v="Unpaid"/>
    <s v="INV/2026/0061"/>
    <s v="Phone"/>
    <s v="1"/>
    <x v="7"/>
    <n v="2026"/>
    <s v="15"/>
    <n v="0"/>
    <n v="0.08"/>
    <n v="3881.7503999999999"/>
    <n v="52403.630399999995"/>
    <s v="44.82$"/>
    <s v="ups"/>
    <s v="FX571642340"/>
    <s v="4,7"/>
    <s v="A"/>
    <n v="364"/>
    <n v="5"/>
    <m/>
    <x v="1"/>
    <m/>
    <n v="0.3"/>
    <n v="1414.8980207999998"/>
    <s v="John Davis  "/>
    <s v="John Davis  "/>
    <m/>
    <n v="47163.267359999998"/>
    <d v="2027-05-31T00:00:00"/>
    <n v="14148.980207999999"/>
  </r>
  <r>
    <s v="TR-2025062"/>
    <d v="2026-03-27T00:00:00"/>
    <d v="2026-03-30T00:00:00"/>
    <s v="P-058"/>
    <x v="10"/>
    <s v="Global Distrib"/>
    <s v="Furniture"/>
    <s v="26"/>
    <n v="711"/>
    <n v="0"/>
    <n v="18486"/>
    <s v="$"/>
    <x v="7"/>
    <x v="7"/>
    <x v="2"/>
    <s v="East"/>
    <s v="Miami"/>
    <s v="Acme Llc"/>
    <s v="231363363"/>
    <s v="olivia.yahoo.com"/>
    <s v="(626) 571-1252"/>
    <s v="342 Anderson St."/>
    <s v="50441"/>
    <s v="USA"/>
    <s v="Wire"/>
    <s v="Processing"/>
    <s v="Unpaid"/>
    <s v="INV/2026/0062"/>
    <s v="Phone"/>
    <s v="4"/>
    <x v="8"/>
    <n v="2026"/>
    <s v="Net 30"/>
    <n v="6"/>
    <n v="0.08"/>
    <n v="1478.88"/>
    <n v="19964.88"/>
    <s v="11,39$"/>
    <s v="DHL"/>
    <s v="FX688786933"/>
    <s v="4.9 "/>
    <s v="B"/>
    <n v="480"/>
    <n v="2"/>
    <m/>
    <x v="1"/>
    <m/>
    <n v="0.25"/>
    <n v="539.05175999999994"/>
    <s v="  Olivia Jones"/>
    <s v="  Olivia Jones"/>
    <m/>
    <n v="17968.392"/>
    <d v="2027-03-30T00:00:00"/>
    <n v="4492.098"/>
  </r>
  <r>
    <s v="TR-2025063"/>
    <d v="2025-06-23T00:00:00"/>
    <d v="2025-07-07T00:00:00"/>
    <s v="P-034"/>
    <x v="18"/>
    <s v="Global Distrib"/>
    <s v="Office"/>
    <s v="33 "/>
    <n v="23.03"/>
    <n v="0.05"/>
    <n v="759.99"/>
    <s v="$"/>
    <x v="16"/>
    <x v="14"/>
    <x v="1"/>
    <s v="West"/>
    <s v="Miami"/>
    <s v="Acme Inc   "/>
    <s v=" 276734200"/>
    <s v="robert.company.com"/>
    <s v="(585) 424-6255"/>
    <s v="555 Williams Street"/>
    <s v="85572"/>
    <s v="USA"/>
    <s v="Cash"/>
    <s v="Pending"/>
    <s v="Paid"/>
    <s v="INV/2025/0063"/>
    <s v="Web"/>
    <s v="4"/>
    <x v="4"/>
    <n v="2025"/>
    <s v="Net 60"/>
    <n v="37"/>
    <n v="0.08"/>
    <n v="60.799199999999999"/>
    <n v="820.78920000000005"/>
    <s v="35.83$"/>
    <s v="Fed Ex"/>
    <s v="FX431436898"/>
    <s v="29,21"/>
    <s v="A"/>
    <n v="343"/>
    <n v="5"/>
    <m/>
    <x v="1"/>
    <m/>
    <n v="0"/>
    <n v="13.953416400000002"/>
    <s v=" Robert Wilson   "/>
    <s v=" Robert Wilson   "/>
    <m/>
    <n v="697.67082000000005"/>
    <d v="2027-07-07T00:00:00"/>
    <n v="0"/>
  </r>
  <r>
    <s v="TR-2025064"/>
    <d v="2026-06-09T00:00:00"/>
    <d v="2026-06-10T00:00:00"/>
    <s v="P-060"/>
    <x v="29"/>
    <s v="Global Distrib"/>
    <s v="Electronics"/>
    <s v="10"/>
    <n v="334.59"/>
    <n v="0.1"/>
    <n v="3345.8999999999996"/>
    <s v="$"/>
    <x v="1"/>
    <x v="1"/>
    <x v="1"/>
    <s v="North"/>
    <s v="Seattle"/>
    <s v="Globex Ltd."/>
    <s v="401652263"/>
    <s v="david.gmail.com"/>
    <s v="+1 877 765 8930"/>
    <s v="717 Taylor Blvd"/>
    <s v="50373"/>
    <s v="USA"/>
    <s v="Credit Card"/>
    <s v="Delivered"/>
    <s v="Unpaid"/>
    <s v="INV/2026/0064"/>
    <s v="Store"/>
    <s v="4"/>
    <x v="4"/>
    <n v="2026"/>
    <s v="15"/>
    <n v="88"/>
    <n v="0.08"/>
    <n v="267.67199999999997"/>
    <n v="3613.5719999999997"/>
    <s v="11,20$"/>
    <s v="ups"/>
    <s v="FX647444829"/>
    <s v="18,76"/>
    <s v="B"/>
    <n v="205"/>
    <n v="5"/>
    <m/>
    <x v="1"/>
    <m/>
    <n v="0.18"/>
    <n v="57.817152"/>
    <s v="   David Johnson "/>
    <s v="   David Johnson "/>
    <m/>
    <n v="2890.8575999999998"/>
    <d v="2029-06-10T00:00:00"/>
    <n v="520.35436799999991"/>
  </r>
  <r>
    <s v="TR-2025065"/>
    <d v="2025-09-28T00:00:00"/>
    <d v="2025-10-08T00:00:00"/>
    <s v="P-037"/>
    <x v="39"/>
    <s v="OfficeHub"/>
    <s v="Office"/>
    <s v="23 "/>
    <n v="1037.29"/>
    <n v="0.05"/>
    <n v="23857.67"/>
    <s v="$"/>
    <x v="12"/>
    <x v="10"/>
    <x v="2"/>
    <s v="South"/>
    <s v="Houston"/>
    <s v="Umbrella Inc"/>
    <s v=" 566010774"/>
    <s v="daniel.yahoo.com"/>
    <s v="+1 365 686 9809"/>
    <s v="857 Johnson Street"/>
    <s v="27114"/>
    <s v="USA"/>
    <s v="Credit Card"/>
    <s v="Delivered"/>
    <s v="Partial"/>
    <s v="INV/2025/0065"/>
    <s v="Web"/>
    <s v="1 "/>
    <x v="0"/>
    <n v="2025"/>
    <s v="15"/>
    <n v="0"/>
    <n v="0.08"/>
    <n v="1908.6135999999999"/>
    <n v="25766.283599999999"/>
    <s v="5.22 $"/>
    <s v="USPS"/>
    <s v="1Z842246470"/>
    <s v="9.28"/>
    <s v="A"/>
    <n v="429"/>
    <n v="1"/>
    <m/>
    <x v="1"/>
    <m/>
    <n v="0.25"/>
    <n v="1095.067053"/>
    <s v=" Daniel Johnson"/>
    <s v=" Daniel Johnson"/>
    <m/>
    <n v="21901.341059999999"/>
    <d v="2028-10-08T00:00:00"/>
    <n v="5475.3352649999997"/>
  </r>
  <r>
    <s v="TR-2025066"/>
    <d v="2026-02-28T00:00:00"/>
    <d v="2026-02-03T00:00:00"/>
    <s v="P-024"/>
    <x v="9"/>
    <s v="TechSupply Co"/>
    <s v="Electronics"/>
    <s v="15 "/>
    <n v="95.7"/>
    <n v="0.05"/>
    <n v="1435.5"/>
    <s v="$"/>
    <x v="5"/>
    <x v="5"/>
    <x v="2"/>
    <s v="West"/>
    <s v="New York"/>
    <s v="Acme Inc"/>
    <s v="363185602"/>
    <s v="sophia.gmail.com"/>
    <s v="+1 465 842 8999"/>
    <s v="838 Williams Ave"/>
    <s v="57889"/>
    <s v="USA"/>
    <s v="Credit Card"/>
    <s v="Pending"/>
    <s v="Partial"/>
    <s v="INV/2026/0066"/>
    <s v="Online"/>
    <s v="4"/>
    <x v="6"/>
    <n v="2026"/>
    <s v="Immediate"/>
    <n v="56"/>
    <n v="0.08"/>
    <n v="114.84"/>
    <n v="1550.34"/>
    <s v="$"/>
    <s v="ups"/>
    <s v="1Z948967854"/>
    <s v="8.93"/>
    <s v="A"/>
    <n v="46"/>
    <n v="2"/>
    <m/>
    <x v="1"/>
    <m/>
    <n v="0.18"/>
    <n v="65.889449999999997"/>
    <s v="Sophia Smith   "/>
    <s v="Sophia Smith   "/>
    <m/>
    <n v="1317.789"/>
    <d v="2028-02-03T00:00:00"/>
    <n v="237.20201999999998"/>
  </r>
  <r>
    <s v="TR-2025067"/>
    <d v="2026-01-28T00:00:00"/>
    <d v="2026-02-05T00:00:00"/>
    <s v="P-032"/>
    <x v="2"/>
    <s v="OfficeHub"/>
    <s v="Software"/>
    <s v="28 "/>
    <n v="1479.77"/>
    <n v="0.1"/>
    <n v="41433.56"/>
    <s v="$"/>
    <x v="6"/>
    <x v="6"/>
    <x v="2"/>
    <s v="West"/>
    <s v="Boston"/>
    <s v="Umbrella Inc"/>
    <s v=" 729349177"/>
    <s v="ryan.company.com"/>
    <s v="+1 508 718 1316"/>
    <s v="91 Smith Street"/>
    <s v="20806"/>
    <s v="USA"/>
    <s v="Credit Card"/>
    <s v="Delivered"/>
    <s v="Paid"/>
    <s v="INV/2026/0067"/>
    <s v="Online"/>
    <s v="3"/>
    <x v="3"/>
    <n v="2026"/>
    <s v="Net 60"/>
    <n v="53"/>
    <n v="0.08"/>
    <n v="3314.6848"/>
    <n v="44748.2448"/>
    <s v="15.64$"/>
    <s v="FedEx"/>
    <s v="DH804734710"/>
    <s v="12.31"/>
    <s v="B"/>
    <n v="32"/>
    <n v="4"/>
    <m/>
    <x v="1"/>
    <m/>
    <n v="0"/>
    <n v="1006.8355080000001"/>
    <s v="Ryan Brown"/>
    <s v="Ryan Brown"/>
    <m/>
    <n v="33561.183600000004"/>
    <d v="2029-02-05T00:00:00"/>
    <n v="0"/>
  </r>
  <r>
    <s v="TR-2025068"/>
    <d v="2026-06-13T00:00:00"/>
    <d v="2026-06-27T00:00:00"/>
    <s v="P-006"/>
    <x v="36"/>
    <s v="TechSupply Co"/>
    <s v="Equipment"/>
    <s v="22 "/>
    <n v="1421.82"/>
    <n v="0.05"/>
    <n v="31280.039999999997"/>
    <s v="$"/>
    <x v="12"/>
    <x v="10"/>
    <x v="2"/>
    <s v="South"/>
    <s v="Houston"/>
    <s v="Acme Inc   "/>
    <s v="960141080"/>
    <s v="sarah.yahoo.com"/>
    <s v="(741) 903-7874"/>
    <s v="384 Taylor Ave"/>
    <s v="53736"/>
    <s v="USA"/>
    <s v="Wire"/>
    <s v="Cancelled"/>
    <s v="Paid"/>
    <s v="INV/2026/0068"/>
    <s v="Phone"/>
    <s v="1"/>
    <x v="4"/>
    <n v="2026"/>
    <s v="Immediate"/>
    <n v="4"/>
    <n v="0.08"/>
    <n v="2502.4031999999997"/>
    <n v="33782.443199999994"/>
    <s v="34.15$"/>
    <s v="Fed Ex"/>
    <s v="FX939150328"/>
    <s v="23.6 "/>
    <s v="C"/>
    <n v="188"/>
    <n v="3"/>
    <m/>
    <x v="1"/>
    <m/>
    <n v="0.18"/>
    <n v="1435.7538359999999"/>
    <s v="Sarah Miller"/>
    <s v="Sarah Miller"/>
    <m/>
    <n v="28715.076719999994"/>
    <d v="2027-06-27T00:00:00"/>
    <n v="5168.713809599999"/>
  </r>
  <r>
    <s v="TR-2025069"/>
    <d v="2025-08-18T00:00:00"/>
    <d v="2025-08-22T00:00:00"/>
    <s v="P-046"/>
    <x v="14"/>
    <s v="Global Distrib"/>
    <s v="Equipment"/>
    <s v="22"/>
    <n v="549.41999999999996"/>
    <n v="0"/>
    <n v="12087.24"/>
    <s v="$"/>
    <x v="14"/>
    <x v="12"/>
    <x v="3"/>
    <s v="North"/>
    <s v="Houston"/>
    <s v="Initech Inc."/>
    <s v="846787451"/>
    <s v="sophia.yahoo.com"/>
    <s v="395.292.6502"/>
    <s v="445 Brown Ave"/>
    <s v="75285"/>
    <s v="USA"/>
    <s v="Wire"/>
    <s v="Processing"/>
    <s v="Paid"/>
    <s v="INV/2025/0069"/>
    <s v="Online"/>
    <s v="1"/>
    <x v="1"/>
    <n v="2025"/>
    <s v="Net 60"/>
    <n v="84"/>
    <n v="0.08"/>
    <n v="966.97919999999999"/>
    <n v="13054.2192"/>
    <s v=" 39$"/>
    <s v="ups"/>
    <s v="DH441134063"/>
    <s v="27.61"/>
    <s v="A"/>
    <n v="380"/>
    <n v="3"/>
    <m/>
    <x v="1"/>
    <m/>
    <n v="0"/>
    <n v="234.97594560000002"/>
    <s v="Sophia Jones"/>
    <s v="Sophia Jones"/>
    <m/>
    <n v="11748.797280000001"/>
    <d v="2028-08-22T00:00:00"/>
    <n v="0"/>
  </r>
  <r>
    <s v="TR-2025070"/>
    <d v="2025-06-28T00:00:00"/>
    <d v="2025-10-07T00:00:00"/>
    <s v="P-053"/>
    <x v="5"/>
    <s v="Global Distrib"/>
    <s v="Equipment"/>
    <s v="5"/>
    <n v="553.22"/>
    <n v="0.1"/>
    <n v="2766.1000000000004"/>
    <s v="$"/>
    <x v="9"/>
    <x v="9"/>
    <x v="0"/>
    <s v="West"/>
    <s v="Los Angeles"/>
    <s v="Acme Inc."/>
    <s v=" 511809674"/>
    <s v="emily.yahoo.com"/>
    <s v="703.300.7625"/>
    <s v="105 Wilson Blvd"/>
    <s v="67143"/>
    <s v="USA"/>
    <s v="Paypal"/>
    <s v="Delivered"/>
    <s v="Partial"/>
    <s v="INV/2025/0070"/>
    <s v="Store"/>
    <s v="1"/>
    <x v="4"/>
    <n v="2025"/>
    <s v="Net 60"/>
    <n v="85"/>
    <n v="0.08"/>
    <n v="221.28800000000004"/>
    <n v="2987.3880000000004"/>
    <s v="44,76$"/>
    <s v="ups"/>
    <s v="FX211131300"/>
    <s v="22.9 "/>
    <s v="B"/>
    <n v="278"/>
    <n v="5"/>
    <m/>
    <x v="1"/>
    <m/>
    <n v="0"/>
    <n v="71.697311999999997"/>
    <s v="Emily Wilson   "/>
    <s v="Emily Wilson   "/>
    <m/>
    <n v="2389.9104000000002"/>
    <d v="2027-10-07T00:00:00"/>
    <n v="0"/>
  </r>
  <r>
    <s v="TR-2025071"/>
    <d v="2025-02-16T00:00:00"/>
    <d v="2025-02-28T00:00:00"/>
    <s v="P-041"/>
    <x v="17"/>
    <s v="TechSupply Co"/>
    <s v="Software"/>
    <s v="19 "/>
    <n v="247.64"/>
    <n v="0.05"/>
    <n v="4705.16"/>
    <s v="$"/>
    <x v="14"/>
    <x v="12"/>
    <x v="3"/>
    <s v="South"/>
    <s v="Houston"/>
    <s v="Globex Inc"/>
    <s v=" 390686616"/>
    <s v="daniel.gmail.com"/>
    <s v="(367) 200-7507"/>
    <s v="389 Williams Ave"/>
    <s v="72013"/>
    <s v="USA"/>
    <s v="Credit Card"/>
    <s v="Cancelled"/>
    <s v="Paid"/>
    <s v="INV/2025/0071"/>
    <s v="Web"/>
    <s v="2"/>
    <x v="6"/>
    <n v="2025"/>
    <s v="15"/>
    <n v="39"/>
    <n v="0.08"/>
    <n v="376.4128"/>
    <n v="5081.5727999999999"/>
    <s v="2.71 $"/>
    <s v="Fed Ex"/>
    <s v="FX780466790"/>
    <s v="15.7"/>
    <s v="A"/>
    <n v="160"/>
    <n v="5"/>
    <m/>
    <x v="1"/>
    <m/>
    <n v="0"/>
    <n v="81.3051648"/>
    <s v="   Daniel Smith"/>
    <s v="   Daniel Smith"/>
    <m/>
    <n v="4065.2582400000001"/>
    <d v="2027-02-28T00:00:00"/>
    <n v="0"/>
  </r>
  <r>
    <s v="TR-2025072"/>
    <d v="2025-01-21T00:00:00"/>
    <d v="2025-01-27T00:00:00"/>
    <s v="P-045"/>
    <x v="34"/>
    <s v="TechSupply Co"/>
    <s v="Software"/>
    <s v="8"/>
    <n v="227.08"/>
    <n v="0"/>
    <n v="1816.64"/>
    <s v="$"/>
    <x v="1"/>
    <x v="1"/>
    <x v="1"/>
    <s v="West"/>
    <s v="Seattle"/>
    <s v="Vortex Inc."/>
    <s v="236601477"/>
    <s v="sarah.yahoo.com"/>
    <s v="655.489.4073"/>
    <s v="815 Wilson Ave"/>
    <s v="50787"/>
    <s v="USA"/>
    <s v="Credit Card"/>
    <s v="Cancelled"/>
    <s v="Paid"/>
    <s v="INV/2025/0072"/>
    <s v="Online"/>
    <s v="2"/>
    <x v="3"/>
    <n v="2025"/>
    <s v="Immediate"/>
    <n v="33"/>
    <n v="0.08"/>
    <n v="145.33120000000002"/>
    <n v="1961.9712000000002"/>
    <s v="25.10 $"/>
    <s v="DHL"/>
    <s v="FX304889068"/>
    <s v="14.5 "/>
    <s v="B"/>
    <n v="328"/>
    <n v="2"/>
    <m/>
    <x v="1"/>
    <m/>
    <n v="0.3"/>
    <n v="33.353510399999998"/>
    <s v="Sarah Jones"/>
    <s v="Sarah Jones"/>
    <m/>
    <n v="1667.67552"/>
    <d v="2028-01-27T00:00:00"/>
    <n v="500.30265599999996"/>
  </r>
  <r>
    <s v="TR-2025073"/>
    <d v="2025-06-27T00:00:00"/>
    <d v="2025-07-11T00:00:00"/>
    <s v="P-040"/>
    <x v="8"/>
    <s v="TechSupply Co"/>
    <s v="Software"/>
    <s v="33 "/>
    <n v="98.06"/>
    <n v="0.1"/>
    <n v="3235.98"/>
    <s v="$"/>
    <x v="13"/>
    <x v="11"/>
    <x v="0"/>
    <s v="West"/>
    <s v="Houston"/>
    <s v="Umbrella Inc.   "/>
    <s v=" 644652046"/>
    <s v="sophia.yahoo.com"/>
    <s v="(522) 705-8311"/>
    <s v="58 Miller Ave"/>
    <s v="11313"/>
    <s v="USA"/>
    <s v="Wire Transfer"/>
    <s v="Processing"/>
    <s v="Partial"/>
    <s v="INV/2025/0073"/>
    <s v="Online"/>
    <s v="2"/>
    <x v="4"/>
    <n v="2025"/>
    <s v="Net 30"/>
    <n v="0"/>
    <n v="0.08"/>
    <n v="258.8784"/>
    <n v="3494.8584000000001"/>
    <s v="19,02$"/>
    <s v="ups"/>
    <s v="FX171869367"/>
    <s v="4.33"/>
    <s v="A"/>
    <n v="40"/>
    <n v="1"/>
    <m/>
    <x v="1"/>
    <m/>
    <n v="0.3"/>
    <n v="78.634313999999989"/>
    <s v=" Sophia Smith  "/>
    <s v=" Sophia Smith  "/>
    <m/>
    <n v="2621.1437999999998"/>
    <d v="2027-07-11T00:00:00"/>
    <n v="786.34313999999995"/>
  </r>
  <r>
    <s v="TR-2025074"/>
    <d v="2026-02-07T00:00:00"/>
    <d v="2026-02-12T00:00:00"/>
    <s v="P-039"/>
    <x v="7"/>
    <s v="TechSupply Co"/>
    <s v="Software"/>
    <s v="36 "/>
    <n v="601.47"/>
    <n v="0"/>
    <n v="21652.920000000002"/>
    <s v="$"/>
    <x v="1"/>
    <x v="1"/>
    <x v="1"/>
    <s v="North"/>
    <s v="Seattle"/>
    <s v="Initech Inc"/>
    <s v=" 438265607"/>
    <s v="emily.gmail.com"/>
    <s v="+1 701 237 8693"/>
    <s v="797 Smith Ave"/>
    <s v="39289"/>
    <s v="USA"/>
    <s v="Paypal"/>
    <s v="Cancelled"/>
    <s v="Unpaid"/>
    <s v="INV/2026/0074"/>
    <s v="Online"/>
    <s v="4"/>
    <x v="6"/>
    <n v="2026"/>
    <s v="Immediate"/>
    <n v="0"/>
    <n v="0.08"/>
    <n v="1732.2336000000003"/>
    <n v="23385.153600000001"/>
    <s v="19.91$"/>
    <s v="ups"/>
    <s v="DH307392880"/>
    <s v="17.37"/>
    <s v="B"/>
    <n v="384"/>
    <n v="2"/>
    <m/>
    <x v="1"/>
    <m/>
    <n v="0"/>
    <n v="397.54761120000006"/>
    <s v="Emily Brown"/>
    <s v="Emily Brown"/>
    <m/>
    <n v="19877.380560000001"/>
    <d v="2027-02-12T00:00:00"/>
    <n v="0"/>
  </r>
  <r>
    <s v="TR-2025075"/>
    <d v="2025-01-14T00:00:00"/>
    <s v="-"/>
    <s v="P-043"/>
    <x v="40"/>
    <s v="Global Distrib"/>
    <s v="Equipment"/>
    <s v="22"/>
    <n v="156.69"/>
    <n v="0.1"/>
    <n v="3726.6810810810807"/>
    <s v="€"/>
    <x v="20"/>
    <x v="18"/>
    <x v="3"/>
    <s v="West"/>
    <s v="Chicago"/>
    <s v="  Vortex Inc"/>
    <s v="205902968"/>
    <s v="null"/>
    <s v="(443) 333-9775"/>
    <s v="682 Brown Blvd"/>
    <s v="68855"/>
    <s v="USA"/>
    <s v="Credit Card"/>
    <s v="Pending"/>
    <s v="Unpaid"/>
    <s v="INV/2025/0075"/>
    <s v="Online"/>
    <s v="1"/>
    <x v="3"/>
    <n v="2025"/>
    <s v="Net 30"/>
    <n v="0"/>
    <n v="0.08"/>
    <n v="298.13448648648648"/>
    <n v="4024.8155675675671"/>
    <s v="47.68€"/>
    <s v="DHL"/>
    <s v="1Z503745264"/>
    <s v="6.6 "/>
    <s v="A"/>
    <n v="477"/>
    <n v="5"/>
    <m/>
    <x v="1"/>
    <m/>
    <n v="0.25"/>
    <n v="64.397049081081079"/>
    <s v="Sarah Miller"/>
    <s v="Sarah Miller"/>
    <m/>
    <n v="3219.8524540540539"/>
    <s v="Empty"/>
    <n v="804.96311351351346"/>
  </r>
  <r>
    <s v="TR-2025305"/>
    <d v="2026-06-03T00:00:00"/>
    <d v="2026-08-06T00:00:00"/>
    <s v="P-038"/>
    <x v="37"/>
    <s v="TechSupply Co"/>
    <s v="Electronics"/>
    <s v="3 "/>
    <n v="687.68"/>
    <n v="0.1"/>
    <n v="2063.04"/>
    <s v="$"/>
    <x v="22"/>
    <x v="20"/>
    <x v="3"/>
    <s v="East"/>
    <s v="Houston"/>
    <s v="Acme Llc"/>
    <s v=" 224975322"/>
    <s v="john.yahoo.com"/>
    <s v="(609) 585-5922"/>
    <s v="965 Smith Blvd"/>
    <s v="74151"/>
    <s v="USA"/>
    <s v="Wire Transfer"/>
    <s v="Pending"/>
    <s v="Partial"/>
    <s v="INV/2026/0305"/>
    <s v="Store"/>
    <s v="1"/>
    <x v="4"/>
    <n v="2026"/>
    <s v="15"/>
    <n v="87"/>
    <n v="0.08"/>
    <n v="165.04320000000001"/>
    <n v="2228.0832"/>
    <s v="24.6$"/>
    <s v="DHL"/>
    <s v="FX287036854"/>
    <s v="3,97"/>
    <s v="B"/>
    <n v="374"/>
    <n v="3"/>
    <m/>
    <x v="1"/>
    <m/>
    <n v="0.18"/>
    <n v="89.123328000000015"/>
    <s v="John Williams   "/>
    <s v="John Williams   "/>
    <m/>
    <n v="1782.4665600000001"/>
    <d v="2028-08-06T00:00:00"/>
    <n v="320.8439808"/>
  </r>
  <r>
    <s v="TR-2025076"/>
    <d v="2025-08-18T00:00:00"/>
    <d v="2025-08-30T00:00:00"/>
    <s v="P-050"/>
    <x v="41"/>
    <s v="BestParts"/>
    <s v="Equipment"/>
    <s v="7"/>
    <n v="39.53"/>
    <n v="0.1"/>
    <n v="300.11930585683302"/>
    <s v="€"/>
    <x v="20"/>
    <x v="18"/>
    <x v="3"/>
    <s v="North"/>
    <s v="Chicago"/>
    <s v="Acme Inc"/>
    <s v=" 809377576"/>
    <s v="jessica.yahoo.com"/>
    <s v="339.672.4395"/>
    <s v="884 Brown St."/>
    <s v="null"/>
    <s v="USA"/>
    <s v="Credit Card"/>
    <s v="Cancelled"/>
    <s v="Partial"/>
    <s v="INV/2025/0076"/>
    <s v="Store"/>
    <s v="1"/>
    <x v="1"/>
    <n v="2025"/>
    <s v="Net 30"/>
    <n v="64"/>
    <n v="0.08"/>
    <n v="24.009544468546643"/>
    <n v="324.12885032537969"/>
    <s v="24,92€"/>
    <s v="USPS"/>
    <s v="1Z535082081"/>
    <s v="20.89"/>
    <s v="C"/>
    <n v="206"/>
    <n v="3"/>
    <m/>
    <x v="1"/>
    <m/>
    <n v="0.3"/>
    <n v="5.186061605206076"/>
    <s v="Jessica Williams   "/>
    <s v="Jessica Williams   "/>
    <m/>
    <n v="259.30308026030377"/>
    <d v="2026-08-30T00:00:00"/>
    <n v="77.790924078091123"/>
  </r>
  <r>
    <s v="TR-2025077"/>
    <d v="2025-01-17T00:00:00"/>
    <s v="N/A"/>
    <s v="P-014"/>
    <x v="15"/>
    <s v="OfficeHub"/>
    <s v="Software"/>
    <s v="22 "/>
    <n v="1166.96"/>
    <n v="0.1"/>
    <n v="25673.120000000003"/>
    <s v="$"/>
    <x v="13"/>
    <x v="11"/>
    <x v="0"/>
    <s v="West"/>
    <s v="Houston"/>
    <s v="Globex Inc."/>
    <s v="834490030"/>
    <s v="sarah.company.com"/>
    <s v="(207) 705-7898"/>
    <s v="443 Brown Ave"/>
    <s v="68805"/>
    <s v="USA"/>
    <s v="Cash"/>
    <s v="Processing"/>
    <s v="Unpaid"/>
    <s v="INV/2025/0077"/>
    <s v="Online"/>
    <s v="1"/>
    <x v="3"/>
    <n v="2025"/>
    <s v="Net 60"/>
    <n v="14"/>
    <n v="0.08"/>
    <n v="2053.8496000000005"/>
    <n v="27726.969600000004"/>
    <s v="8.75$"/>
    <s v="Fed Ex"/>
    <s v="DH116486037"/>
    <s v="1.6 "/>
    <s v="B"/>
    <n v="465"/>
    <n v="4"/>
    <m/>
    <x v="1"/>
    <m/>
    <n v="0"/>
    <n v="623.85681599999998"/>
    <s v="Sarah Miller"/>
    <s v="Sarah Miller"/>
    <m/>
    <n v="20795.227200000001"/>
    <s v="Empty"/>
    <n v="0"/>
  </r>
  <r>
    <s v="TR-2025078"/>
    <d v="2025-04-28T00:00:00"/>
    <d v="2025-10-05T00:00:00"/>
    <s v="P-012"/>
    <x v="23"/>
    <s v="OfficeHub"/>
    <s v="Electronics"/>
    <s v="38"/>
    <n v="823.88"/>
    <n v="0.1"/>
    <n v="31307.439999999999"/>
    <s v="$"/>
    <x v="16"/>
    <x v="14"/>
    <x v="1"/>
    <s v="West"/>
    <s v="Miami"/>
    <s v="Globex Inc.  "/>
    <s v=" 288109254"/>
    <s v="sophia.gmail.com"/>
    <s v="+1 375 513 9778"/>
    <s v="261 Anderson Ave"/>
    <s v="59544"/>
    <s v="USA"/>
    <s v="Cash"/>
    <s v="Processing"/>
    <s v="Unpaid"/>
    <s v="INV/2025/0078"/>
    <s v="Phone"/>
    <s v="1"/>
    <x v="2"/>
    <n v="2025"/>
    <s v="15"/>
    <n v="0"/>
    <n v="0.08"/>
    <n v="2504.5951999999997"/>
    <n v="33812.035199999998"/>
    <s v="8.67 $"/>
    <s v="ups"/>
    <s v="FX525665926"/>
    <s v="1,55"/>
    <s v="B"/>
    <n v="90"/>
    <n v="4.5"/>
    <m/>
    <x v="1"/>
    <m/>
    <n v="0"/>
    <n v="540.99256320000006"/>
    <s v="Sophia Wilson"/>
    <s v="Sophia Wilson"/>
    <m/>
    <n v="27049.62816"/>
    <d v="2028-10-05T00:00:00"/>
    <n v="0"/>
  </r>
  <r>
    <s v="TR-2025079"/>
    <d v="2025-07-31T00:00:00"/>
    <d v="2025-08-01T00:00:00"/>
    <s v="P-034"/>
    <x v="18"/>
    <s v="Global Distrib"/>
    <s v="Office"/>
    <s v="12 "/>
    <n v="23.03"/>
    <n v="0.05"/>
    <n v="295.88865096359746"/>
    <s v="€"/>
    <x v="17"/>
    <x v="15"/>
    <x v="3"/>
    <s v="West"/>
    <s v="New York"/>
    <s v="Wayne Ltd."/>
    <s v=" 466401441"/>
    <s v="daniel.gmail.com"/>
    <s v="766.504.2651"/>
    <s v="204 Anderson Ave"/>
    <s v="37975"/>
    <s v="USA"/>
    <s v="Credit Card"/>
    <s v="Delivered"/>
    <s v="Paid"/>
    <s v="INV/2025/0079"/>
    <s v="Online"/>
    <s v="3"/>
    <x v="5"/>
    <n v="2025"/>
    <s v="15"/>
    <n v="83"/>
    <n v="0.08"/>
    <n v="23.671092077087796"/>
    <n v="319.55974304068525"/>
    <s v="12,39€"/>
    <s v="USPS"/>
    <s v="DH648304435"/>
    <s v="26,88"/>
    <s v="A"/>
    <n v="15"/>
    <n v="4.5"/>
    <m/>
    <x v="1"/>
    <m/>
    <n v="0.15"/>
    <n v="8.148773447537474"/>
    <s v="  Daniel Miller"/>
    <s v="  Daniel Miller"/>
    <m/>
    <n v="271.62578158458246"/>
    <d v="2027-08-01T00:00:00"/>
    <n v="40.743867237687368"/>
  </r>
  <r>
    <s v="TR-2025080"/>
    <d v="2025-01-27T00:00:00"/>
    <d v="2025-02-10T00:00:00"/>
    <s v="P-054"/>
    <x v="16"/>
    <s v="OfficeHub"/>
    <s v="Office"/>
    <s v="4 "/>
    <n v="801.23"/>
    <n v="0.1"/>
    <n v="3204.92"/>
    <s v="$"/>
    <x v="13"/>
    <x v="11"/>
    <x v="0"/>
    <s v="North"/>
    <s v="Houston"/>
    <s v="  Globex Inc"/>
    <s v=" 452526338"/>
    <m/>
    <s v="348.966.5480"/>
    <s v="128 Miller Ave"/>
    <s v="45997"/>
    <s v="USA"/>
    <s v="Wire Transfer"/>
    <s v="Pending"/>
    <s v="Paid"/>
    <s v="INV/2025/0080"/>
    <s v="Store"/>
    <s v="1 "/>
    <x v="3"/>
    <n v="2025"/>
    <s v="Net 30"/>
    <n v="40"/>
    <n v="0.08"/>
    <n v="256.39359999999999"/>
    <n v="3461.3136"/>
    <s v="35,56$"/>
    <s v="ups"/>
    <s v="DH696226436"/>
    <s v="17.76"/>
    <s v="B"/>
    <n v="321"/>
    <n v="4"/>
    <m/>
    <x v="1"/>
    <m/>
    <n v="0.25"/>
    <n v="83.07152640000001"/>
    <s v="Chris Williams   "/>
    <s v="Chris Williams   "/>
    <m/>
    <n v="2769.0508800000002"/>
    <d v="2027-02-10T00:00:00"/>
    <n v="692.26272000000006"/>
  </r>
  <r>
    <s v="TR-2025081"/>
    <d v="2025-04-16T00:00:00"/>
    <d v="2025-04-17T00:00:00"/>
    <s v="P-059"/>
    <x v="26"/>
    <s v="OfficeHub"/>
    <s v="Furniture"/>
    <s v="9 "/>
    <n v="673.61"/>
    <n v="0.1"/>
    <n v="6062.49"/>
    <s v="$"/>
    <x v="5"/>
    <x v="5"/>
    <x v="2"/>
    <s v="South"/>
    <s v="New York"/>
    <s v="   Wayne Ltd."/>
    <s v="668157470"/>
    <s v="daniel.company.com"/>
    <s v="209.545.8832"/>
    <s v="849 Davis Ave"/>
    <s v="75301"/>
    <s v="USA"/>
    <s v="Credit Card"/>
    <s v="Delivered"/>
    <s v="Partial"/>
    <s v="INV/2025/0081"/>
    <s v="Online"/>
    <s v="1"/>
    <x v="2"/>
    <n v="2025"/>
    <s v="Net 60"/>
    <n v="29"/>
    <n v="0.08"/>
    <n v="484.99919999999997"/>
    <n v="6547.4892"/>
    <s v=" 32$"/>
    <s v="DHL"/>
    <s v="FX722826456"/>
    <s v="10,47"/>
    <s v="A"/>
    <n v="422"/>
    <n v="5"/>
    <m/>
    <x v="1"/>
    <m/>
    <n v="0.18"/>
    <n v="261.89956799999999"/>
    <s v="Daniel Wilson"/>
    <s v="Daniel Wilson"/>
    <m/>
    <n v="5237.99136"/>
    <d v="2027-04-17T00:00:00"/>
    <n v="942.83844479999993"/>
  </r>
  <r>
    <s v="TR-2025082"/>
    <d v="2025-01-24T00:00:00"/>
    <d v="2025-01-29T00:00:00"/>
    <s v="P-015"/>
    <x v="42"/>
    <s v="Global Distrib"/>
    <s v="Software"/>
    <s v="18"/>
    <n v="545.57000000000005"/>
    <n v="0"/>
    <n v="9820.26"/>
    <s v="$"/>
    <x v="21"/>
    <x v="19"/>
    <x v="2"/>
    <s v="North"/>
    <s v="Boston"/>
    <s v="Acme Ltd."/>
    <s v="741744300"/>
    <s v="david.yahoo.com"/>
    <s v="803.264.8564"/>
    <s v="751 Miller St."/>
    <s v="66781"/>
    <s v="USA"/>
    <s v="Credit Card"/>
    <s v="Cancelled"/>
    <s v="Paid"/>
    <s v="INV/2025/0082"/>
    <s v="Store"/>
    <s v="1 "/>
    <x v="3"/>
    <n v="2025"/>
    <s v="Net 30"/>
    <n v="9"/>
    <n v="0.08"/>
    <n v="785.62080000000003"/>
    <n v="10605.880800000001"/>
    <s v="34.81$"/>
    <s v="DHL"/>
    <s v="DH862273622"/>
    <s v="28.41"/>
    <s v="B"/>
    <n v="0"/>
    <n v="5"/>
    <m/>
    <x v="1"/>
    <m/>
    <n v="0.15"/>
    <n v="180.29997360000002"/>
    <s v="  David Smith   "/>
    <s v="  David Smith   "/>
    <m/>
    <n v="9014.9986800000006"/>
    <d v="2027-01-29T00:00:00"/>
    <n v="1352.249802"/>
  </r>
  <r>
    <s v="TR-2025083"/>
    <d v="2025-03-21T00:00:00"/>
    <d v="2025-03-30T00:00:00"/>
    <s v="P-007"/>
    <x v="43"/>
    <s v="OfficeHub"/>
    <s v="Software"/>
    <s v="30"/>
    <n v="79.14"/>
    <n v="0.05"/>
    <n v="2374.1999999999998"/>
    <s v="$"/>
    <x v="13"/>
    <x v="11"/>
    <x v="0"/>
    <s v="South"/>
    <s v="Houston"/>
    <s v="Globex Ltd."/>
    <s v="868666386"/>
    <s v="laura.gmail.com"/>
    <s v="+1 261 641 5316"/>
    <s v="215 Johnson St."/>
    <s v="15111"/>
    <s v="USA"/>
    <s v="Wire Transfer"/>
    <s v="Delivered"/>
    <s v="Paid"/>
    <s v="INV/2025/0083"/>
    <s v="Store"/>
    <s v="2"/>
    <x v="8"/>
    <n v="2025"/>
    <s v="15"/>
    <n v="51"/>
    <n v="0.08"/>
    <n v="189.93599999999998"/>
    <n v="2564.136"/>
    <s v="16.20 $"/>
    <s v="DHL"/>
    <s v="1Z829609521"/>
    <s v="18.85"/>
    <s v="A"/>
    <n v="382"/>
    <n v="5"/>
    <m/>
    <x v="1"/>
    <m/>
    <n v="0.15"/>
    <n v="61.539264000000003"/>
    <s v="Laura Brown"/>
    <s v="Laura Brown"/>
    <m/>
    <n v="2051.3088000000002"/>
    <d v="2027-03-30T00:00:00"/>
    <n v="307.69632000000001"/>
  </r>
  <r>
    <s v="TR-2025084"/>
    <d v="2025-10-22T00:00:00"/>
    <d v="2025-10-28T00:00:00"/>
    <s v="P-012"/>
    <x v="23"/>
    <s v="OfficeHub"/>
    <s v="Electronics"/>
    <s v="7"/>
    <n v="823.88"/>
    <n v="0.05"/>
    <n v="5767.16"/>
    <s v="$"/>
    <x v="6"/>
    <x v="6"/>
    <x v="2"/>
    <s v="West"/>
    <s v="Boston"/>
    <s v="Stark Inc"/>
    <s v="301779581"/>
    <s v="ryan.gmail.com"/>
    <s v="(552) 623-6330"/>
    <s v="965 Brown Ave"/>
    <s v="98548"/>
    <s v="USA"/>
    <s v="Credit Card"/>
    <s v="Delivered"/>
    <s v="Unpaid"/>
    <s v="INV/2025/0084"/>
    <s v="Store"/>
    <s v="1"/>
    <x v="11"/>
    <n v="2025"/>
    <s v="Net 30"/>
    <n v="3"/>
    <n v="0.08"/>
    <n v="461.37279999999998"/>
    <n v="6228.5328"/>
    <s v="48.70 $"/>
    <s v="ups"/>
    <s v="FX117761864"/>
    <s v="27.55"/>
    <s v="C"/>
    <n v="18"/>
    <s v=""/>
    <m/>
    <x v="1"/>
    <m/>
    <n v="0.15"/>
    <n v="158.8275864"/>
    <s v=" Ryan Anderson"/>
    <s v=" Ryan Anderson"/>
    <m/>
    <n v="5294.25288"/>
    <d v="2028-10-28T00:00:00"/>
    <n v="794.13793199999998"/>
  </r>
  <r>
    <s v="TR-2025085"/>
    <d v="2026-05-07T00:00:00"/>
    <d v="2026-05-09T00:00:00"/>
    <s v="P-027"/>
    <x v="44"/>
    <s v="Global Distrib"/>
    <s v="Equipment"/>
    <s v="6"/>
    <n v="180.06"/>
    <n v="0"/>
    <n v="1080.3600000000001"/>
    <s v="$"/>
    <x v="12"/>
    <x v="10"/>
    <x v="2"/>
    <s v="West"/>
    <s v="Houston"/>
    <s v="Initech Inc.  "/>
    <s v="658482290"/>
    <s v="chris.yahoo.com"/>
    <s v="242.546.7353"/>
    <s v="236 Davis Blvd"/>
    <s v="11069"/>
    <s v="USA"/>
    <s v="Cash"/>
    <s v="Delivered"/>
    <s v="Paid"/>
    <s v="INV/2026/0085"/>
    <s v="Phone"/>
    <s v="1"/>
    <x v="7"/>
    <n v="2026"/>
    <s v="Net 30"/>
    <n v="0"/>
    <n v="0.08"/>
    <n v="86.42880000000001"/>
    <n v="1166.7888"/>
    <s v=" 31$"/>
    <s v="ups"/>
    <s v="FX259516665"/>
    <s v="19.3"/>
    <s v="B"/>
    <n v="135"/>
    <s v=""/>
    <m/>
    <x v="1"/>
    <m/>
    <n v="0.18"/>
    <n v="52.505496000000008"/>
    <s v="Chris Johnson"/>
    <s v="Chris Johnson"/>
    <m/>
    <n v="1050.1099200000001"/>
    <d v="2028-05-09T00:00:00"/>
    <n v="189.01978560000001"/>
  </r>
  <r>
    <s v="TR-2025086"/>
    <d v="2025-05-10T00:00:00"/>
    <s v="-"/>
    <s v="P-047"/>
    <x v="45"/>
    <s v="TechSupply Co"/>
    <s v="Software"/>
    <s v="8"/>
    <n v="1489.69"/>
    <n v="0"/>
    <n v="11917.52"/>
    <s v="$"/>
    <x v="14"/>
    <x v="12"/>
    <x v="3"/>
    <s v="West"/>
    <s v="Houston"/>
    <s v="Vortex Inc."/>
    <s v=" 105590612"/>
    <s v="sarah.gmail.com"/>
    <s v="(889) 394-7192"/>
    <s v="908 Johnson St."/>
    <s v="59238"/>
    <s v="USA"/>
    <s v="Wire"/>
    <s v="Cancelled"/>
    <s v="Unpaid"/>
    <s v="INV/2025/0086"/>
    <s v="Web"/>
    <s v="1 "/>
    <x v="7"/>
    <n v="2025"/>
    <s v="Net 30"/>
    <n v="86"/>
    <n v="0.08"/>
    <n v="953.40160000000003"/>
    <n v="12870.9216"/>
    <s v="19.09$"/>
    <s v="DHL"/>
    <s v="1Z274782453"/>
    <s v="19,24"/>
    <s v="A"/>
    <n v="268"/>
    <n v="4"/>
    <m/>
    <x v="1"/>
    <m/>
    <n v="0.18"/>
    <n v="218.80566719999999"/>
    <s v="Sarah Williams"/>
    <s v="Sarah Williams"/>
    <m/>
    <n v="10940.283359999999"/>
    <s v="Empty"/>
    <n v="1969.2510047999999"/>
  </r>
  <r>
    <s v="TR-2025087"/>
    <d v="2026-06-27T00:00:00"/>
    <d v="2026-07-10T00:00:00"/>
    <s v="P-005"/>
    <x v="46"/>
    <s v="BestParts"/>
    <s v="Electronics"/>
    <s v="2"/>
    <n v="1241.1400000000001"/>
    <n v="0"/>
    <n v="2482.2800000000002"/>
    <s v="$"/>
    <x v="18"/>
    <x v="16"/>
    <x v="2"/>
    <s v="West"/>
    <s v="Los Angeles"/>
    <s v="Stark Ltd."/>
    <s v=" 543403500"/>
    <s v="daniel.company.com"/>
    <s v="+1 927 885 9118"/>
    <s v="367 Taylor Street"/>
    <s v="86659"/>
    <s v="USA"/>
    <s v="Cash"/>
    <s v="Processing"/>
    <s v="Paid"/>
    <s v="INV/2026/0087"/>
    <s v="Phone"/>
    <s v="2"/>
    <x v="4"/>
    <n v="2026"/>
    <s v="15"/>
    <n v="56"/>
    <n v="0.08"/>
    <n v="198.58240000000001"/>
    <n v="2680.8624"/>
    <s v="23.90$"/>
    <s v="ups"/>
    <s v="DH243395740"/>
    <s v="18.8 "/>
    <s v="B"/>
    <n v="76"/>
    <n v="5"/>
    <m/>
    <x v="1"/>
    <m/>
    <n v="0"/>
    <n v="72.383284799999998"/>
    <s v=" Daniel Johnson"/>
    <s v=" Daniel Johnson"/>
    <m/>
    <n v="2412.7761599999999"/>
    <d v="2027-07-10T00:00:00"/>
    <n v="0"/>
  </r>
  <r>
    <s v="TR-2025088"/>
    <d v="2025-05-14T00:00:00"/>
    <d v="2025-05-24T00:00:00"/>
    <s v="P-022"/>
    <x v="33"/>
    <s v="BestParts"/>
    <s v="Furniture"/>
    <s v="29 "/>
    <n v="893.58"/>
    <n v="0.1"/>
    <n v="25913.82"/>
    <s v="$"/>
    <x v="8"/>
    <x v="8"/>
    <x v="2"/>
    <s v="West"/>
    <s v="Houston"/>
    <s v="Stark Inc."/>
    <s v="374562596"/>
    <s v="olivia.gmail.com"/>
    <s v="(302) 565-9064"/>
    <s v="935 Wilson St."/>
    <s v="07528"/>
    <s v="USA"/>
    <s v="Wire"/>
    <s v="Cancelled"/>
    <s v="Paid"/>
    <s v="INV/2025/0088"/>
    <s v="Web"/>
    <s v="1"/>
    <x v="7"/>
    <n v="2025"/>
    <s v="Immediate"/>
    <n v="0"/>
    <n v="0.08"/>
    <n v="2073.1055999999999"/>
    <n v="27986.925599999999"/>
    <s v="25,45$"/>
    <s v="FedEx"/>
    <s v="FX738455583"/>
    <s v="25.6"/>
    <s v="A"/>
    <n v="315"/>
    <s v=""/>
    <m/>
    <x v="1"/>
    <m/>
    <n v="0.18"/>
    <n v="1119.477024"/>
    <s v="Olivia Anderson"/>
    <s v="Olivia Anderson"/>
    <m/>
    <n v="22389.54048"/>
    <d v="2026-05-24T00:00:00"/>
    <n v="4030.1172864"/>
  </r>
  <r>
    <s v="TR-2025089"/>
    <d v="2025-08-24T00:00:00"/>
    <d v="2025-08-28T00:00:00"/>
    <s v="P-030"/>
    <x v="47"/>
    <s v="BestParts"/>
    <s v="Office"/>
    <s v="17"/>
    <n v="676.54"/>
    <n v="0.1"/>
    <n v="11501.18"/>
    <s v="$"/>
    <x v="19"/>
    <x v="17"/>
    <x v="1"/>
    <s v="West"/>
    <s v="Miami"/>
    <s v="Initech Inc.   "/>
    <s v="234255914"/>
    <s v="laura.yahoo.com"/>
    <s v="+1 535 907 2408"/>
    <s v="54 Brown Ave"/>
    <s v="78974"/>
    <s v="USA"/>
    <s v="Cash"/>
    <s v="Processing"/>
    <s v="Paid"/>
    <s v="INV/2025/0089"/>
    <s v="Phone"/>
    <s v="1"/>
    <x v="1"/>
    <n v="2025"/>
    <s v="Net 30"/>
    <n v="27"/>
    <n v="0.08"/>
    <n v="920.09440000000006"/>
    <n v="12421.2744"/>
    <s v="0,24$"/>
    <s v="USPS"/>
    <s v="1Z110516077"/>
    <s v="2.41"/>
    <s v="A"/>
    <n v="48"/>
    <n v="4"/>
    <m/>
    <x v="1"/>
    <m/>
    <n v="0.18"/>
    <n v="496.85097600000012"/>
    <s v="Laura Williams "/>
    <s v="Laura Williams "/>
    <m/>
    <n v="9937.0195200000016"/>
    <d v="2027-08-28T00:00:00"/>
    <n v="1788.6635136000002"/>
  </r>
  <r>
    <s v="TR-2025090"/>
    <d v="2025-04-20T00:00:00"/>
    <d v="2025-04-28T00:00:00"/>
    <s v="P-006"/>
    <x v="36"/>
    <s v="TechSupply Co"/>
    <s v="Equipment"/>
    <s v="17 "/>
    <n v="1421.82"/>
    <n v="0"/>
    <n v="24170.94"/>
    <s v="$"/>
    <x v="20"/>
    <x v="18"/>
    <x v="3"/>
    <s v="North"/>
    <s v="Chicago"/>
    <s v=" Stark Llc"/>
    <s v=" 513495468"/>
    <s v="emma.gmail.com"/>
    <s v="(459) 339-5932"/>
    <s v="877 Jones Ave"/>
    <s v="81877"/>
    <s v="USA"/>
    <s v="Credit Card"/>
    <s v="Cancelled"/>
    <s v="Unpaid"/>
    <s v="INV/2025/0090"/>
    <s v="Web"/>
    <s v="1"/>
    <x v="2"/>
    <n v="2025"/>
    <s v="Net 30"/>
    <n v="14"/>
    <n v="0.08"/>
    <n v="1933.6751999999999"/>
    <n v="26104.6152"/>
    <s v="42.92$"/>
    <s v="DHL"/>
    <s v="FX620596295"/>
    <s v="14,12"/>
    <s v="B"/>
    <n v="0"/>
    <s v=""/>
    <m/>
    <x v="1"/>
    <m/>
    <n v="0.3"/>
    <n v="469.88307359999999"/>
    <s v="Emma Davis"/>
    <s v="Emma Davis"/>
    <m/>
    <n v="23494.153679999999"/>
    <d v="2026-04-28T00:00:00"/>
    <n v="7048.2461039999998"/>
  </r>
  <r>
    <s v="TR-2025091"/>
    <d v="2026-01-18T00:00:00"/>
    <d v="2026-01-19T00:00:00"/>
    <s v="P-026"/>
    <x v="30"/>
    <s v="TechSupply Co"/>
    <s v="Electronics"/>
    <s v="25"/>
    <n v="1411.27"/>
    <n v="0.05"/>
    <n v="35281.75"/>
    <s v="$"/>
    <x v="10"/>
    <x v="9"/>
    <x v="0"/>
    <s v="North"/>
    <s v="Los Angeles"/>
    <s v="   Wayne Ltd."/>
    <s v="908656028"/>
    <s v="olivia.yahoo.com"/>
    <s v="+1 345 986 2726"/>
    <s v="959 Miller Blvd"/>
    <s v="11652"/>
    <s v="USA"/>
    <s v="Wire"/>
    <s v="Pending"/>
    <s v="Paid"/>
    <s v="INV/2026/0091"/>
    <s v="Phone"/>
    <s v="3"/>
    <x v="3"/>
    <n v="2026"/>
    <s v="Net 60"/>
    <n v="90"/>
    <n v="0.08"/>
    <n v="2822.54"/>
    <n v="38104.29"/>
    <s v="45.93$"/>
    <s v="Fed Ex"/>
    <s v="1Z269489121"/>
    <s v="11.0 "/>
    <s v="B"/>
    <n v="497"/>
    <n v="5"/>
    <m/>
    <x v="1"/>
    <m/>
    <n v="0"/>
    <n v="971.6593949999999"/>
    <s v="   Olivia Johnson"/>
    <s v="   Olivia Johnson"/>
    <m/>
    <n v="32388.646499999999"/>
    <d v="2028-01-19T00:00:00"/>
    <n v="0"/>
  </r>
  <r>
    <s v="TR-2025092"/>
    <d v="2025-08-01T00:00:00"/>
    <d v="2025-12-08T00:00:00"/>
    <s v="P-052"/>
    <x v="1"/>
    <s v="TechSupply Co"/>
    <s v="Furniture"/>
    <s v="38 "/>
    <n v="1467.86"/>
    <n v="0"/>
    <n v="55778.679999999993"/>
    <s v="$"/>
    <x v="2"/>
    <x v="2"/>
    <x v="1"/>
    <s v="East"/>
    <s v="Boston"/>
    <s v="Wayne Llc"/>
    <s v="339472873"/>
    <s v="michael.yahoo.com"/>
    <s v="(768) 278-5366"/>
    <s v="367 Johnson St."/>
    <s v="71080"/>
    <s v="USA"/>
    <s v="Credit Card"/>
    <s v="Pending"/>
    <s v="Paid"/>
    <s v="INV/2025/0092"/>
    <s v="Store"/>
    <s v="1"/>
    <x v="1"/>
    <n v="2025"/>
    <s v="Net 60"/>
    <n v="35"/>
    <n v="0.08"/>
    <n v="4462.2943999999998"/>
    <n v="60240.974399999992"/>
    <s v="5.22$"/>
    <s v="DHL"/>
    <s v="DH231156369"/>
    <s v="22.9 "/>
    <s v="A"/>
    <n v="368"/>
    <n v="4"/>
    <m/>
    <x v="1"/>
    <m/>
    <n v="0"/>
    <n v="1626.5063087999997"/>
    <s v="Michael Johnson"/>
    <s v="Michael Johnson"/>
    <m/>
    <n v="54216.876959999994"/>
    <d v="2028-12-08T00:00:00"/>
    <n v="0"/>
  </r>
  <r>
    <s v="TR-2025093"/>
    <d v="2026-07-25T00:00:00"/>
    <d v="2026-07-31T00:00:00"/>
    <s v="P-001"/>
    <x v="4"/>
    <s v="Global Distrib"/>
    <s v="Software"/>
    <s v="38 "/>
    <n v="978.15"/>
    <n v="0.1"/>
    <n v="39796.252676659526"/>
    <s v="€"/>
    <x v="23"/>
    <x v="21"/>
    <x v="1"/>
    <s v="East"/>
    <s v="Boston"/>
    <s v=" Acme Inc"/>
    <s v="882365009"/>
    <s v="emily.yahoo.com"/>
    <s v="760.671.5543"/>
    <s v="539 Wilson St."/>
    <s v="27980"/>
    <s v="USA"/>
    <s v="Credit Card"/>
    <s v="Cancelled"/>
    <s v="Partial"/>
    <s v="INV/2026/0093"/>
    <s v="Online"/>
    <s v="1"/>
    <x v="5"/>
    <n v="2026"/>
    <s v="Net 30"/>
    <n v="83"/>
    <n v="0.08"/>
    <n v="3183.7002141327621"/>
    <n v="42979.952890792287"/>
    <s v="25.12€"/>
    <s v="ups"/>
    <s v="DH549142741"/>
    <s v="9.87"/>
    <s v="C"/>
    <n v="97"/>
    <n v="4.5"/>
    <m/>
    <x v="1"/>
    <m/>
    <n v="0.25"/>
    <n v="1611.7482334047108"/>
    <s v="Emily Wilson"/>
    <s v="Emily Wilson"/>
    <m/>
    <n v="32234.964668094217"/>
    <d v="2028-07-31T00:00:00"/>
    <n v="8058.7411670235542"/>
  </r>
  <r>
    <s v="TR-2025094"/>
    <d v="2026-01-07T00:00:00"/>
    <d v="2026-05-07T00:00:00"/>
    <s v="P-021"/>
    <x v="27"/>
    <s v="OfficeHub"/>
    <s v="Equipment"/>
    <s v="18 "/>
    <n v="1184.7"/>
    <n v="0.1"/>
    <n v="21324.600000000002"/>
    <s v="$"/>
    <x v="14"/>
    <x v="12"/>
    <x v="3"/>
    <s v="West"/>
    <s v="Houston"/>
    <s v="Umbrella Inc"/>
    <s v="573435895"/>
    <s v="ryan.yahoo.com"/>
    <s v="582.518.7095"/>
    <s v="259 Smith St."/>
    <s v="17853"/>
    <s v="USA"/>
    <s v="Credit Card"/>
    <s v="Processing"/>
    <s v="Partial"/>
    <s v="INV/2026/0094"/>
    <s v="Web"/>
    <s v="2"/>
    <x v="5"/>
    <n v="2026"/>
    <s v="15"/>
    <n v="47"/>
    <n v="0.08"/>
    <n v="1705.9680000000003"/>
    <n v="23030.568000000003"/>
    <s v=" 31$"/>
    <s v="DHL"/>
    <s v="1Z816871284"/>
    <s v="8.3 "/>
    <s v="C"/>
    <n v="298"/>
    <n v="5"/>
    <m/>
    <x v="1"/>
    <m/>
    <n v="0.25"/>
    <n v="368.48908800000004"/>
    <s v="Ryan Wilson  "/>
    <s v="Ryan Wilson  "/>
    <m/>
    <n v="18424.454400000002"/>
    <d v="2028-05-07T00:00:00"/>
    <n v="4606.1136000000006"/>
  </r>
  <r>
    <s v="TR-2025095"/>
    <d v="2025-11-09T00:00:00"/>
    <d v="2025-11-18T00:00:00"/>
    <s v="P-012"/>
    <x v="23"/>
    <s v="OfficeHub"/>
    <s v="Electronics"/>
    <s v="4 "/>
    <n v="823.88"/>
    <n v="0.1"/>
    <n v="3295.52"/>
    <s v="$"/>
    <x v="15"/>
    <x v="13"/>
    <x v="2"/>
    <s v="North"/>
    <s v="Miami"/>
    <s v="Wayne Inc   "/>
    <s v=" 701890456"/>
    <s v="sarah.company.com"/>
    <s v="(619) 700-1688"/>
    <s v="601 Anderson Blvd"/>
    <s v="#N/A"/>
    <s v="USA"/>
    <s v="Wire Transfer"/>
    <s v="Pending"/>
    <s v="Partial"/>
    <s v="INV/2025/0095"/>
    <s v="Online"/>
    <s v="1"/>
    <x v="10"/>
    <n v="2025"/>
    <s v="Net 60"/>
    <n v="59"/>
    <n v="0.08"/>
    <n v="263.64159999999998"/>
    <n v="3559.1615999999999"/>
    <s v="18,46$"/>
    <s v="DHL"/>
    <s v="DH355893499"/>
    <s v="7.92"/>
    <s v="B"/>
    <n v="271"/>
    <s v=""/>
    <m/>
    <x v="1"/>
    <m/>
    <n v="0"/>
    <n v="85.419878399999988"/>
    <s v="Sarah Brown"/>
    <s v="Sarah Brown"/>
    <m/>
    <n v="2847.3292799999999"/>
    <d v="2028-11-18T00:00:00"/>
    <n v="0"/>
  </r>
  <r>
    <s v="TR-2025096"/>
    <d v="2025-04-10T00:00:00"/>
    <d v="2025-04-13T00:00:00"/>
    <s v="P-016"/>
    <x v="31"/>
    <s v="TechSupply Co"/>
    <s v="Office"/>
    <s v="9"/>
    <n v="127.37"/>
    <n v="0"/>
    <n v="1146.33"/>
    <s v="$"/>
    <x v="6"/>
    <x v="6"/>
    <x v="2"/>
    <s v="North"/>
    <s v="Boston"/>
    <s v="Stark Inc "/>
    <s v="603922890"/>
    <s v="emily.yahoo.com"/>
    <s v="+1 624 509 9155"/>
    <s v="229 Wilson Blvd"/>
    <s v="93562"/>
    <s v="USA"/>
    <s v="Credit Card"/>
    <s v="Delivered"/>
    <s v="Unpaid"/>
    <s v="INV/2025/0096"/>
    <s v="Store"/>
    <s v="3"/>
    <x v="2"/>
    <n v="2025"/>
    <s v="15"/>
    <n v="0"/>
    <n v="0.08"/>
    <n v="91.706400000000002"/>
    <n v="1238.0364"/>
    <s v="46.29$"/>
    <s v="FedEx"/>
    <s v="DH391645507"/>
    <s v="27.54"/>
    <s v="B"/>
    <n v="286"/>
    <n v="2"/>
    <m/>
    <x v="1"/>
    <m/>
    <n v="0.25"/>
    <n v="33.426982800000005"/>
    <s v="Emily Smith"/>
    <s v="Emily Smith"/>
    <m/>
    <n v="1114.2327600000001"/>
    <d v="2026-04-13T00:00:00"/>
    <n v="278.55819000000002"/>
  </r>
  <r>
    <s v="TR-2025097"/>
    <d v="2026-02-26T00:00:00"/>
    <d v="2026-02-27T00:00:00"/>
    <s v="P-034"/>
    <x v="18"/>
    <s v="Global Distrib"/>
    <s v="Office"/>
    <s v="6"/>
    <n v="23.03"/>
    <n v="0.05"/>
    <n v="149.54545454545453"/>
    <s v="€"/>
    <x v="22"/>
    <x v="20"/>
    <x v="3"/>
    <s v="North"/>
    <s v="Houston"/>
    <s v="Acme Ltd."/>
    <s v=" 471604999"/>
    <s v="emma.company.com"/>
    <s v="(998) 723-2186"/>
    <s v="175 Brown Ave"/>
    <s v="17173"/>
    <s v="USA"/>
    <s v="Cash"/>
    <s v="Delivered"/>
    <s v="Paid"/>
    <s v="INV/2026/0097"/>
    <s v="Store"/>
    <s v="1"/>
    <x v="6"/>
    <n v="2026"/>
    <s v="Net 60"/>
    <n v="11"/>
    <n v="0.08"/>
    <n v="11.963636363636363"/>
    <n v="161.5090909090909"/>
    <s v="25.38€"/>
    <s v="USPS"/>
    <s v="FX736208645"/>
    <s v="17.6 "/>
    <s v="A"/>
    <n v="76"/>
    <n v="4.5"/>
    <m/>
    <x v="1"/>
    <m/>
    <n v="0.3"/>
    <n v="6.8641363636363639"/>
    <s v="Emma Williams   "/>
    <s v="Emma Williams   "/>
    <m/>
    <n v="137.28272727272727"/>
    <d v="2028-02-27T00:00:00"/>
    <n v="41.18481818181818"/>
  </r>
  <r>
    <s v="TR-2025098"/>
    <d v="2025-09-23T00:00:00"/>
    <d v="2025-10-05T00:00:00"/>
    <s v="P-059"/>
    <x v="26"/>
    <s v="OfficeHub"/>
    <s v="Furniture"/>
    <s v="14 "/>
    <n v="673.61"/>
    <n v="0"/>
    <n v="9430.5400000000009"/>
    <s v="$"/>
    <x v="18"/>
    <x v="16"/>
    <x v="2"/>
    <s v="South"/>
    <s v="Los Angeles"/>
    <s v="Umbrella Ltd."/>
    <s v="962545496"/>
    <s v="michael.company.com"/>
    <s v="(609) 832-9172"/>
    <s v="867 Miller Ave"/>
    <s v="91250"/>
    <s v="USA"/>
    <s v="Credit Card"/>
    <s v="Pending"/>
    <s v="Paid"/>
    <s v="INV/2025/0098"/>
    <s v="Online"/>
    <s v="2"/>
    <x v="0"/>
    <n v="2025"/>
    <s v="15"/>
    <n v="44"/>
    <n v="0.08"/>
    <n v="754.44320000000005"/>
    <n v="10184.983200000001"/>
    <s v=" 14$"/>
    <s v="FedEx"/>
    <s v="FX957726582"/>
    <s v="3,92"/>
    <s v="B"/>
    <n v="190"/>
    <n v="4.5"/>
    <m/>
    <x v="1"/>
    <m/>
    <n v="0.25"/>
    <n v="274.99454639999999"/>
    <s v=" Michael Brown"/>
    <s v=" Michael Brown"/>
    <m/>
    <n v="9166.48488"/>
    <d v="2027-10-05T00:00:00"/>
    <n v="2291.62122"/>
  </r>
  <r>
    <s v="TR-2025099"/>
    <d v="2025-03-19T00:00:00"/>
    <d v="2025-02-04T00:00:00"/>
    <s v="P-054"/>
    <x v="16"/>
    <s v="OfficeHub"/>
    <s v="Office"/>
    <s v="3 "/>
    <n v="801.23"/>
    <n v="0.05"/>
    <n v="2584.6129032258063"/>
    <s v="€"/>
    <x v="15"/>
    <x v="13"/>
    <x v="2"/>
    <s v="West"/>
    <s v="Miami"/>
    <s v="Stark Inc"/>
    <s v="915333452"/>
    <s v="chris.gmail.com"/>
    <s v="942.995.6838"/>
    <s v="789 Johnson Street"/>
    <s v="63703"/>
    <s v="USA"/>
    <s v="Wire"/>
    <s v="Cancelled"/>
    <s v="Unpaid"/>
    <s v="INV/2025/0099"/>
    <s v="Phone"/>
    <s v="1"/>
    <x v="8"/>
    <n v="2025"/>
    <s v="Immediate"/>
    <n v="36"/>
    <n v="0.08"/>
    <n v="206.7690322580645"/>
    <n v="2791.3819354838706"/>
    <s v="31,82€"/>
    <s v="Fed Ex"/>
    <s v="1Z856355202"/>
    <s v="27.1 "/>
    <s v="B"/>
    <n v="155"/>
    <n v="4"/>
    <m/>
    <x v="1"/>
    <m/>
    <n v="0.15"/>
    <n v="71.18023935483869"/>
    <s v="Chris Johnson"/>
    <s v="Chris Johnson"/>
    <m/>
    <n v="2372.6746451612898"/>
    <d v="2027-02-04T00:00:00"/>
    <n v="355.90119677419347"/>
  </r>
  <r>
    <s v="TR-2025100"/>
    <d v="2025-04-16T00:00:00"/>
    <d v="2025-04-27T00:00:00"/>
    <s v="P-009"/>
    <x v="11"/>
    <s v="BestParts"/>
    <s v="Office"/>
    <s v="39 "/>
    <n v="813.33"/>
    <n v="0.1"/>
    <n v="34144.101184068895"/>
    <s v="€"/>
    <x v="12"/>
    <x v="10"/>
    <x v="2"/>
    <s v="North"/>
    <s v="Houston"/>
    <s v="Vortex Llc"/>
    <s v="398197311"/>
    <s v="null"/>
    <s v="+1 414 741 9327"/>
    <s v="927 Taylor Blvd"/>
    <s v="01909"/>
    <s v="USA"/>
    <s v="Paypal"/>
    <s v="Cancelled"/>
    <s v="Paid"/>
    <s v="INV/2025/0100"/>
    <s v="Store"/>
    <s v="2"/>
    <x v="2"/>
    <n v="2025"/>
    <s v="Net 60"/>
    <n v="27"/>
    <n v="0.08"/>
    <n v="2731.5280947255119"/>
    <n v="36875.629278794404"/>
    <s v="23,19€"/>
    <s v="ups"/>
    <s v="DH851599432"/>
    <s v="9.6 "/>
    <s v="B"/>
    <n v="267"/>
    <n v="5"/>
    <m/>
    <x v="1"/>
    <m/>
    <n v="0.15"/>
    <n v="1475.0251711517762"/>
    <s v="John Anderson"/>
    <s v="John Anderson"/>
    <m/>
    <n v="29500.503423035523"/>
    <d v="2028-04-27T00:00:00"/>
    <n v="4425.0755134553283"/>
  </r>
  <r>
    <s v="TR-2025101"/>
    <d v="2025-06-30T00:00:00"/>
    <d v="2025-07-03T00:00:00"/>
    <s v="P-050"/>
    <x v="41"/>
    <s v="BestParts"/>
    <s v="Equipment"/>
    <s v="9 "/>
    <n v="39.53"/>
    <n v="0.1"/>
    <n v="384.20086393088548"/>
    <s v="€"/>
    <x v="16"/>
    <x v="14"/>
    <x v="1"/>
    <s v="South"/>
    <s v="Miami"/>
    <s v="   Globex Inc "/>
    <s v="359058731"/>
    <s v="john.company.com"/>
    <s v="356.268.3612"/>
    <s v="144 Johnson Blvd"/>
    <s v="82465"/>
    <s v="USA"/>
    <s v="Credit Card"/>
    <s v="Delivered"/>
    <s v="Unpaid"/>
    <s v="INV/2025/0101"/>
    <s v="Store"/>
    <s v="4"/>
    <x v="4"/>
    <n v="2025"/>
    <s v="Net 30"/>
    <n v="70"/>
    <n v="0.08"/>
    <n v="30.736069114470837"/>
    <n v="414.93693304535634"/>
    <s v="18.84€"/>
    <s v="USPS"/>
    <s v="DH222726685"/>
    <s v="21.8 "/>
    <s v="B"/>
    <n v="81"/>
    <n v="1"/>
    <m/>
    <x v="1"/>
    <m/>
    <n v="0"/>
    <n v="6.6389909287257023"/>
    <s v="   John Smith"/>
    <s v="   John Smith"/>
    <m/>
    <n v="331.94954643628512"/>
    <d v="2026-07-03T00:00:00"/>
    <n v="0"/>
  </r>
  <r>
    <s v="TR-2025102"/>
    <d v="2026-06-13T00:00:00"/>
    <d v="2026-06-17T00:00:00"/>
    <s v="P-060"/>
    <x v="29"/>
    <s v="Global Distrib"/>
    <s v="Electronics"/>
    <s v="32"/>
    <n v="334.59"/>
    <n v="0.1"/>
    <n v="11562.505399568034"/>
    <s v="€"/>
    <x v="11"/>
    <x v="2"/>
    <x v="1"/>
    <s v="West"/>
    <s v="Boston"/>
    <s v="Stark Llc"/>
    <s v="243787855"/>
    <s v="john.company.com"/>
    <s v="698.986.5985"/>
    <s v="411 Johnson Ave"/>
    <s v="-"/>
    <s v="USA"/>
    <s v="Credit Card"/>
    <s v="Processing"/>
    <s v="Partial"/>
    <s v="INV/2026/0102"/>
    <s v="Online"/>
    <s v="1"/>
    <x v="4"/>
    <n v="2026"/>
    <s v="Net 30"/>
    <n v="81"/>
    <n v="0.08"/>
    <n v="925.00043196544266"/>
    <n v="12487.505831533475"/>
    <s v="26.34 €"/>
    <s v="Fed Ex"/>
    <s v="FX253380862"/>
    <s v="28.1 "/>
    <s v="B"/>
    <n v="376"/>
    <n v="1"/>
    <m/>
    <x v="1"/>
    <m/>
    <n v="0.25"/>
    <n v="299.70013995680341"/>
    <s v="John Brown"/>
    <s v="John Brown"/>
    <m/>
    <n v="9990.0046652267811"/>
    <d v="2029-06-17T00:00:00"/>
    <n v="2497.5011663066953"/>
  </r>
  <r>
    <s v="TR-2025103"/>
    <d v="2025-07-16T00:00:00"/>
    <d v="2025-07-28T00:00:00"/>
    <s v="P-034"/>
    <x v="18"/>
    <s v="Global Distrib"/>
    <s v="Office"/>
    <s v="13 "/>
    <n v="23.03"/>
    <n v="0.1"/>
    <n v="320.54603854389717"/>
    <s v="€"/>
    <x v="12"/>
    <x v="10"/>
    <x v="2"/>
    <s v="West"/>
    <s v="Houston"/>
    <s v="Acme Ltd."/>
    <s v="112539996"/>
    <s v="james.company.com"/>
    <s v="379.516.6768"/>
    <s v="122 Smith Street"/>
    <s v="14054"/>
    <s v="USA"/>
    <s v="Credit Card"/>
    <s v="Delivered"/>
    <s v="Partial"/>
    <s v="INV/2025/0103"/>
    <s v="Online"/>
    <s v="1"/>
    <x v="5"/>
    <n v="2025"/>
    <s v="Net 60"/>
    <n v="0"/>
    <n v="0.08"/>
    <n v="25.643683083511775"/>
    <n v="346.18972162740897"/>
    <s v="26,16€"/>
    <s v="ups"/>
    <s v="1Z709734857"/>
    <s v="6.6 "/>
    <s v="B"/>
    <n v="484"/>
    <s v=""/>
    <m/>
    <x v="1"/>
    <m/>
    <n v="0.25"/>
    <n v="13.847588865096359"/>
    <s v="James Smith"/>
    <s v="James Smith"/>
    <m/>
    <n v="276.95177730192717"/>
    <d v="2027-07-28T00:00:00"/>
    <n v="69.237944325481791"/>
  </r>
  <r>
    <s v="TR-2025104"/>
    <d v="2026-04-05T00:00:00"/>
    <d v="2026-04-12T00:00:00"/>
    <s v="P-046"/>
    <x v="14"/>
    <s v="Global Distrib"/>
    <s v="Equipment"/>
    <s v="16 "/>
    <n v="549.41999999999996"/>
    <n v="0.05"/>
    <n v="8790.7199999999993"/>
    <s v="$"/>
    <x v="1"/>
    <x v="1"/>
    <x v="1"/>
    <s v="North"/>
    <s v="Seattle"/>
    <s v="Initech Inc"/>
    <s v="567147611"/>
    <s v="john.company.com"/>
    <s v="+1 852 532 1222"/>
    <s v="778 Davis Ave"/>
    <s v="02457"/>
    <s v="USA"/>
    <s v="Wire"/>
    <s v="Cancelled"/>
    <s v="Unpaid"/>
    <s v="INV/2026/0104"/>
    <s v="Web"/>
    <s v="1 "/>
    <x v="2"/>
    <n v="2026"/>
    <s v="15"/>
    <n v="41"/>
    <n v="0.08"/>
    <n v="703.25759999999991"/>
    <n v="9493.9775999999983"/>
    <s v="48.82$"/>
    <s v="FedEx"/>
    <s v="DH627617812"/>
    <s v="17,98"/>
    <s v="B"/>
    <n v="284"/>
    <n v="2"/>
    <m/>
    <x v="1"/>
    <m/>
    <n v="0.15"/>
    <n v="161.39761919999998"/>
    <s v="John Anderson"/>
    <s v="John Anderson"/>
    <m/>
    <n v="8069.8809599999986"/>
    <d v="2029-04-12T00:00:00"/>
    <n v="1210.4821439999998"/>
  </r>
  <r>
    <s v="TR-2025077"/>
    <d v="2025-01-17T00:00:00"/>
    <s v="N/A"/>
    <s v="P-014"/>
    <x v="15"/>
    <s v="OfficeHub"/>
    <s v="Software"/>
    <s v="22 "/>
    <n v="1166.96"/>
    <n v="0.1"/>
    <n v="25673.120000000003"/>
    <s v="$"/>
    <x v="13"/>
    <x v="11"/>
    <x v="0"/>
    <s v="West"/>
    <s v="Houston"/>
    <s v="Globex Inc."/>
    <s v="834490030"/>
    <s v="sarah.company.com"/>
    <s v="(207) 705-7898"/>
    <s v="443 Brown Ave"/>
    <s v="68805"/>
    <s v="USA"/>
    <s v="Cash"/>
    <s v="Processing"/>
    <s v="Unpaid"/>
    <s v="INV/2025/0077"/>
    <s v="Online"/>
    <s v="1"/>
    <x v="3"/>
    <n v="2025"/>
    <s v="Net 60"/>
    <n v="14"/>
    <n v="0.08"/>
    <n v="2053.8496000000005"/>
    <n v="27726.969600000004"/>
    <s v="8.75$"/>
    <s v="Fed Ex"/>
    <s v="DH116486037"/>
    <s v="1.6 "/>
    <s v="B"/>
    <n v="465"/>
    <n v="4"/>
    <m/>
    <x v="1"/>
    <m/>
    <n v="0"/>
    <n v="623.85681599999998"/>
    <s v="Sarah Miller"/>
    <s v="Sarah Miller"/>
    <m/>
    <n v="20795.227200000001"/>
    <s v="Empty"/>
    <n v="0"/>
  </r>
  <r>
    <s v="TR-2025105"/>
    <d v="2025-11-20T00:00:00"/>
    <d v="2025-11-25T00:00:00"/>
    <s v="P-051"/>
    <x v="24"/>
    <s v="TechSupply Co"/>
    <s v="Office"/>
    <s v="39 "/>
    <n v="1036.6500000000001"/>
    <n v="0.05"/>
    <n v="40429.350000000006"/>
    <s v="$"/>
    <x v="7"/>
    <x v="7"/>
    <x v="2"/>
    <s v="North"/>
    <s v="Miami"/>
    <s v="  Acme Inc"/>
    <s v=" 774515756"/>
    <s v="ryan.company.com"/>
    <s v="(992) 402-9677"/>
    <s v="633 Williams Blvd"/>
    <s v="04165"/>
    <s v="USA"/>
    <s v="Credit Card"/>
    <s v="Delivered"/>
    <s v="Paid"/>
    <s v="INV/2025/0105"/>
    <s v="Phone"/>
    <s v="1 "/>
    <x v="10"/>
    <n v="2025"/>
    <s v="Net 60"/>
    <n v="0"/>
    <n v="0.08"/>
    <n v="3234.3480000000004"/>
    <n v="43663.698000000004"/>
    <s v="37,29$"/>
    <s v="Fed Ex"/>
    <s v="1Z707749035"/>
    <s v="3,83"/>
    <s v="A"/>
    <n v="135"/>
    <n v="5"/>
    <m/>
    <x v="1"/>
    <m/>
    <n v="0"/>
    <n v="1113.424299"/>
    <s v="Ryan Miller"/>
    <s v="Ryan Miller"/>
    <m/>
    <n v="37114.143300000003"/>
    <d v="2027-11-25T00:00:00"/>
    <n v="0"/>
  </r>
  <r>
    <s v="TR-2025106"/>
    <d v="2025-09-08T00:00:00"/>
    <d v="2025-08-17T00:00:00"/>
    <s v="P-050"/>
    <x v="41"/>
    <s v="BestParts"/>
    <s v="Equipment"/>
    <s v="1"/>
    <n v="39.53"/>
    <n v="0.1"/>
    <n v="42.874186550976141"/>
    <s v="€"/>
    <x v="1"/>
    <x v="1"/>
    <x v="1"/>
    <s v="South"/>
    <s v="Seattle"/>
    <s v="   Vortex Inc"/>
    <s v=" 138836598"/>
    <s v="michael.company.com"/>
    <s v="(271) 609-9326"/>
    <s v="158 Johnson Ave"/>
    <s v="36124"/>
    <s v="USA"/>
    <s v="Credit Card"/>
    <s v="Delivered"/>
    <s v="Paid"/>
    <s v="INV/2025/0106"/>
    <s v="Online"/>
    <s v="1 "/>
    <x v="1"/>
    <n v="2025"/>
    <s v="Net 30"/>
    <n v="43"/>
    <n v="0.08"/>
    <n v="3.4299349240780912"/>
    <n v="46.304121475054231"/>
    <s v="19.08€"/>
    <s v="FedEx"/>
    <s v="FX275499759"/>
    <s v="14.6 "/>
    <s v="B"/>
    <n v="201"/>
    <s v=""/>
    <m/>
    <x v="1"/>
    <m/>
    <n v="0.15"/>
    <n v="0.74086594360086777"/>
    <s v="  Michael Jones"/>
    <s v="  Michael Jones"/>
    <m/>
    <n v="37.043297180043389"/>
    <d v="2026-08-17T00:00:00"/>
    <n v="5.5564945770065082"/>
  </r>
  <r>
    <s v="TR-2025107"/>
    <d v="2026-04-16T00:00:00"/>
    <d v="2026-04-19T00:00:00"/>
    <s v="P-014"/>
    <x v="15"/>
    <s v="OfficeHub"/>
    <s v="Software"/>
    <s v="2 "/>
    <n v="1166.96"/>
    <n v="0.05"/>
    <n v="2333.92"/>
    <s v="$"/>
    <x v="18"/>
    <x v="16"/>
    <x v="2"/>
    <s v="East"/>
    <s v="Los Angeles"/>
    <s v="Wayne Inc"/>
    <s v=" 415149085"/>
    <s v="emily.yahoo.com"/>
    <s v="+1 272 791 1744"/>
    <s v="133 Miller St."/>
    <s v="50591"/>
    <s v="USA"/>
    <s v="Cash"/>
    <s v="Delivered"/>
    <s v="Unpaid"/>
    <s v="INV/2026/0107"/>
    <s v="Online"/>
    <s v="1"/>
    <x v="2"/>
    <n v="2026"/>
    <s v="Net 30"/>
    <n v="14"/>
    <n v="0.08"/>
    <n v="186.71360000000001"/>
    <n v="2520.6336000000001"/>
    <s v=" 7$"/>
    <s v="ups"/>
    <s v="DH859838693"/>
    <s v="12,67"/>
    <s v="A"/>
    <n v="241"/>
    <n v="1"/>
    <m/>
    <x v="1"/>
    <m/>
    <n v="0.18"/>
    <n v="60.495206400000001"/>
    <s v="Emily Brown  "/>
    <s v="Emily Brown  "/>
    <m/>
    <n v="2016.5068800000001"/>
    <d v="2029-04-19T00:00:00"/>
    <n v="362.9712384"/>
  </r>
  <r>
    <s v="TR-2025108"/>
    <d v="2025-04-06T00:00:00"/>
    <d v="2025-04-19T00:00:00"/>
    <s v="P-001"/>
    <x v="4"/>
    <s v="Global Distrib"/>
    <s v="Software"/>
    <s v="40 "/>
    <n v="978.15"/>
    <n v="0.1"/>
    <n v="39126"/>
    <s v="$"/>
    <x v="4"/>
    <x v="4"/>
    <x v="0"/>
    <s v="South"/>
    <s v="Houston"/>
    <s v="Stark Inc  "/>
    <s v="949139698"/>
    <s v="david.company.com"/>
    <s v="+1 359 781 8827"/>
    <s v="507 Miller Blvd"/>
    <s v="75675"/>
    <s v="USA"/>
    <s v="Cash"/>
    <s v="Delivered"/>
    <s v="Paid"/>
    <s v="INV/2025/0108"/>
    <s v="Phone"/>
    <s v="4"/>
    <x v="2"/>
    <n v="2025"/>
    <s v="Net 30"/>
    <n v="88"/>
    <n v="0.08"/>
    <n v="3130.08"/>
    <n v="42256.08"/>
    <s v="19.06$"/>
    <s v="DHL"/>
    <s v="DH136250507"/>
    <s v="15,59"/>
    <s v="A"/>
    <n v="185"/>
    <n v="1"/>
    <m/>
    <x v="1"/>
    <m/>
    <n v="0.15"/>
    <n v="950.76179999999999"/>
    <s v="David Miller  "/>
    <s v="David Miller  "/>
    <m/>
    <n v="31692.06"/>
    <d v="2027-04-19T00:00:00"/>
    <n v="4753.8090000000002"/>
  </r>
  <r>
    <s v="TR-2025109"/>
    <d v="2026-04-14T00:00:00"/>
    <d v="2026-04-27T00:00:00"/>
    <s v="P-024"/>
    <x v="9"/>
    <s v="TechSupply Co"/>
    <s v="Electronics"/>
    <s v="32"/>
    <n v="95.7"/>
    <n v="0.1"/>
    <n v="3062.4"/>
    <s v="$"/>
    <x v="0"/>
    <x v="0"/>
    <x v="0"/>
    <s v="South"/>
    <s v="Chicago"/>
    <s v="Wayne Inc"/>
    <s v="265129008"/>
    <s v="daniel.company.com"/>
    <s v="+1 857 768 5908"/>
    <s v="807 Brown Ave"/>
    <s v="17297"/>
    <s v="USA"/>
    <s v="Wire Transfer"/>
    <s v="Pending"/>
    <s v="Unpaid"/>
    <s v="INV/2026/0109"/>
    <s v="Web"/>
    <s v="1"/>
    <x v="2"/>
    <n v="2026"/>
    <s v="Net 60"/>
    <n v="0"/>
    <n v="0.08"/>
    <n v="244.99200000000002"/>
    <n v="3307.3920000000003"/>
    <s v="36,04$"/>
    <s v="ups"/>
    <s v="DH304117202"/>
    <s v="22.51"/>
    <s v="C"/>
    <n v="356"/>
    <n v="4.5"/>
    <m/>
    <x v="1"/>
    <m/>
    <n v="0.15"/>
    <n v="79.377408000000003"/>
    <s v="Daniel Brown"/>
    <s v="Daniel Brown"/>
    <m/>
    <n v="2645.9136000000003"/>
    <d v="2028-04-27T00:00:00"/>
    <n v="396.88704000000001"/>
  </r>
  <r>
    <s v="TR-2025110"/>
    <d v="2025-06-13T00:00:00"/>
    <d v="2025-06-17T00:00:00"/>
    <s v="P-053"/>
    <x v="5"/>
    <s v="Global Distrib"/>
    <s v="Equipment"/>
    <s v="37"/>
    <n v="553.22"/>
    <n v="0.1"/>
    <n v="20469.14"/>
    <s v="$"/>
    <x v="17"/>
    <x v="15"/>
    <x v="3"/>
    <s v="West"/>
    <s v="New York"/>
    <s v="Umbrella Inc"/>
    <s v=" 908734973"/>
    <s v="chris.company.com"/>
    <s v="+1 607 508 7648"/>
    <s v="353 Miller Blvd"/>
    <s v="53690"/>
    <s v="USA"/>
    <s v="Cash"/>
    <s v="Pending"/>
    <s v="Paid"/>
    <s v="INV/2025/0110"/>
    <s v="Phone"/>
    <s v="1"/>
    <x v="4"/>
    <n v="2025"/>
    <s v="15"/>
    <n v="14"/>
    <n v="0.08"/>
    <n v="1637.5311999999999"/>
    <n v="22106.671200000001"/>
    <s v="11.97$"/>
    <s v="Fed Ex"/>
    <s v="FX347580114"/>
    <s v="27.9 "/>
    <s v="B"/>
    <n v="476"/>
    <n v="4"/>
    <m/>
    <x v="1"/>
    <m/>
    <n v="0.25"/>
    <n v="530.56010879999997"/>
    <s v="Chris Williams"/>
    <s v="Chris Williams"/>
    <m/>
    <n v="17685.336960000001"/>
    <d v="2027-06-17T00:00:00"/>
    <n v="4421.3342400000001"/>
  </r>
  <r>
    <s v="TR-2025111"/>
    <d v="2026-11-06T00:00:00"/>
    <s v="N/A"/>
    <s v="P-004"/>
    <x v="6"/>
    <s v="OfficeHub"/>
    <s v="Electronics"/>
    <s v="32 "/>
    <n v="364.79"/>
    <n v="0.1"/>
    <n v="11673.28"/>
    <s v="$"/>
    <x v="24"/>
    <x v="22"/>
    <x v="2"/>
    <s v="East"/>
    <s v="Seattle"/>
    <s v="Umbrella Inc"/>
    <s v="117248121"/>
    <s v="emma.yahoo.com"/>
    <s v="277.541.3683"/>
    <s v="652 Davis St."/>
    <s v="04709"/>
    <s v="USA"/>
    <s v="Wire"/>
    <s v="Processing"/>
    <s v="Partial"/>
    <s v="INV/2026/0111"/>
    <s v="Store"/>
    <s v="2"/>
    <x v="4"/>
    <n v="2026"/>
    <s v="Net 60"/>
    <n v="0"/>
    <n v="0.08"/>
    <n v="933.86240000000009"/>
    <n v="12607.142400000001"/>
    <s v=" 8$"/>
    <s v="ups"/>
    <s v="1Z223822531"/>
    <s v="22.08"/>
    <s v="A"/>
    <n v="71"/>
    <s v=""/>
    <m/>
    <x v="1"/>
    <m/>
    <n v="0.25"/>
    <n v="302.57141760000007"/>
    <s v="Emma Jones"/>
    <s v="Emma Jones"/>
    <m/>
    <n v="10085.713920000002"/>
    <s v="Empty"/>
    <n v="2521.4284800000005"/>
  </r>
  <r>
    <s v="TR-2025112"/>
    <d v="2025-02-02T00:00:00"/>
    <d v="2025-02-08T00:00:00"/>
    <s v="P-017"/>
    <x v="22"/>
    <s v="BestParts"/>
    <s v="Software"/>
    <s v="14"/>
    <n v="1313.33"/>
    <n v="0"/>
    <n v="18386.62"/>
    <s v="$"/>
    <x v="12"/>
    <x v="10"/>
    <x v="2"/>
    <s v="West"/>
    <s v="Houston"/>
    <s v="   Globex Inc"/>
    <s v="288439142"/>
    <s v="robert.yahoo.com"/>
    <s v="(757) 308-6155"/>
    <s v="187 Davis Ave"/>
    <s v="80085"/>
    <s v="USA"/>
    <s v="Paypal"/>
    <s v="Processing"/>
    <s v="Unpaid"/>
    <s v="INV/2025/0112"/>
    <s v="Online"/>
    <s v="4"/>
    <x v="6"/>
    <n v="2025"/>
    <s v="Net 60"/>
    <n v="16"/>
    <n v="0.08"/>
    <n v="1470.9295999999999"/>
    <n v="19857.549599999998"/>
    <s v="15.73 $"/>
    <s v="ups"/>
    <s v="DH399518188"/>
    <s v="12.3"/>
    <s v="B"/>
    <n v="408"/>
    <s v=""/>
    <m/>
    <x v="1"/>
    <m/>
    <n v="0.15"/>
    <n v="843.94585799999993"/>
    <s v="  Robert Williams   "/>
    <s v="  Robert Williams   "/>
    <m/>
    <n v="16878.917159999997"/>
    <d v="2027-02-08T00:00:00"/>
    <n v="2531.8375739999997"/>
  </r>
  <r>
    <s v="TR-2025113"/>
    <d v="2026-02-13T00:00:00"/>
    <d v="2026-02-23T00:00:00"/>
    <s v="P-025"/>
    <x v="48"/>
    <s v="TechSupply Co"/>
    <s v="Software"/>
    <s v="5 "/>
    <n v="430.47"/>
    <n v="0"/>
    <n v="2152.3500000000004"/>
    <s v="$"/>
    <x v="10"/>
    <x v="9"/>
    <x v="0"/>
    <s v="North"/>
    <s v="Los Angeles"/>
    <s v="Stark Inc.  "/>
    <s v="882485433"/>
    <s v="laura.company.com"/>
    <s v="834.688.7493"/>
    <s v="697 Brown Ave"/>
    <s v="52046"/>
    <s v="USA"/>
    <s v="Wire"/>
    <s v="Cancelled"/>
    <s v="Paid"/>
    <s v="INV/2026/0113"/>
    <s v="Online"/>
    <s v="2"/>
    <x v="6"/>
    <n v="2026"/>
    <s v="Immediate"/>
    <n v="37"/>
    <n v="0.08"/>
    <n v="172.18800000000005"/>
    <n v="2324.5380000000005"/>
    <s v="2.62$"/>
    <s v="ups"/>
    <s v="FX311557876"/>
    <s v="4.3 "/>
    <s v="C"/>
    <n v="385"/>
    <n v="4"/>
    <m/>
    <x v="1"/>
    <m/>
    <n v="0.25"/>
    <n v="59.275719000000009"/>
    <s v="Laura Taylor "/>
    <s v="Laura Taylor "/>
    <m/>
    <n v="1975.8573000000004"/>
    <d v="2027-02-23T00:00:00"/>
    <n v="493.96432500000009"/>
  </r>
  <r>
    <s v="TR-2025114"/>
    <d v="2026-04-06T00:00:00"/>
    <d v="2026-06-11T00:00:00"/>
    <s v="P-012"/>
    <x v="23"/>
    <s v="OfficeHub"/>
    <s v="Electronics"/>
    <s v="20 "/>
    <n v="823.88"/>
    <n v="0.1"/>
    <n v="16477.599999999999"/>
    <s v="$"/>
    <x v="14"/>
    <x v="12"/>
    <x v="3"/>
    <s v="South"/>
    <s v="Houston"/>
    <s v="   Initech Inc."/>
    <s v="362515695"/>
    <s v="emily.yahoo.com"/>
    <s v="465.669.6402"/>
    <s v="269 Davis St."/>
    <s v="24897"/>
    <s v="USA"/>
    <s v="Credit Card"/>
    <s v="Delivered"/>
    <s v="Paid"/>
    <s v="INV/2026/0114"/>
    <s v="Store"/>
    <s v="1"/>
    <x v="4"/>
    <n v="2026"/>
    <s v="Immediate"/>
    <n v="50"/>
    <n v="0.08"/>
    <n v="1318.2079999999999"/>
    <n v="17795.807999999997"/>
    <s v="23.68$"/>
    <s v="DHL"/>
    <s v="FX245506263"/>
    <s v="4.5 "/>
    <s v="A"/>
    <n v="494"/>
    <n v="4"/>
    <m/>
    <x v="1"/>
    <m/>
    <n v="0"/>
    <n v="284.73292799999996"/>
    <s v="Emily Smith"/>
    <s v="Emily Smith"/>
    <m/>
    <n v="14236.646399999998"/>
    <d v="2029-06-11T00:00:00"/>
    <n v="0"/>
  </r>
  <r>
    <s v="TR-2025115"/>
    <d v="2025-01-11T00:00:00"/>
    <d v="2025-01-13T00:00:00"/>
    <s v="P-043"/>
    <x v="40"/>
    <s v="Global Distrib"/>
    <s v="Equipment"/>
    <s v="25 "/>
    <n v="156.69"/>
    <n v="0.05"/>
    <n v="3917.25"/>
    <s v="$"/>
    <x v="12"/>
    <x v="10"/>
    <x v="2"/>
    <s v="South"/>
    <s v="Houston"/>
    <s v="Wayne Llc "/>
    <s v="474714407"/>
    <s v="olivia.gmail.com"/>
    <s v="+1 573 322 3995"/>
    <s v="929 Brown Street"/>
    <s v="73610"/>
    <s v="USA"/>
    <s v="Wire Transfer"/>
    <s v="Pending"/>
    <s v="Paid"/>
    <s v="INV/2025/0115"/>
    <s v="Store"/>
    <s v="1"/>
    <x v="3"/>
    <n v="2025"/>
    <s v="Net 30"/>
    <n v="76"/>
    <n v="0.08"/>
    <n v="313.38"/>
    <n v="4230.63"/>
    <s v="19.47$"/>
    <s v="USPS"/>
    <s v="DH355858499"/>
    <s v="10,36"/>
    <s v="B"/>
    <n v="259"/>
    <n v="2"/>
    <m/>
    <x v="1"/>
    <m/>
    <n v="0"/>
    <n v="179.80177500000002"/>
    <s v="Olivia Davis"/>
    <s v="Olivia Davis"/>
    <m/>
    <n v="3596.0355"/>
    <d v="2026-01-13T00:00:00"/>
    <n v="0"/>
  </r>
  <r>
    <s v="TR-2025116"/>
    <d v="2025-03-08T00:00:00"/>
    <d v="2025-03-22T00:00:00"/>
    <s v="P-027"/>
    <x v="44"/>
    <s v="Global Distrib"/>
    <s v="Equipment"/>
    <s v="12 "/>
    <n v="180.06"/>
    <n v="0.1"/>
    <n v="2160.7200000000003"/>
    <s v="$"/>
    <x v="2"/>
    <x v="2"/>
    <x v="1"/>
    <s v="West"/>
    <s v="Boston"/>
    <s v="Umbrella Llc"/>
    <s v="111001296"/>
    <s v="david.yahoo.com"/>
    <s v="+1 787 295 5219"/>
    <s v="385 Johnson Blvd"/>
    <s v="35995"/>
    <s v="USA"/>
    <s v="Credit Card"/>
    <s v="Processing"/>
    <s v="Partial"/>
    <s v="INV/2025/0116"/>
    <s v="Phone"/>
    <s v="4"/>
    <x v="8"/>
    <n v="2025"/>
    <s v="Net 30"/>
    <n v="0"/>
    <n v="0.08"/>
    <n v="172.85760000000002"/>
    <n v="2333.5776000000001"/>
    <s v="20.86 $"/>
    <s v="FedEx"/>
    <s v="DH470318492"/>
    <s v="16.6 "/>
    <s v="A"/>
    <n v="473"/>
    <s v=""/>
    <m/>
    <x v="1"/>
    <m/>
    <n v="0.15"/>
    <n v="56.005862399999998"/>
    <s v="David Wilson"/>
    <s v="David Wilson"/>
    <m/>
    <n v="1866.8620800000001"/>
    <d v="2027-03-22T00:00:00"/>
    <n v="280.029312"/>
  </r>
  <r>
    <s v="TR-2025117"/>
    <d v="2026-01-11T00:00:00"/>
    <d v="2026-01-13T00:00:00"/>
    <s v="P-029"/>
    <x v="38"/>
    <s v="OfficeHub"/>
    <s v="Software"/>
    <s v="11 "/>
    <n v="1375.64"/>
    <n v="0.05"/>
    <n v="15132.04"/>
    <s v="$"/>
    <x v="7"/>
    <x v="7"/>
    <x v="2"/>
    <s v="North"/>
    <s v="Miami"/>
    <s v="Initech Inc"/>
    <s v=" 778813577"/>
    <s v="olivia.yahoo.com"/>
    <s v="+1 456 642 6802"/>
    <s v="3 Johnson St."/>
    <s v="02713"/>
    <s v="USA"/>
    <s v="Wire Transfer"/>
    <s v="Pending"/>
    <s v="Partial"/>
    <s v="INV/2026/0117"/>
    <s v="Store"/>
    <s v="1"/>
    <x v="3"/>
    <n v="2026"/>
    <s v="Net 30"/>
    <n v="61"/>
    <n v="0.08"/>
    <n v="1210.5632000000001"/>
    <n v="16342.603200000001"/>
    <s v="24.5$"/>
    <s v="DHL"/>
    <s v="DH338693718"/>
    <s v="9.0 "/>
    <s v="A"/>
    <n v="151"/>
    <n v="5"/>
    <m/>
    <x v="1"/>
    <m/>
    <n v="0.25"/>
    <n v="392.22247680000004"/>
    <s v="Olivia Davis"/>
    <s v="Olivia Davis"/>
    <m/>
    <n v="13074.082560000003"/>
    <d v="2028-01-13T00:00:00"/>
    <n v="3268.5206400000006"/>
  </r>
  <r>
    <s v="TR-2025118"/>
    <d v="2026-06-14T00:00:00"/>
    <d v="2026-06-20T00:00:00"/>
    <s v="P-004"/>
    <x v="6"/>
    <s v="OfficeHub"/>
    <s v="Electronics"/>
    <s v="7 "/>
    <n v="364.79"/>
    <n v="0.1"/>
    <n v="2553.5300000000002"/>
    <s v="$"/>
    <x v="6"/>
    <x v="6"/>
    <x v="2"/>
    <s v="South"/>
    <s v="Boston"/>
    <s v=" Stark Inc."/>
    <s v=" 986739414"/>
    <s v="sophia.gmail.com"/>
    <s v="348.471.3029"/>
    <s v="450 Brown St."/>
    <s v="58661"/>
    <s v="USA"/>
    <s v="Credit Card"/>
    <s v="Delivered"/>
    <s v="Paid"/>
    <s v="INV/2026/0118"/>
    <s v="Online"/>
    <s v="3"/>
    <x v="4"/>
    <n v="2026"/>
    <s v="15"/>
    <n v="34"/>
    <n v="0.08"/>
    <n v="204.28240000000002"/>
    <n v="2757.8124000000003"/>
    <s v="40.91$"/>
    <s v="DHL"/>
    <s v="1Z412227285"/>
    <s v="22,73"/>
    <s v="C"/>
    <n v="56"/>
    <n v="5"/>
    <m/>
    <x v="1"/>
    <m/>
    <n v="0.15"/>
    <n v="66.1874976"/>
    <s v="  Sophia Johnson"/>
    <s v="  Sophia Johnson"/>
    <m/>
    <n v="2206.2499200000002"/>
    <d v="2028-06-20T00:00:00"/>
    <n v="330.93748800000003"/>
  </r>
  <r>
    <s v="TR-2025119"/>
    <d v="2025-08-02T00:00:00"/>
    <d v="2025-09-08T00:00:00"/>
    <s v="P-028"/>
    <x v="49"/>
    <s v="BestParts"/>
    <s v="Furniture"/>
    <s v="27"/>
    <n v="198.36"/>
    <n v="0"/>
    <n v="5355.72"/>
    <s v="$"/>
    <x v="24"/>
    <x v="22"/>
    <x v="2"/>
    <s v="North"/>
    <s v="Seattle"/>
    <s v="   Initech Inc"/>
    <s v="576274096"/>
    <s v="sophia.yahoo.com"/>
    <s v="+1 752 235 6486"/>
    <s v="342 Taylor Blvd"/>
    <s v="96249"/>
    <s v="USA"/>
    <s v="Paypal"/>
    <s v="Cancelled"/>
    <s v="Paid"/>
    <s v="INV/2025/0119"/>
    <s v="Web"/>
    <s v="1 "/>
    <x v="1"/>
    <n v="2025"/>
    <s v="Net 60"/>
    <n v="0"/>
    <n v="0.08"/>
    <n v="428.45760000000001"/>
    <n v="5784.1776"/>
    <s v="9.96$"/>
    <s v="Fed Ex"/>
    <s v="DH869913412"/>
    <s v="22.0 "/>
    <s v="B"/>
    <n v="439"/>
    <n v="5"/>
    <m/>
    <x v="1"/>
    <m/>
    <n v="0.3"/>
    <n v="156.1727952"/>
    <s v="Sophia Brown"/>
    <s v="Sophia Brown"/>
    <m/>
    <n v="5205.7598399999997"/>
    <d v="2028-09-08T00:00:00"/>
    <n v="1561.727952"/>
  </r>
  <r>
    <s v="TR-2025184"/>
    <d v="2026-01-22T00:00:00"/>
    <d v="2026-01-27T00:00:00"/>
    <s v="P-060"/>
    <x v="29"/>
    <s v="Global Distrib"/>
    <s v="Electronics"/>
    <s v="6 "/>
    <n v="334.59"/>
    <n v="0.1"/>
    <n v="2007.54"/>
    <s v="$"/>
    <x v="22"/>
    <x v="20"/>
    <x v="3"/>
    <s v="South"/>
    <s v="Houston"/>
    <s v="Globex Inc"/>
    <s v="563976881"/>
    <s v="emma.yahoo.com"/>
    <s v="(449) 922-7592"/>
    <s v="296 Wilson Blvd"/>
    <s v="35682"/>
    <s v="USA"/>
    <s v="Wire Transfer"/>
    <s v="Cancelled"/>
    <s v="Paid"/>
    <s v="INV/2026/0184"/>
    <s v="Phone"/>
    <s v="4"/>
    <x v="3"/>
    <n v="2026"/>
    <s v="Immediate"/>
    <n v="29"/>
    <n v="0.08"/>
    <n v="160.60319999999999"/>
    <n v="2168.1432"/>
    <s v="5,97$"/>
    <s v="DHL"/>
    <s v="DH585037168"/>
    <s v="23,16"/>
    <s v="A"/>
    <n v="88"/>
    <n v="4"/>
    <m/>
    <x v="1"/>
    <m/>
    <n v="0.15"/>
    <n v="86.725728000000004"/>
    <s v="Emma Miller"/>
    <s v="Emma Miller"/>
    <m/>
    <n v="1734.5145600000001"/>
    <d v="2029-01-27T00:00:00"/>
    <n v="260.17718400000001"/>
  </r>
  <r>
    <s v="TR-2025120"/>
    <d v="2026-04-12T00:00:00"/>
    <d v="2026-04-22T00:00:00"/>
    <s v="P-015"/>
    <x v="42"/>
    <s v="Global Distrib"/>
    <s v="Software"/>
    <s v="37"/>
    <n v="545.57000000000005"/>
    <n v="0"/>
    <n v="20186.09"/>
    <s v="$"/>
    <x v="3"/>
    <x v="3"/>
    <x v="0"/>
    <s v="West"/>
    <s v="New York"/>
    <s v="  Stark Inc."/>
    <s v="794990289"/>
    <s v="daniel.company.com"/>
    <s v="419.436.4450"/>
    <s v="884 Davis Street"/>
    <s v="91815"/>
    <s v="USA"/>
    <s v="Paypal"/>
    <s v="Pending"/>
    <s v="Paid"/>
    <s v="INV/2026/0120"/>
    <s v="Store"/>
    <s v="2"/>
    <x v="2"/>
    <n v="2026"/>
    <s v="Net 60"/>
    <n v="0"/>
    <n v="0.08"/>
    <n v="1614.8872000000001"/>
    <n v="21800.977200000001"/>
    <s v="24,48$"/>
    <s v="FedEx"/>
    <s v="DH851545932"/>
    <s v="12,3"/>
    <s v="B"/>
    <n v="132"/>
    <s v=""/>
    <m/>
    <x v="1"/>
    <m/>
    <n v="0.25"/>
    <n v="555.92491859999996"/>
    <s v="Daniel Taylor"/>
    <s v="Daniel Taylor"/>
    <m/>
    <n v="18530.830620000001"/>
    <d v="2028-04-22T00:00:00"/>
    <n v="4632.7076550000002"/>
  </r>
  <r>
    <s v="TR-2025121"/>
    <d v="2025-03-14T00:00:00"/>
    <d v="2025-03-18T00:00:00"/>
    <s v="P-015"/>
    <x v="42"/>
    <s v="Global Distrib"/>
    <s v="Software"/>
    <s v="18"/>
    <n v="545.57000000000005"/>
    <n v="0.1"/>
    <n v="9820.26"/>
    <s v="$"/>
    <x v="13"/>
    <x v="11"/>
    <x v="0"/>
    <s v="North"/>
    <s v="Houston"/>
    <s v=" Globex Inc"/>
    <s v=" 268745410"/>
    <s v="null"/>
    <s v="+1 540 296 3776"/>
    <s v="285 Smith St."/>
    <s v="56419"/>
    <s v="USA"/>
    <s v="Cash"/>
    <s v="Delivered"/>
    <s v="Paid"/>
    <s v="INV/2025/0121"/>
    <s v="Online"/>
    <s v="3"/>
    <x v="8"/>
    <n v="2025"/>
    <s v="Net 30"/>
    <n v="27"/>
    <n v="0.08"/>
    <n v="785.62080000000003"/>
    <n v="10605.880800000001"/>
    <s v="8.64 $"/>
    <s v="ups"/>
    <s v="FX945651490"/>
    <s v="3.99"/>
    <s v="A"/>
    <n v="363"/>
    <n v="5"/>
    <m/>
    <x v="1"/>
    <m/>
    <n v="0"/>
    <n v="238.63231800000003"/>
    <s v="  Sophia Davis"/>
    <s v="  Sophia Davis"/>
    <m/>
    <n v="7954.4106000000011"/>
    <d v="2027-03-18T00:00:00"/>
    <n v="0"/>
  </r>
  <r>
    <s v="TR-2025122"/>
    <d v="2025-04-07T00:00:00"/>
    <d v="2025-04-16T00:00:00"/>
    <s v="P-044"/>
    <x v="50"/>
    <s v="TechSupply Co"/>
    <s v="Electronics"/>
    <s v="3 "/>
    <n v="110.12"/>
    <n v="0.05"/>
    <n v="330.36"/>
    <s v="$"/>
    <x v="17"/>
    <x v="15"/>
    <x v="3"/>
    <s v="North"/>
    <s v="New York"/>
    <s v="Umbrella Inc"/>
    <s v=" 127108113"/>
    <s v="emily.company.com"/>
    <s v="+1 339 524 9535"/>
    <s v="58 Davis St."/>
    <s v="33309"/>
    <s v="USA"/>
    <s v="Wire"/>
    <s v="Delivered"/>
    <s v="Paid"/>
    <s v="INV/2025/0122"/>
    <s v="Online"/>
    <s v="1 "/>
    <x v="2"/>
    <n v="2025"/>
    <s v="Immediate"/>
    <n v="75"/>
    <n v="0.08"/>
    <n v="26.428800000000003"/>
    <n v="356.78880000000004"/>
    <s v="14.26$"/>
    <s v="ups"/>
    <s v="FX626878432"/>
    <s v="5,86"/>
    <s v="A"/>
    <n v="186"/>
    <n v="2"/>
    <m/>
    <x v="1"/>
    <m/>
    <n v="0.15"/>
    <n v="9.0981144"/>
    <s v="  Emily Davis"/>
    <s v="  Emily Davis"/>
    <m/>
    <n v="303.27048000000002"/>
    <d v="2028-04-16T00:00:00"/>
    <n v="45.490572"/>
  </r>
  <r>
    <s v="TR-2025123"/>
    <d v="2026-05-02T00:00:00"/>
    <d v="2026-05-12T00:00:00"/>
    <s v="P-041"/>
    <x v="17"/>
    <s v="TechSupply Co"/>
    <s v="Software"/>
    <s v="5 "/>
    <n v="247.64"/>
    <n v="0"/>
    <n v="1238.1999999999998"/>
    <s v="$"/>
    <x v="3"/>
    <x v="3"/>
    <x v="0"/>
    <s v="North"/>
    <s v="New York"/>
    <s v="Acme Inc."/>
    <s v=" 989203659"/>
    <s v="david.yahoo.com"/>
    <s v="+1 733 576 5785"/>
    <s v="725 Johnson Ave"/>
    <s v="24973"/>
    <s v="USA"/>
    <s v="Wire"/>
    <s v="Cancelled"/>
    <s v="Unpaid"/>
    <s v="INV/2026/0123"/>
    <s v="Web"/>
    <s v="1 "/>
    <x v="7"/>
    <n v="2026"/>
    <s v="Net 30"/>
    <n v="78"/>
    <n v="0.08"/>
    <n v="99.055999999999983"/>
    <n v="1337.2559999999999"/>
    <s v="#N/A$"/>
    <s v="ups"/>
    <s v="DH116154973"/>
    <s v="16.24"/>
    <s v="A"/>
    <n v="477"/>
    <s v=""/>
    <m/>
    <x v="1"/>
    <m/>
    <n v="0.18"/>
    <n v="34.100027999999995"/>
    <s v="David Wilson"/>
    <s v="David Wilson"/>
    <m/>
    <n v="1136.6675999999998"/>
    <d v="2028-05-12T00:00:00"/>
    <n v="204.60016799999994"/>
  </r>
  <r>
    <s v="TR-2025124"/>
    <d v="2026-02-02T00:00:00"/>
    <d v="2026-02-08T00:00:00"/>
    <s v="P-022"/>
    <x v="33"/>
    <s v="BestParts"/>
    <s v="Furniture"/>
    <s v="7 "/>
    <n v="893.58"/>
    <n v="0"/>
    <n v="6255.06"/>
    <s v="$"/>
    <x v="10"/>
    <x v="9"/>
    <x v="0"/>
    <s v="West"/>
    <s v="Los Angeles"/>
    <s v="Globex Ltd.  "/>
    <s v=" 808835586"/>
    <s v="chris.gmail.com"/>
    <s v="(418) 335-2462"/>
    <s v="587 Johnson St."/>
    <s v="66876"/>
    <s v="USA"/>
    <s v="Credit Card"/>
    <s v="Cancelled"/>
    <s v="Unpaid"/>
    <s v="INV/2026/0124"/>
    <s v="Online"/>
    <s v="1"/>
    <x v="6"/>
    <n v="2026"/>
    <s v="15"/>
    <n v="49"/>
    <n v="0.08"/>
    <n v="500.40480000000002"/>
    <n v="6755.4648000000007"/>
    <s v="18.23$"/>
    <s v="FedEx"/>
    <s v="FX814899680"/>
    <s v="1.6 "/>
    <s v="B"/>
    <n v="348"/>
    <n v="4"/>
    <m/>
    <x v="1"/>
    <m/>
    <n v="0.18"/>
    <n v="182.39754960000002"/>
    <s v="Chris Taylor "/>
    <s v="Chris Taylor "/>
    <m/>
    <n v="6079.9183200000007"/>
    <d v="2027-02-08T00:00:00"/>
    <n v="1094.3852976000001"/>
  </r>
  <r>
    <s v="TR-2025125"/>
    <d v="2026-02-28T00:00:00"/>
    <d v="2026-03-10T00:00:00"/>
    <s v="P-018"/>
    <x v="28"/>
    <s v="Global Distrib"/>
    <s v="Equipment"/>
    <s v="36 "/>
    <n v="1470.36"/>
    <n v="0"/>
    <n v="52932.959999999999"/>
    <s v="$"/>
    <x v="16"/>
    <x v="14"/>
    <x v="1"/>
    <s v="East"/>
    <s v="Miami"/>
    <s v="Acme Inc  "/>
    <s v=" 291755379"/>
    <s v="emily.yahoo.com"/>
    <s v="(329) 462-8873"/>
    <s v="59 Smith St."/>
    <s v="null"/>
    <s v="USA"/>
    <s v="Credit Card"/>
    <s v="Delivered"/>
    <s v="Paid"/>
    <s v="INV/2026/0125"/>
    <s v="Online"/>
    <s v="1"/>
    <x v="6"/>
    <n v="2026"/>
    <s v="Net 60"/>
    <n v="90"/>
    <n v="0.08"/>
    <n v="4234.6368000000002"/>
    <n v="57167.596799999999"/>
    <s v="16,92$"/>
    <s v="DHL"/>
    <s v="FX459470160"/>
    <s v="2.65"/>
    <s v="B"/>
    <n v="122"/>
    <n v="5"/>
    <m/>
    <x v="1"/>
    <m/>
    <n v="0.18"/>
    <n v="1029.0167424000001"/>
    <s v="  Emily Williams"/>
    <s v="  Emily Williams"/>
    <m/>
    <n v="51450.837120000004"/>
    <d v="2027-03-10T00:00:00"/>
    <n v="9261.1506816000001"/>
  </r>
  <r>
    <s v="TR-2025126"/>
    <d v="2025-06-18T00:00:00"/>
    <d v="2025-06-29T00:00:00"/>
    <s v="P-002"/>
    <x v="51"/>
    <s v="BestParts"/>
    <s v="Electronics"/>
    <s v="25 "/>
    <n v="551.70000000000005"/>
    <n v="0.1"/>
    <n v="13792.500000000002"/>
    <s v="$"/>
    <x v="9"/>
    <x v="9"/>
    <x v="0"/>
    <s v="South"/>
    <s v="Los Angeles"/>
    <s v="Acme Inc"/>
    <s v=" 700169015"/>
    <s v="david.company.com"/>
    <s v="+1 490 722 6890"/>
    <s v="795 Brown Street"/>
    <s v="14994"/>
    <s v="USA"/>
    <s v="Wire"/>
    <s v="Processing"/>
    <s v="Paid"/>
    <s v="INV/2025/0126"/>
    <s v="Web"/>
    <s v="4"/>
    <x v="4"/>
    <n v="2025"/>
    <s v="Immediate"/>
    <n v="63"/>
    <n v="0.08"/>
    <n v="1103.4000000000001"/>
    <n v="14895.900000000001"/>
    <s v="18.18$"/>
    <s v="USPS"/>
    <s v="FX359404144"/>
    <s v="4.99"/>
    <s v="A"/>
    <n v="398"/>
    <n v="4"/>
    <m/>
    <x v="1"/>
    <m/>
    <n v="0.25"/>
    <n v="357.5016"/>
    <s v="David Williams"/>
    <s v="David Williams"/>
    <m/>
    <n v="11916.720000000001"/>
    <d v="2026-06-29T00:00:00"/>
    <n v="2979.1800000000003"/>
  </r>
  <r>
    <s v="TR-2025127"/>
    <d v="2026-08-08T00:00:00"/>
    <d v="2026-08-20T00:00:00"/>
    <s v="P-029"/>
    <x v="38"/>
    <s v="OfficeHub"/>
    <s v="Software"/>
    <s v="34"/>
    <n v="1375.64"/>
    <n v="0.1"/>
    <n v="46771.76"/>
    <s v="$"/>
    <x v="7"/>
    <x v="7"/>
    <x v="2"/>
    <s v="East"/>
    <s v="Miami"/>
    <s v="   Globex Inc."/>
    <s v=" 421388142"/>
    <s v="ryan.yahoo.com"/>
    <s v="289.493.9687"/>
    <s v="409 Davis St."/>
    <s v="01245"/>
    <s v="USA"/>
    <s v="Paypal"/>
    <s v="Processing"/>
    <s v="Paid"/>
    <s v="INV/2026/0127"/>
    <s v="Store"/>
    <s v="2"/>
    <x v="1"/>
    <n v="2026"/>
    <s v="15"/>
    <n v="6"/>
    <n v="0.08"/>
    <n v="3741.7408"/>
    <n v="50513.500800000002"/>
    <s v="13.86$"/>
    <s v="USPS"/>
    <s v="FX739895789"/>
    <s v="26,31"/>
    <s v="C"/>
    <n v="239"/>
    <n v="2"/>
    <m/>
    <x v="1"/>
    <m/>
    <n v="0.25"/>
    <n v="1136.553768"/>
    <s v="Ryan Miller"/>
    <s v="Ryan Miller"/>
    <m/>
    <n v="37885.125599999999"/>
    <d v="2028-08-20T00:00:00"/>
    <n v="9471.2813999999998"/>
  </r>
  <r>
    <s v="TR-2025128"/>
    <d v="2026-03-04T00:00:00"/>
    <d v="2026-08-03T00:00:00"/>
    <s v="P-056"/>
    <x v="25"/>
    <s v="OfficeHub"/>
    <s v="Software"/>
    <s v="26 "/>
    <n v="1111.1099999999999"/>
    <n v="0.1"/>
    <n v="28888.859999999997"/>
    <s v="$"/>
    <x v="5"/>
    <x v="5"/>
    <x v="2"/>
    <s v="North"/>
    <s v="New York"/>
    <s v="Stark Inc"/>
    <s v=" 452437055"/>
    <s v="daniel.company.com"/>
    <s v="650.574.7949"/>
    <s v="679 Taylor Ave"/>
    <s v="88717"/>
    <s v="USA"/>
    <s v="Wire Transfer"/>
    <s v="Delivered"/>
    <s v="Partial"/>
    <s v="INV/2026/0128"/>
    <s v="Phone"/>
    <s v="3"/>
    <x v="8"/>
    <n v="2026"/>
    <s v="Net 30"/>
    <n v="60"/>
    <n v="0.08"/>
    <n v="2311.1088"/>
    <n v="31199.968799999995"/>
    <s v="3.94$"/>
    <s v="DHL"/>
    <s v="FX612190875"/>
    <s v="20.13"/>
    <s v="A"/>
    <n v="4"/>
    <n v="4.5"/>
    <m/>
    <x v="1"/>
    <m/>
    <n v="0"/>
    <n v="1169.9988299999998"/>
    <s v="Daniel Davis"/>
    <s v="Daniel Davis"/>
    <m/>
    <n v="23399.976599999995"/>
    <d v="2029-08-03T00:00:00"/>
    <n v="0"/>
  </r>
  <r>
    <s v="TR-2025129"/>
    <d v="2026-04-07T00:00:00"/>
    <d v="2026-06-07T00:00:00"/>
    <s v="P-001"/>
    <x v="4"/>
    <s v="Global Distrib"/>
    <s v="Software"/>
    <s v="35"/>
    <n v="978.15"/>
    <n v="0.1"/>
    <n v="34235.25"/>
    <s v="$"/>
    <x v="13"/>
    <x v="11"/>
    <x v="0"/>
    <s v="West"/>
    <s v="Houston"/>
    <s v="Umbrella Inc"/>
    <s v=" 659216403"/>
    <s v="david.yahoo.com"/>
    <s v="(357) 857-1511"/>
    <s v="360 Miller Ave"/>
    <s v="N/A"/>
    <s v="USA"/>
    <s v="Credit Card"/>
    <s v="Cancelled"/>
    <s v="Partial"/>
    <s v="INV/2026/0129"/>
    <s v="Online"/>
    <s v="4"/>
    <x v="5"/>
    <n v="2026"/>
    <s v="15"/>
    <n v="6"/>
    <n v="0.08"/>
    <n v="2738.82"/>
    <n v="36974.07"/>
    <s v="0.92$"/>
    <s v="ups"/>
    <s v="1Z410538077"/>
    <s v="18.2 "/>
    <s v="B"/>
    <n v="155"/>
    <n v="1"/>
    <m/>
    <x v="1"/>
    <m/>
    <n v="0"/>
    <n v="831.91657499999985"/>
    <s v="David Miller"/>
    <s v="David Miller"/>
    <m/>
    <n v="27730.552499999998"/>
    <d v="2028-06-07T00:00:00"/>
    <n v="0"/>
  </r>
  <r>
    <s v="TR-2025130"/>
    <d v="2025-10-20T00:00:00"/>
    <d v="2025-10-26T00:00:00"/>
    <s v="P-016"/>
    <x v="31"/>
    <s v="TechSupply Co"/>
    <s v="Office"/>
    <s v="38"/>
    <n v="127.37"/>
    <n v="0.1"/>
    <n v="4840.0600000000004"/>
    <s v="$"/>
    <x v="19"/>
    <x v="17"/>
    <x v="1"/>
    <s v="North"/>
    <s v="Miami"/>
    <s v="  Initech Ltd."/>
    <s v=" 185339452"/>
    <s v="david.yahoo.com"/>
    <s v="(868) 204-2607"/>
    <s v="610 Brown Ave"/>
    <s v="57843"/>
    <s v="USA"/>
    <s v="Wire"/>
    <s v="Delivered"/>
    <s v="Paid"/>
    <s v="INV/2025/0130"/>
    <s v="Online"/>
    <s v="4"/>
    <x v="11"/>
    <n v="2025"/>
    <s v="15"/>
    <n v="22"/>
    <n v="0.08"/>
    <n v="387.20480000000003"/>
    <n v="5227.2648000000008"/>
    <s v="2.81$"/>
    <s v="DHL"/>
    <s v="1Z386729871"/>
    <s v="3,82"/>
    <s v="C"/>
    <n v="366"/>
    <s v=""/>
    <m/>
    <x v="1"/>
    <m/>
    <n v="0.18"/>
    <n v="209.09059200000007"/>
    <s v="David Jones  "/>
    <s v="David Jones  "/>
    <m/>
    <n v="4181.8118400000012"/>
    <d v="2026-10-26T00:00:00"/>
    <n v="752.72613120000017"/>
  </r>
  <r>
    <s v="TR-2025131"/>
    <d v="2026-01-18T00:00:00"/>
    <d v="2026-01-20T00:00:00"/>
    <s v="P-047"/>
    <x v="45"/>
    <s v="TechSupply Co"/>
    <s v="Software"/>
    <s v="10"/>
    <n v="1489.69"/>
    <n v="0"/>
    <n v="14896.900000000001"/>
    <s v="$"/>
    <x v="3"/>
    <x v="3"/>
    <x v="0"/>
    <s v="South"/>
    <s v="New York"/>
    <s v="Globex Inc   "/>
    <s v="922824366"/>
    <s v="N/A"/>
    <s v="(798) 338-9189"/>
    <s v="281 Williams St."/>
    <s v="39346"/>
    <s v="USA"/>
    <s v="Wire Transfer"/>
    <s v="Delivered"/>
    <s v="Unpaid"/>
    <s v="INV/2026/0131"/>
    <s v="Phone"/>
    <s v="1"/>
    <x v="3"/>
    <n v="2026"/>
    <s v="Immediate"/>
    <n v="76"/>
    <n v="0.08"/>
    <n v="1191.7520000000002"/>
    <n v="16088.652000000002"/>
    <s v=" 17$"/>
    <s v="USPS"/>
    <s v="FX992776943"/>
    <s v="25.4 "/>
    <s v="A"/>
    <n v="32"/>
    <n v="5"/>
    <m/>
    <x v="1"/>
    <m/>
    <n v="0"/>
    <n v="410.26062600000006"/>
    <s v="Laura Brown"/>
    <s v="Laura Brown"/>
    <m/>
    <n v="13675.354200000002"/>
    <d v="2029-01-20T00:00:00"/>
    <n v="0"/>
  </r>
  <r>
    <s v="TR-2025132"/>
    <d v="2025-01-01T00:00:00"/>
    <d v="2025-01-13T00:00:00"/>
    <s v="P-017"/>
    <x v="22"/>
    <s v="BestParts"/>
    <s v="Software"/>
    <s v="40"/>
    <n v="1313.33"/>
    <n v="0.05"/>
    <n v="52533.2"/>
    <s v="$"/>
    <x v="23"/>
    <x v="21"/>
    <x v="1"/>
    <s v="East"/>
    <s v="Boston"/>
    <s v="Globex Llc "/>
    <s v=" 275732917"/>
    <s v="michael.gmail.com"/>
    <s v="+1 902 964 2275"/>
    <s v="330 Williams Blvd"/>
    <s v="69417"/>
    <s v="USA"/>
    <s v="Credit Card"/>
    <s v="Delivered"/>
    <s v="Paid"/>
    <s v="INV/2025/0132"/>
    <s v="Phone"/>
    <s v="1 "/>
    <x v="3"/>
    <n v="2025"/>
    <s v="Immediate"/>
    <n v="19"/>
    <n v="0.08"/>
    <n v="4202.6559999999999"/>
    <n v="56735.856"/>
    <s v="47.73$"/>
    <s v="USPS"/>
    <s v="1Z313017791"/>
    <s v="17,46"/>
    <s v="B"/>
    <n v="475"/>
    <n v="4.5"/>
    <m/>
    <x v="1"/>
    <m/>
    <n v="0.15"/>
    <n v="2269.43424"/>
    <s v="Michael Miller "/>
    <s v="Michael Miller "/>
    <m/>
    <n v="45388.684800000003"/>
    <d v="2027-01-13T00:00:00"/>
    <n v="6808.3027200000006"/>
  </r>
  <r>
    <s v="TR-2025133"/>
    <d v="2025-01-19T00:00:00"/>
    <d v="2025-01-20T00:00:00"/>
    <s v="P-058"/>
    <x v="10"/>
    <s v="Global Distrib"/>
    <s v="Furniture"/>
    <s v="40"/>
    <n v="711"/>
    <n v="0"/>
    <n v="28440"/>
    <s v="$"/>
    <x v="10"/>
    <x v="9"/>
    <x v="0"/>
    <s v="West"/>
    <s v="Los Angeles"/>
    <s v="Wayne Inc."/>
    <s v="657803133"/>
    <s v="daniel.company.com"/>
    <s v="+1 943 409 8250"/>
    <s v="401 Taylor Ave"/>
    <s v="32785"/>
    <s v="USA"/>
    <s v="Paypal"/>
    <s v="Delivered"/>
    <s v="Paid"/>
    <s v="INV/2025/0133"/>
    <s v="Store"/>
    <s v="1"/>
    <x v="3"/>
    <n v="2025"/>
    <s v="Net 60"/>
    <n v="13"/>
    <n v="0.08"/>
    <n v="2275.2000000000003"/>
    <n v="30715.200000000001"/>
    <s v="38.08$"/>
    <s v="ups"/>
    <s v="1Z493892180"/>
    <s v="9.18"/>
    <s v="B"/>
    <n v="392"/>
    <n v="5"/>
    <m/>
    <x v="1"/>
    <m/>
    <n v="0.15"/>
    <n v="829.31039999999996"/>
    <s v="Daniel Smith"/>
    <s v="Daniel Smith"/>
    <m/>
    <n v="27643.68"/>
    <d v="2026-01-20T00:00:00"/>
    <n v="4146.5519999999997"/>
  </r>
  <r>
    <s v="TR-2025134"/>
    <d v="2025-01-30T00:00:00"/>
    <d v="2025-11-02T00:00:00"/>
    <s v="P-043"/>
    <x v="40"/>
    <s v="Global Distrib"/>
    <s v="Equipment"/>
    <s v="37 "/>
    <n v="156.69"/>
    <n v="0.1"/>
    <n v="5797.53"/>
    <s v="$"/>
    <x v="23"/>
    <x v="21"/>
    <x v="1"/>
    <s v="South"/>
    <s v="Boston"/>
    <s v="Vortex Inc."/>
    <s v=" 700999225"/>
    <s v="daniel.company.com"/>
    <s v="(941) 935-6585"/>
    <s v="504 Johnson Street"/>
    <s v="07531"/>
    <s v="USA"/>
    <s v="Credit Card"/>
    <s v="Processing"/>
    <s v="Paid"/>
    <s v="INV/2025/0134"/>
    <s v="Online"/>
    <s v="1"/>
    <x v="3"/>
    <n v="2025"/>
    <s v="Immediate"/>
    <n v="0"/>
    <n v="0.08"/>
    <n v="463.80239999999998"/>
    <n v="6261.3323999999993"/>
    <s v="6.45 $"/>
    <s v="ups"/>
    <s v="1Z939975480"/>
    <s v="16.7 "/>
    <s v="B"/>
    <n v="406"/>
    <n v="2"/>
    <m/>
    <x v="1"/>
    <m/>
    <n v="0.3"/>
    <n v="250.45329600000002"/>
    <s v="Daniel Jones"/>
    <s v="Daniel Jones"/>
    <m/>
    <n v="5009.06592"/>
    <d v="2026-11-02T00:00:00"/>
    <n v="1502.7197759999999"/>
  </r>
  <r>
    <s v="TR-2025135"/>
    <d v="2026-08-14T00:00:00"/>
    <s v="-"/>
    <s v="P-059"/>
    <x v="26"/>
    <s v="OfficeHub"/>
    <s v="Furniture"/>
    <s v="39"/>
    <n v="673.61"/>
    <n v="0"/>
    <n v="26270.79"/>
    <s v="$"/>
    <x v="24"/>
    <x v="22"/>
    <x v="2"/>
    <s v="North"/>
    <s v="Seattle"/>
    <s v="Wayne Inc."/>
    <s v=" 562710109"/>
    <s v="daniel.yahoo.com"/>
    <s v="(849) 486-4147"/>
    <s v="834 Brown Street"/>
    <s v="-"/>
    <s v="USA"/>
    <s v="Credit Card"/>
    <s v="Delivered"/>
    <s v="Paid"/>
    <s v="INV/2026/0135"/>
    <s v="Web"/>
    <s v="1 "/>
    <x v="1"/>
    <n v="2026"/>
    <s v="15"/>
    <n v="0"/>
    <n v="0.08"/>
    <n v="2101.6632"/>
    <n v="28372.4532"/>
    <s v="15.52$"/>
    <s v="FedEx"/>
    <s v="1Z339767915"/>
    <s v="9.9 "/>
    <s v="C"/>
    <n v="231"/>
    <n v="2"/>
    <m/>
    <x v="1"/>
    <m/>
    <n v="0.18"/>
    <n v="766.05623639999999"/>
    <s v="Daniel Anderson"/>
    <s v="Daniel Anderson"/>
    <m/>
    <n v="25535.207880000002"/>
    <s v="Empty"/>
    <n v="4596.3374184000004"/>
  </r>
  <r>
    <s v="TR-2025136"/>
    <d v="2026-05-11T00:00:00"/>
    <d v="2026-05-25T00:00:00"/>
    <s v="P-017"/>
    <x v="22"/>
    <s v="BestParts"/>
    <s v="Software"/>
    <s v="29"/>
    <n v="1313.33"/>
    <n v="0.1"/>
    <n v="38086.57"/>
    <s v="$"/>
    <x v="4"/>
    <x v="4"/>
    <x v="0"/>
    <s v="South"/>
    <s v="Houston"/>
    <s v="Stark Ltd."/>
    <s v=" 738876954"/>
    <s v="robert.gmail.com"/>
    <s v="(510) 325-2870"/>
    <s v="514 Smith Ave"/>
    <s v="78446"/>
    <s v="USA"/>
    <s v="Wire Transfer"/>
    <s v="Delivered"/>
    <s v="Paid"/>
    <s v="INV/2026/0136"/>
    <s v="Online"/>
    <s v="1 "/>
    <x v="7"/>
    <n v="2026"/>
    <s v="Immediate"/>
    <n v="89"/>
    <n v="0.08"/>
    <n v="3046.9256"/>
    <n v="41133.495600000002"/>
    <s v="43.34$"/>
    <s v="Fed Ex"/>
    <s v="DH231226359"/>
    <s v="0,51"/>
    <s v="A"/>
    <n v="251"/>
    <n v="5"/>
    <m/>
    <x v="1"/>
    <m/>
    <n v="0.18"/>
    <n v="925.5036510000001"/>
    <s v="Robert Miller"/>
    <s v="Robert Miller"/>
    <m/>
    <n v="30850.121700000003"/>
    <d v="2028-05-25T00:00:00"/>
    <n v="5553.0219059999999"/>
  </r>
  <r>
    <s v="TR-2025137"/>
    <d v="2025-07-05T00:00:00"/>
    <s v="null"/>
    <s v="P-030"/>
    <x v="47"/>
    <s v="BestParts"/>
    <s v="Office"/>
    <s v="26"/>
    <n v="676.54"/>
    <n v="0.1"/>
    <n v="17590.04"/>
    <s v="$"/>
    <x v="13"/>
    <x v="11"/>
    <x v="0"/>
    <s v="South"/>
    <s v="Houston"/>
    <s v="Initech Inc"/>
    <s v=" 864898049"/>
    <s v="ryan.gmail.com"/>
    <s v="+1 290 927 7533"/>
    <s v="883 Jones Blvd"/>
    <s v="43284"/>
    <s v="USA"/>
    <s v="Wire Transfer"/>
    <s v="Delivered"/>
    <s v="Partial"/>
    <s v="INV/2025/0137"/>
    <s v="Web"/>
    <s v="1"/>
    <x v="5"/>
    <n v="2025"/>
    <s v="15"/>
    <n v="32"/>
    <n v="0.08"/>
    <n v="1407.2032000000002"/>
    <n v="18997.243200000001"/>
    <s v="27.58 $"/>
    <s v="FedEx"/>
    <s v="FX441827400"/>
    <s v="1.7 "/>
    <s v="B"/>
    <n v="252"/>
    <n v="1"/>
    <m/>
    <x v="1"/>
    <m/>
    <n v="0.3"/>
    <n v="455.93383680000005"/>
    <s v="Ryan Wilson"/>
    <s v="Ryan Wilson"/>
    <m/>
    <n v="15197.794560000002"/>
    <s v="Empty"/>
    <n v="4559.3383680000006"/>
  </r>
  <r>
    <s v="TR-2025138"/>
    <d v="2025-02-27T00:00:00"/>
    <d v="2025-12-03T00:00:00"/>
    <s v="P-042"/>
    <x v="13"/>
    <s v="TechSupply Co"/>
    <s v="Electronics"/>
    <s v="5 "/>
    <n v="158.06"/>
    <n v="0.1"/>
    <n v="790.3"/>
    <s v="$"/>
    <x v="1"/>
    <x v="1"/>
    <x v="1"/>
    <s v="West"/>
    <s v="Seattle"/>
    <s v="Vortex Llc   "/>
    <s v="327468543"/>
    <s v="laura.company.com"/>
    <s v="(408) 443-9922"/>
    <s v="244 Wilson St."/>
    <s v="32433"/>
    <s v="USA"/>
    <s v="Wire Transfer"/>
    <s v="Delivered"/>
    <s v="Paid"/>
    <s v="INV/2025/0138"/>
    <s v="Store"/>
    <s v="1"/>
    <x v="6"/>
    <n v="2025"/>
    <s v="Immediate"/>
    <n v="0"/>
    <n v="0.08"/>
    <n v="63.223999999999997"/>
    <n v="853.524"/>
    <s v=" 2$"/>
    <s v="DHL"/>
    <s v="DH428790824"/>
    <s v="17,82"/>
    <s v="A"/>
    <n v="177"/>
    <n v="3"/>
    <m/>
    <x v="1"/>
    <m/>
    <n v="0.3"/>
    <n v="13.656384000000001"/>
    <s v="  Laura Miller"/>
    <s v="  Laura Miller"/>
    <m/>
    <n v="682.81920000000002"/>
    <d v="2028-12-03T00:00:00"/>
    <n v="204.84576000000001"/>
  </r>
  <r>
    <s v="TR-2025139"/>
    <d v="2026-04-04T00:00:00"/>
    <d v="2026-04-16T00:00:00"/>
    <s v="P-050"/>
    <x v="41"/>
    <s v="BestParts"/>
    <s v="Equipment"/>
    <s v="14 "/>
    <n v="39.53"/>
    <n v="0.1"/>
    <n v="553.42000000000007"/>
    <s v="$"/>
    <x v="7"/>
    <x v="7"/>
    <x v="2"/>
    <s v="South"/>
    <s v="Miami"/>
    <s v="Globex Inc"/>
    <s v="742803680"/>
    <s v="david.company.com"/>
    <s v="571.973.4805"/>
    <s v="526 Taylor St."/>
    <s v="81366"/>
    <s v="USA"/>
    <s v="Paypal"/>
    <s v="Delivered"/>
    <s v="Paid"/>
    <s v="INV/2026/0139"/>
    <s v="Web"/>
    <s v="3"/>
    <x v="2"/>
    <n v="2026"/>
    <s v="Net 60"/>
    <n v="56"/>
    <n v="0.08"/>
    <n v="44.273600000000009"/>
    <n v="597.69360000000006"/>
    <s v=" 35$"/>
    <s v="DHL"/>
    <s v="DH505968001"/>
    <s v="20,32"/>
    <s v="A"/>
    <n v="198"/>
    <n v="5"/>
    <m/>
    <x v="1"/>
    <m/>
    <n v="0.15"/>
    <n v="14.3446464"/>
    <s v="David Smith"/>
    <s v="David Smith"/>
    <m/>
    <n v="478.15488000000005"/>
    <d v="2027-04-16T00:00:00"/>
    <n v="71.72323200000001"/>
  </r>
  <r>
    <s v="TR-2025140"/>
    <d v="2026-02-17T00:00:00"/>
    <d v="2026-02-21T00:00:00"/>
    <s v="P-025"/>
    <x v="48"/>
    <s v="TechSupply Co"/>
    <s v="Software"/>
    <s v="5 "/>
    <n v="430.47"/>
    <n v="0.1"/>
    <n v="2152.3500000000004"/>
    <s v="$"/>
    <x v="18"/>
    <x v="16"/>
    <x v="2"/>
    <s v="South"/>
    <s v="Los Angeles"/>
    <s v="Initech Inc"/>
    <s v=" 506363880"/>
    <s v="james.yahoo.com"/>
    <s v="249.918.1553"/>
    <s v="804 Smith St."/>
    <s v="56312"/>
    <s v="USA"/>
    <s v="Cash"/>
    <s v="Pending"/>
    <s v="Partial"/>
    <s v="INV/2026/0140"/>
    <s v="Phone"/>
    <s v="4"/>
    <x v="6"/>
    <n v="2026"/>
    <s v="15"/>
    <n v="79"/>
    <n v="0.08"/>
    <n v="172.18800000000005"/>
    <n v="2324.5380000000005"/>
    <s v="12.13$"/>
    <s v="FedEx"/>
    <s v="DH466691792"/>
    <s v="0,8"/>
    <s v="A"/>
    <n v="50"/>
    <n v="5"/>
    <m/>
    <x v="1"/>
    <m/>
    <n v="0.15"/>
    <n v="52.302105000000012"/>
    <s v="James Wilson"/>
    <s v="James Wilson"/>
    <m/>
    <n v="1743.4035000000003"/>
    <d v="2027-02-21T00:00:00"/>
    <n v="261.51052500000003"/>
  </r>
  <r>
    <s v="TR-2025141"/>
    <d v="2026-01-17T00:00:00"/>
    <d v="2026-01-31T00:00:00"/>
    <s v="P-032"/>
    <x v="2"/>
    <s v="OfficeHub"/>
    <s v="Software"/>
    <s v="22"/>
    <n v="1479.77"/>
    <n v="0.1"/>
    <n v="35194.529729729729"/>
    <s v="€"/>
    <x v="17"/>
    <x v="15"/>
    <x v="3"/>
    <s v="East"/>
    <s v="New York"/>
    <s v="Acme Llc"/>
    <s v=" 104178181"/>
    <s v="david.yahoo.com"/>
    <s v="658.865.4302"/>
    <s v="340 Johnson Street"/>
    <s v="46085"/>
    <s v="USA"/>
    <s v="Paypal"/>
    <s v="Processing"/>
    <s v="Paid"/>
    <s v="INV/2026/0141"/>
    <s v="Web"/>
    <s v="3"/>
    <x v="3"/>
    <n v="2026"/>
    <s v="15"/>
    <n v="40"/>
    <n v="0.08"/>
    <n v="2815.5623783783785"/>
    <n v="38010.092108108111"/>
    <s v="28,84€"/>
    <s v="Fed Ex"/>
    <s v="1Z732117206"/>
    <s v="24.58"/>
    <s v="B"/>
    <n v="98"/>
    <n v="3"/>
    <m/>
    <x v="1"/>
    <m/>
    <n v="0.25"/>
    <n v="855.22707243243246"/>
    <s v="David Smith"/>
    <s v="David Smith"/>
    <m/>
    <n v="28507.569081081085"/>
    <d v="2029-01-31T00:00:00"/>
    <n v="7126.8922702702712"/>
  </r>
  <r>
    <s v="TR-2025142"/>
    <d v="2025-09-16T00:00:00"/>
    <d v="2025-09-21T00:00:00"/>
    <s v="P-010"/>
    <x v="32"/>
    <s v="TechSupply Co"/>
    <s v="Equipment"/>
    <s v="25"/>
    <n v="1225.1099999999999"/>
    <n v="0.1"/>
    <n v="30627.749999999996"/>
    <s v="$"/>
    <x v="18"/>
    <x v="16"/>
    <x v="2"/>
    <s v="West"/>
    <s v="Los Angeles"/>
    <s v="Globex Inc."/>
    <s v="115358037"/>
    <s v="chris.gmail.com"/>
    <s v="(685) 870-5970"/>
    <s v="614 Williams St."/>
    <s v="26466"/>
    <s v="USA"/>
    <s v="Credit Card"/>
    <s v="Cancelled"/>
    <s v="Unpaid"/>
    <s v="INV/2025/0142"/>
    <s v="Phone"/>
    <s v="4"/>
    <x v="0"/>
    <n v="2025"/>
    <s v="15"/>
    <n v="79"/>
    <n v="0.08"/>
    <n v="2450.2199999999998"/>
    <n v="33077.969999999994"/>
    <s v="N/A$"/>
    <s v="ups"/>
    <s v="DH682392370"/>
    <s v="26.05"/>
    <s v="A"/>
    <n v="0"/>
    <n v="4"/>
    <m/>
    <x v="1"/>
    <m/>
    <n v="0.25"/>
    <n v="793.87127999999984"/>
    <s v="Chris Jones   "/>
    <s v="Chris Jones   "/>
    <m/>
    <n v="26462.375999999997"/>
    <d v="2027-09-21T00:00:00"/>
    <n v="6615.5939999999991"/>
  </r>
  <r>
    <s v="TR-2025143"/>
    <d v="2025-11-14T00:00:00"/>
    <d v="2025-11-28T00:00:00"/>
    <s v="P-055"/>
    <x v="19"/>
    <s v="BestParts"/>
    <s v="Office"/>
    <s v="2 "/>
    <n v="921.78"/>
    <n v="0.1"/>
    <n v="1843.56"/>
    <s v="$"/>
    <x v="18"/>
    <x v="16"/>
    <x v="2"/>
    <s v="East"/>
    <s v="Los Angeles"/>
    <s v=" Globex Llc"/>
    <s v="234858038"/>
    <s v="olivia.yahoo.com"/>
    <s v="(832) 202-5314"/>
    <s v="207 Brown Blvd"/>
    <s v="91448"/>
    <s v="USA"/>
    <s v="Credit Card"/>
    <s v="Delivered"/>
    <s v="Paid"/>
    <s v="INV/2025/0143"/>
    <s v="Online"/>
    <s v="4"/>
    <x v="10"/>
    <n v="2025"/>
    <s v="Net 60"/>
    <n v="26"/>
    <n v="0.08"/>
    <n v="147.48480000000001"/>
    <n v="1991.0447999999999"/>
    <s v=" 18$"/>
    <s v="ups"/>
    <s v="1Z465657189"/>
    <s v="8.6 "/>
    <s v="B"/>
    <n v="456"/>
    <s v=""/>
    <m/>
    <x v="1"/>
    <m/>
    <n v="0"/>
    <n v="47.785075199999994"/>
    <s v="Olivia Williams"/>
    <s v="Olivia Williams"/>
    <m/>
    <n v="1592.83584"/>
    <d v="2027-11-28T00:00:00"/>
    <n v="0"/>
  </r>
  <r>
    <s v="TR-2025144"/>
    <d v="2025-03-12T00:00:00"/>
    <s v="N/A"/>
    <s v="P-043"/>
    <x v="40"/>
    <s v="Global Distrib"/>
    <s v="Equipment"/>
    <s v="27"/>
    <n v="156.69"/>
    <n v="0"/>
    <n v="4638.8486842105267"/>
    <s v="€"/>
    <x v="22"/>
    <x v="20"/>
    <x v="3"/>
    <s v="West"/>
    <s v="Houston"/>
    <s v="   Vortex Inc."/>
    <s v="714395356"/>
    <s v="null"/>
    <s v="737.552.3816"/>
    <s v="662 Davis Blvd"/>
    <s v="70331"/>
    <s v="USA"/>
    <s v="Paypal"/>
    <s v="Cancelled"/>
    <s v="Partial"/>
    <s v="INV/2025/0144"/>
    <s v="Store"/>
    <s v="1"/>
    <x v="9"/>
    <n v="2025"/>
    <s v="15"/>
    <n v="73"/>
    <n v="0.08"/>
    <n v="371.10789473684213"/>
    <n v="5009.9565789473691"/>
    <s v="26.07€"/>
    <s v="ups"/>
    <s v="FX446735794"/>
    <s v="17.9 "/>
    <s v="B"/>
    <n v="78"/>
    <n v="4.5"/>
    <m/>
    <x v="1"/>
    <m/>
    <n v="0"/>
    <n v="225.44804605263164"/>
    <s v="Chris Jones"/>
    <s v="Chris Jones"/>
    <m/>
    <n v="4508.9609210526323"/>
    <s v="Empty"/>
    <n v="0"/>
  </r>
  <r>
    <s v="TR-2025145"/>
    <d v="2025-08-14T00:00:00"/>
    <d v="2025-08-16T00:00:00"/>
    <s v="P-042"/>
    <x v="13"/>
    <s v="TechSupply Co"/>
    <s v="Electronics"/>
    <s v="35"/>
    <n v="158.06"/>
    <n v="0"/>
    <n v="5532.1"/>
    <s v="$"/>
    <x v="13"/>
    <x v="11"/>
    <x v="0"/>
    <s v="East"/>
    <s v="Houston"/>
    <s v=" Stark Inc  "/>
    <s v="223911062"/>
    <s v="ryan.company.com"/>
    <s v="+1 917 835 9324"/>
    <s v="746 Jones Blvd"/>
    <s v="21875"/>
    <s v="USA"/>
    <s v="Wire"/>
    <s v="Delivered"/>
    <s v="Paid"/>
    <s v="INV/2025/0145"/>
    <s v="Web"/>
    <s v="2"/>
    <x v="1"/>
    <n v="2025"/>
    <s v="Net 30"/>
    <n v="38"/>
    <n v="0.08"/>
    <n v="442.56800000000004"/>
    <n v="5974.6680000000006"/>
    <s v="7,56$"/>
    <s v="FedEx"/>
    <s v="1Z326977784"/>
    <s v="3.95"/>
    <s v="B"/>
    <n v="442"/>
    <n v="2"/>
    <m/>
    <x v="1"/>
    <m/>
    <n v="0.25"/>
    <n v="161.316036"/>
    <s v="Ryan Brown"/>
    <s v="Ryan Brown"/>
    <m/>
    <n v="5377.2012000000004"/>
    <d v="2028-08-16T00:00:00"/>
    <n v="1344.3003000000001"/>
  </r>
  <r>
    <s v="TR-2025146"/>
    <d v="2025-01-11T00:00:00"/>
    <d v="2025-01-25T00:00:00"/>
    <s v="P-001"/>
    <x v="4"/>
    <s v="Global Distrib"/>
    <s v="Software"/>
    <s v="35"/>
    <n v="978.15"/>
    <n v="0.1"/>
    <n v="34235.25"/>
    <s v="$"/>
    <x v="22"/>
    <x v="20"/>
    <x v="3"/>
    <s v="South"/>
    <s v="Houston"/>
    <s v="Stark Inc."/>
    <s v=" 880273736"/>
    <s v="sophia.company.com"/>
    <s v="(294) 680-7960"/>
    <s v="332 Brown Blvd"/>
    <s v="#N/A"/>
    <s v="USA"/>
    <s v="Credit Card"/>
    <s v="Processing"/>
    <s v="Unpaid"/>
    <s v="INV/2025/0146"/>
    <s v="Online"/>
    <s v="1 "/>
    <x v="3"/>
    <n v="2025"/>
    <s v="15"/>
    <n v="75"/>
    <n v="0.08"/>
    <n v="2738.82"/>
    <n v="36974.07"/>
    <s v="16.57 $"/>
    <s v="ups"/>
    <s v="DH411448730"/>
    <s v="2.07"/>
    <s v="B"/>
    <n v="290"/>
    <n v="5"/>
    <m/>
    <x v="1"/>
    <m/>
    <n v="0"/>
    <n v="1386.5276249999999"/>
    <s v="Sophia Davis   "/>
    <s v="Sophia Davis   "/>
    <m/>
    <n v="27730.552499999998"/>
    <d v="2027-01-25T00:00:00"/>
    <n v="0"/>
  </r>
  <r>
    <s v="TR-2025147"/>
    <d v="2025-02-22T00:00:00"/>
    <d v="2025-02-26T00:00:00"/>
    <s v="P-009"/>
    <x v="11"/>
    <s v="BestParts"/>
    <s v="Office"/>
    <s v="39"/>
    <n v="813.33"/>
    <n v="0.1"/>
    <n v="34328.86363636364"/>
    <s v="€"/>
    <x v="11"/>
    <x v="2"/>
    <x v="1"/>
    <s v="North"/>
    <s v="Boston"/>
    <s v="Initech Inc  "/>
    <s v=" 266600621"/>
    <s v="laura.yahoo.com"/>
    <s v="(430) 575-5130"/>
    <s v="112 Taylor Street"/>
    <s v="38326"/>
    <s v="USA"/>
    <s v="Credit Card"/>
    <s v="Processing"/>
    <s v="Partial"/>
    <s v="INV/2025/0147"/>
    <s v="Phone"/>
    <s v="2"/>
    <x v="6"/>
    <n v="2025"/>
    <s v="15"/>
    <n v="69"/>
    <n v="0.08"/>
    <n v="2746.3090909090911"/>
    <n v="37075.172727272729"/>
    <s v="11.91€"/>
    <s v="DHL"/>
    <s v="DH893944983"/>
    <s v="17.3 "/>
    <s v="A"/>
    <n v="349"/>
    <n v="5"/>
    <m/>
    <x v="1"/>
    <m/>
    <n v="0.18"/>
    <n v="889.80414545454551"/>
    <s v="Laura Davis"/>
    <s v="Laura Davis"/>
    <m/>
    <n v="29660.138181818184"/>
    <d v="2028-02-26T00:00:00"/>
    <n v="5338.824872727273"/>
  </r>
  <r>
    <s v="TR-2025148"/>
    <d v="2025-11-16T00:00:00"/>
    <d v="2025-11-28T00:00:00"/>
    <s v="P-011"/>
    <x v="21"/>
    <s v="OfficeHub"/>
    <s v="Equipment"/>
    <s v="7 "/>
    <n v="858.95"/>
    <n v="0.1"/>
    <n v="6012.6500000000005"/>
    <s v="$"/>
    <x v="24"/>
    <x v="22"/>
    <x v="2"/>
    <s v="North"/>
    <s v="Seattle"/>
    <s v="Globex Ltd. "/>
    <s v="443962858"/>
    <s v="michael.gmail.com"/>
    <s v="447.893.5687"/>
    <s v="149 Miller Street"/>
    <s v="73879"/>
    <s v="USA"/>
    <s v="Wire Transfer"/>
    <s v="Delivered"/>
    <s v="Paid"/>
    <s v="INV/2025/0148"/>
    <s v="Online"/>
    <s v="1"/>
    <x v="10"/>
    <n v="2025"/>
    <s v="15"/>
    <n v="46"/>
    <n v="0.08"/>
    <n v="481.01200000000006"/>
    <n v="6493.6620000000003"/>
    <s v="25.58$"/>
    <s v="DHL"/>
    <s v="FX179559411"/>
    <s v="13,39"/>
    <s v="B"/>
    <n v="212"/>
    <n v="4"/>
    <m/>
    <x v="1"/>
    <m/>
    <n v="0.15"/>
    <n v="155.84788800000001"/>
    <s v="  Michael Williams  "/>
    <s v="  Michael Williams  "/>
    <m/>
    <n v="5194.9296000000004"/>
    <d v="2026-11-28T00:00:00"/>
    <n v="779.23944000000006"/>
  </r>
  <r>
    <s v="TR-2025149"/>
    <d v="2026-08-08T00:00:00"/>
    <d v="2026-08-11T00:00:00"/>
    <s v="P-020"/>
    <x v="52"/>
    <s v="BestParts"/>
    <s v="Software"/>
    <s v="4 "/>
    <n v="635.44000000000005"/>
    <n v="0.1"/>
    <n v="2541.7600000000002"/>
    <s v="$"/>
    <x v="15"/>
    <x v="13"/>
    <x v="2"/>
    <s v="West"/>
    <s v="Miami"/>
    <s v="Vortex Inc"/>
    <s v=" 719431798"/>
    <s v="michael.yahoo.com"/>
    <s v="+1 754 609 9425"/>
    <s v="204 Johnson Ave"/>
    <s v="02948"/>
    <s v="USA"/>
    <s v="Credit Card"/>
    <s v="Cancelled"/>
    <s v="Paid"/>
    <s v="INV/2026/0149"/>
    <s v="Online"/>
    <s v="3"/>
    <x v="1"/>
    <n v="2026"/>
    <s v="15"/>
    <n v="6"/>
    <n v="0.08"/>
    <n v="203.34080000000003"/>
    <n v="2745.1008000000002"/>
    <s v="20,26$"/>
    <s v="FedEx"/>
    <s v="1Z850437209"/>
    <s v="2.5 "/>
    <s v="A"/>
    <n v="322"/>
    <n v="2"/>
    <m/>
    <x v="1"/>
    <m/>
    <n v="0.3"/>
    <n v="61.764768000000004"/>
    <s v="Michael Taylor"/>
    <s v="Michael Taylor"/>
    <m/>
    <n v="2058.8256000000001"/>
    <d v="2028-08-11T00:00:00"/>
    <n v="617.64768000000004"/>
  </r>
  <r>
    <s v="TR-2025150"/>
    <d v="2025-02-23T00:00:00"/>
    <d v="2025-03-09T00:00:00"/>
    <s v="P-001"/>
    <x v="4"/>
    <s v="Global Distrib"/>
    <s v="Software"/>
    <s v="35"/>
    <n v="978.15"/>
    <n v="0.1"/>
    <n v="34235.25"/>
    <s v="$"/>
    <x v="0"/>
    <x v="0"/>
    <x v="0"/>
    <s v="East"/>
    <s v="Chicago"/>
    <s v="Wayne Inc "/>
    <s v=" 573509462"/>
    <s v="chris.company.com"/>
    <s v="522.624.9993"/>
    <s v="173 Williams Ave"/>
    <s v="12999"/>
    <s v="USA"/>
    <s v="Wire"/>
    <s v="Delivered"/>
    <s v="Paid"/>
    <s v="INV/2025/0150"/>
    <s v="Phone"/>
    <s v="4"/>
    <x v="6"/>
    <n v="2025"/>
    <s v="Immediate"/>
    <n v="19"/>
    <n v="0.08"/>
    <n v="2738.82"/>
    <n v="36974.07"/>
    <s v="41,16$"/>
    <s v="USPS"/>
    <s v="FX736848739"/>
    <s v="26.5 "/>
    <s v="C"/>
    <n v="435"/>
    <n v="2"/>
    <m/>
    <x v="1"/>
    <m/>
    <n v="0.15"/>
    <n v="831.91657499999985"/>
    <s v="Chris Anderson"/>
    <s v="Chris Anderson"/>
    <m/>
    <n v="27730.552499999998"/>
    <d v="2027-03-09T00:00:00"/>
    <n v="4159.5828749999991"/>
  </r>
  <r>
    <s v="TR-2025151"/>
    <d v="2025-12-04T00:00:00"/>
    <d v="2025-12-06T00:00:00"/>
    <s v="P-040"/>
    <x v="8"/>
    <s v="TechSupply Co"/>
    <s v="Software"/>
    <s v="17 "/>
    <n v="98.06"/>
    <n v="0.1"/>
    <n v="1667.02"/>
    <s v="$"/>
    <x v="5"/>
    <x v="5"/>
    <x v="2"/>
    <s v="East"/>
    <s v="New York"/>
    <s v="Wayne Inc   "/>
    <s v=" 624344031"/>
    <s v="james.gmail.com"/>
    <s v="(698) 610-1536"/>
    <s v="666 Jones Ave"/>
    <s v="null"/>
    <s v="USA"/>
    <s v="Credit Card"/>
    <s v="Processing"/>
    <s v="Paid"/>
    <s v="INV/2025/0151"/>
    <s v="Online"/>
    <s v="4"/>
    <x v="9"/>
    <n v="2025"/>
    <s v="Immediate"/>
    <n v="39"/>
    <n v="0.08"/>
    <n v="133.36160000000001"/>
    <n v="1800.3815999999999"/>
    <s v="29.15$"/>
    <s v="DHL"/>
    <s v="DH325262316"/>
    <s v="25.43"/>
    <s v="C"/>
    <n v="228"/>
    <n v="5"/>
    <m/>
    <x v="1"/>
    <m/>
    <n v="0"/>
    <n v="67.514310000000009"/>
    <s v="James Smith "/>
    <s v="James Smith "/>
    <m/>
    <n v="1350.2862"/>
    <d v="2027-12-06T00:00:00"/>
    <n v="0"/>
  </r>
  <r>
    <s v="TR-2025152"/>
    <d v="2025-06-19T00:00:00"/>
    <d v="2025-07-01T00:00:00"/>
    <s v="P-011"/>
    <x v="21"/>
    <s v="OfficeHub"/>
    <s v="Equipment"/>
    <s v="38 "/>
    <n v="858.95"/>
    <n v="0.1"/>
    <n v="32640.100000000002"/>
    <s v="$"/>
    <x v="6"/>
    <x v="6"/>
    <x v="2"/>
    <s v="South"/>
    <s v="Boston"/>
    <s v="Wayne Inc.   "/>
    <s v="828169653"/>
    <s v="laura.company.com"/>
    <s v="(346) 860-1960"/>
    <s v="511 Williams Street"/>
    <s v="07194"/>
    <s v="USA"/>
    <s v="Cash"/>
    <s v="Delivered"/>
    <s v="Paid"/>
    <s v="INV/2025/0152"/>
    <s v="Online"/>
    <s v="1"/>
    <x v="4"/>
    <n v="2025"/>
    <s v="Net 60"/>
    <n v="18"/>
    <n v="0.08"/>
    <n v="2611.2080000000001"/>
    <n v="35251.308000000005"/>
    <s v="6,47$"/>
    <s v="DHL"/>
    <s v="FX584298218"/>
    <s v="22,89"/>
    <s v="A"/>
    <n v="400"/>
    <n v="5"/>
    <m/>
    <x v="1"/>
    <m/>
    <n v="0.25"/>
    <n v="846.03139200000021"/>
    <s v="Laura Johnson"/>
    <s v="Laura Johnson"/>
    <m/>
    <n v="28201.046400000007"/>
    <d v="2026-07-01T00:00:00"/>
    <n v="7050.2616000000016"/>
  </r>
  <r>
    <s v="TR-2025153"/>
    <d v="2026-05-21T00:00:00"/>
    <s v="-"/>
    <s v="P-025"/>
    <x v="48"/>
    <s v="TechSupply Co"/>
    <s v="Software"/>
    <s v="11"/>
    <n v="430.47"/>
    <n v="0"/>
    <n v="5124.6428571428569"/>
    <s v="€"/>
    <x v="18"/>
    <x v="16"/>
    <x v="2"/>
    <s v="North"/>
    <s v="Los Angeles"/>
    <s v="Umbrella Llc"/>
    <s v=" 728103691"/>
    <s v="emily.yahoo.com"/>
    <s v="(717) 678-7081"/>
    <s v="509 Brown Blvd"/>
    <s v="58929"/>
    <s v="USA"/>
    <s v="Cash"/>
    <s v="Delivered"/>
    <s v="Unpaid"/>
    <s v="INV/2026/0153"/>
    <s v="Online"/>
    <s v="1 "/>
    <x v="7"/>
    <n v="2026"/>
    <s v="Net 30"/>
    <n v="60"/>
    <n v="0.08"/>
    <n v="409.97142857142853"/>
    <n v="5534.6142857142859"/>
    <s v="38.75€"/>
    <s v="Fed Ex"/>
    <s v="DH340835984"/>
    <s v="12.59"/>
    <s v="C"/>
    <n v="349"/>
    <n v="5"/>
    <m/>
    <x v="1"/>
    <m/>
    <n v="0.15"/>
    <n v="141.13266428571427"/>
    <s v="Emily Wilson"/>
    <s v="Emily Wilson"/>
    <m/>
    <n v="4704.4221428571427"/>
    <s v="Empty"/>
    <n v="705.66332142857141"/>
  </r>
  <r>
    <s v="TR-2025154"/>
    <d v="2026-04-22T00:00:00"/>
    <d v="2026-05-05T00:00:00"/>
    <s v="P-057"/>
    <x v="12"/>
    <s v="BestParts"/>
    <s v="Equipment"/>
    <s v="27 "/>
    <n v="741.71"/>
    <n v="0.1"/>
    <n v="20026.170000000002"/>
    <s v="$"/>
    <x v="5"/>
    <x v="5"/>
    <x v="2"/>
    <s v="East"/>
    <s v="New York"/>
    <s v=" Vortex Inc"/>
    <s v=" 610496630"/>
    <s v="emma.yahoo.com"/>
    <s v="316.880.4892"/>
    <s v="711 Smith Ave"/>
    <s v="22150"/>
    <s v="USA"/>
    <s v="Credit Card"/>
    <s v="Delivered"/>
    <s v="Unpaid"/>
    <s v="INV/2026/0154"/>
    <s v="Store"/>
    <s v="3"/>
    <x v="2"/>
    <n v="2026"/>
    <s v="Net 60"/>
    <n v="0"/>
    <n v="0.08"/>
    <n v="1602.0936000000002"/>
    <n v="21628.263600000002"/>
    <s v="30,30$"/>
    <s v="ups"/>
    <s v="FX429345007"/>
    <s v="26,21"/>
    <s v="C"/>
    <n v="336"/>
    <n v="5"/>
    <m/>
    <x v="1"/>
    <m/>
    <n v="0.15"/>
    <n v="865.13054400000021"/>
    <s v="Emma Jones  "/>
    <s v="Emma Jones  "/>
    <m/>
    <n v="17302.610880000004"/>
    <d v="2029-05-05T00:00:00"/>
    <n v="2595.3916320000003"/>
  </r>
  <r>
    <s v="TR-2025155"/>
    <d v="2025-01-08T00:00:00"/>
    <d v="2025-01-18T00:00:00"/>
    <s v="P-035"/>
    <x v="53"/>
    <s v="BestParts"/>
    <s v="Furniture"/>
    <s v="24"/>
    <n v="426.49"/>
    <n v="0.1"/>
    <n v="10235.76"/>
    <s v="$"/>
    <x v="17"/>
    <x v="15"/>
    <x v="3"/>
    <s v="North"/>
    <s v="New York"/>
    <s v=" Wayne Llc"/>
    <s v="285714857"/>
    <s v="ryan.company.com"/>
    <s v="+1 520 609 4647"/>
    <s v="651 Brown Street"/>
    <s v="97751"/>
    <s v="USA"/>
    <s v="Paypal"/>
    <s v="Cancelled"/>
    <s v="Unpaid"/>
    <s v="INV/2025/0155"/>
    <s v="Online"/>
    <s v="1"/>
    <x v="3"/>
    <n v="2025"/>
    <s v="15"/>
    <n v="56"/>
    <n v="0.08"/>
    <n v="818.86080000000004"/>
    <n v="11054.620800000001"/>
    <s v="37.75$"/>
    <s v="DHL"/>
    <s v="1Z958349575"/>
    <s v="21,13"/>
    <s v="A"/>
    <n v="325"/>
    <n v="1"/>
    <m/>
    <x v="1"/>
    <m/>
    <n v="0.18"/>
    <n v="265.31089919999999"/>
    <s v="Ryan Brown"/>
    <s v="Ryan Brown"/>
    <m/>
    <n v="8843.6966400000001"/>
    <d v="2027-01-18T00:00:00"/>
    <n v="1591.8653952"/>
  </r>
  <r>
    <s v="TR-2025235"/>
    <d v="2025-07-26T00:00:00"/>
    <d v="2025-08-06T00:00:00"/>
    <s v="P-051"/>
    <x v="24"/>
    <s v="TechSupply Co"/>
    <s v="Office"/>
    <s v="37"/>
    <n v="1036.6500000000001"/>
    <n v="0.05"/>
    <n v="38356.050000000003"/>
    <s v="$"/>
    <x v="23"/>
    <x v="21"/>
    <x v="1"/>
    <s v="North"/>
    <s v="Boston"/>
    <s v="  Acme Inc"/>
    <s v="660706416"/>
    <s v="ryan.yahoo.com"/>
    <s v="743.575.6532"/>
    <s v="760 Davis Ave"/>
    <s v="38092"/>
    <s v="USA"/>
    <s v="Wire Transfer"/>
    <s v="Delivered"/>
    <s v="Partial"/>
    <s v="INV/2025/0235"/>
    <s v="Phone"/>
    <s v="2"/>
    <x v="5"/>
    <n v="2025"/>
    <s v="Immediate"/>
    <n v="87"/>
    <n v="0.08"/>
    <n v="3068.4840000000004"/>
    <n v="41424.534"/>
    <s v="39.9$"/>
    <s v="ups"/>
    <s v="1Z714029847"/>
    <s v="10.8 "/>
    <s v="A"/>
    <n v="305"/>
    <n v="2"/>
    <m/>
    <x v="1"/>
    <m/>
    <n v="0.25"/>
    <n v="1760.5426950000001"/>
    <s v=" Ryan Johnson "/>
    <s v=" Ryan Johnson "/>
    <m/>
    <n v="35210.853900000002"/>
    <d v="2027-08-06T00:00:00"/>
    <n v="8802.7134750000005"/>
  </r>
  <r>
    <s v="TR-2025156"/>
    <d v="2026-07-09T00:00:00"/>
    <d v="2026-12-07T00:00:00"/>
    <s v="P-027"/>
    <x v="44"/>
    <s v="Global Distrib"/>
    <s v="Equipment"/>
    <s v="13"/>
    <n v="180.06"/>
    <n v="0"/>
    <n v="2340.7800000000002"/>
    <s v="$"/>
    <x v="18"/>
    <x v="16"/>
    <x v="2"/>
    <s v="West"/>
    <s v="Los Angeles"/>
    <s v="Umbrella Inc"/>
    <s v="751146060"/>
    <s v="ryan.company.com"/>
    <s v="+1 438 363 7380"/>
    <s v="792 Smith Ave"/>
    <s v="42993"/>
    <s v="USA"/>
    <s v="Paypal"/>
    <s v="Delivered"/>
    <s v="Unpaid"/>
    <s v="INV/2026/0156"/>
    <s v="Web"/>
    <s v="1 "/>
    <x v="5"/>
    <n v="2026"/>
    <s v="Net 60"/>
    <n v="24"/>
    <n v="0.08"/>
    <n v="187.26240000000001"/>
    <n v="2528.0424000000003"/>
    <s v=" 42$"/>
    <s v="ups"/>
    <s v="1Z250920376"/>
    <s v="1.63"/>
    <s v="B"/>
    <n v="483"/>
    <n v="4"/>
    <m/>
    <x v="1"/>
    <m/>
    <n v="0.25"/>
    <n v="68.257144800000006"/>
    <s v=" Ryan Smith"/>
    <s v=" Ryan Smith"/>
    <m/>
    <n v="2275.2381600000003"/>
    <d v="2028-12-07T00:00:00"/>
    <n v="568.80954000000008"/>
  </r>
  <r>
    <s v="TR-2025157"/>
    <d v="2026-04-24T00:00:00"/>
    <d v="2026-05-02T00:00:00"/>
    <s v="P-042"/>
    <x v="13"/>
    <s v="TechSupply Co"/>
    <s v="Electronics"/>
    <s v="14"/>
    <n v="158.06"/>
    <n v="0.1"/>
    <n v="2381.9590958019376"/>
    <s v="€"/>
    <x v="18"/>
    <x v="16"/>
    <x v="2"/>
    <s v="North"/>
    <s v="Los Angeles"/>
    <s v="Initech Inc"/>
    <s v="503271299"/>
    <s v="david.gmail.com"/>
    <s v="(283) 233-7854"/>
    <s v="842 Johnson Blvd"/>
    <s v="62835"/>
    <s v="USA"/>
    <s v="Cash"/>
    <s v="Cancelled"/>
    <s v="Unpaid"/>
    <s v="INV/2026/0157"/>
    <s v="Store"/>
    <s v="1 "/>
    <x v="2"/>
    <n v="2026"/>
    <s v="Net 60"/>
    <n v="66"/>
    <n v="0.08"/>
    <n v="190.55672766415501"/>
    <n v="2572.5158234660926"/>
    <s v="9.39€"/>
    <s v="USPS"/>
    <s v="DH533275807"/>
    <s v="21.0 "/>
    <s v="C"/>
    <n v="380"/>
    <n v="4"/>
    <m/>
    <x v="1"/>
    <m/>
    <n v="0.25"/>
    <n v="61.740379763186219"/>
    <s v="David Smith"/>
    <s v="David Smith"/>
    <m/>
    <n v="2058.0126587728741"/>
    <d v="2029-05-02T00:00:00"/>
    <n v="514.50316469321854"/>
  </r>
  <r>
    <s v="TR-2025158"/>
    <d v="2025-03-25T00:00:00"/>
    <d v="2025-04-02T00:00:00"/>
    <s v="P-055"/>
    <x v="19"/>
    <s v="BestParts"/>
    <s v="Office"/>
    <s v="15 "/>
    <n v="921.78"/>
    <n v="0"/>
    <n v="13826.699999999999"/>
    <s v="$"/>
    <x v="10"/>
    <x v="9"/>
    <x v="0"/>
    <s v="West"/>
    <s v="Los Angeles"/>
    <s v="  Stark Inc"/>
    <s v=" 212305968"/>
    <s v="michael.yahoo.com"/>
    <s v="(814) 445-8935"/>
    <s v="549 Brown St."/>
    <s v="81461"/>
    <s v="USA"/>
    <s v="Credit Card"/>
    <s v="Processing"/>
    <s v="Paid"/>
    <s v="INV/2025/0158"/>
    <s v="Online"/>
    <s v="4"/>
    <x v="8"/>
    <n v="2025"/>
    <s v="Net 60"/>
    <n v="75"/>
    <n v="0.08"/>
    <n v="1106.136"/>
    <n v="14932.835999999999"/>
    <s v=" 26$"/>
    <s v="FedEx"/>
    <s v="FX249235373"/>
    <s v="17.34"/>
    <s v="A"/>
    <n v="302"/>
    <n v="3"/>
    <m/>
    <x v="1"/>
    <m/>
    <n v="0.15"/>
    <n v="403.18657200000001"/>
    <s v="Michael Brown"/>
    <s v="Michael Brown"/>
    <m/>
    <n v="13439.5524"/>
    <d v="2027-04-02T00:00:00"/>
    <n v="2015.9328599999999"/>
  </r>
  <r>
    <s v="TR-2025159"/>
    <d v="2026-08-16T00:00:00"/>
    <d v="2026-08-29T00:00:00"/>
    <s v="P-025"/>
    <x v="48"/>
    <s v="TechSupply Co"/>
    <s v="Software"/>
    <s v="18"/>
    <n v="430.47"/>
    <n v="0.05"/>
    <n v="7748.4600000000009"/>
    <s v="$"/>
    <x v="13"/>
    <x v="11"/>
    <x v="0"/>
    <s v="South"/>
    <s v="Houston"/>
    <s v="  Initech Ltd. "/>
    <s v="620903199"/>
    <s v="sophia.company.com"/>
    <s v="(475) 594-7061"/>
    <s v="348 Jones Blvd"/>
    <s v="#N/A"/>
    <s v="USA"/>
    <s v="Cash"/>
    <s v="Delivered"/>
    <s v="Unpaid"/>
    <s v="INV/2026/0159"/>
    <s v="Online"/>
    <s v="2"/>
    <x v="1"/>
    <n v="2026"/>
    <s v="Net 60"/>
    <n v="36"/>
    <n v="0.08"/>
    <n v="619.87680000000012"/>
    <n v="8368.3368000000009"/>
    <s v="45,77$"/>
    <s v="ups"/>
    <s v="FX884539031"/>
    <s v="13,28"/>
    <s v="A"/>
    <n v="472"/>
    <n v="3"/>
    <m/>
    <x v="1"/>
    <m/>
    <n v="0.18"/>
    <n v="200.84008320000004"/>
    <s v="  Sophia Brown"/>
    <s v="  Sophia Brown"/>
    <m/>
    <n v="6694.6694400000015"/>
    <d v="2027-08-29T00:00:00"/>
    <n v="1205.0404992000001"/>
  </r>
  <r>
    <s v="TR-2025160"/>
    <d v="2025-10-13T00:00:00"/>
    <s v="null"/>
    <s v="P-014"/>
    <x v="15"/>
    <s v="OfficeHub"/>
    <s v="Software"/>
    <s v="37"/>
    <n v="1166.96"/>
    <n v="0.1"/>
    <n v="43177.520000000004"/>
    <s v="$"/>
    <x v="4"/>
    <x v="4"/>
    <x v="0"/>
    <s v="East"/>
    <s v="Houston"/>
    <s v="Wayne Inc. "/>
    <s v=" 607224901"/>
    <s v="john.yahoo.com"/>
    <s v="337.581.6309"/>
    <s v="443 Johnson Street"/>
    <s v="77357"/>
    <s v="USA"/>
    <s v="Credit Card"/>
    <s v="Processing"/>
    <s v="Paid"/>
    <s v="INV/2025/0160"/>
    <s v="Store"/>
    <s v="1"/>
    <x v="11"/>
    <n v="2025"/>
    <s v="Net 30"/>
    <n v="0"/>
    <n v="0.08"/>
    <n v="3454.2016000000003"/>
    <n v="46631.721600000004"/>
    <s v="8.86$"/>
    <s v="USPS"/>
    <s v="DH475445002"/>
    <s v="25.2 "/>
    <s v="A"/>
    <n v="371"/>
    <n v="5"/>
    <m/>
    <x v="1"/>
    <m/>
    <n v="0.18"/>
    <n v="1049.2137360000002"/>
    <s v="John Brown"/>
    <s v="John Brown"/>
    <m/>
    <n v="34973.791200000007"/>
    <s v="Empty"/>
    <n v="6295.2824160000009"/>
  </r>
  <r>
    <s v="TR-2025161"/>
    <d v="2026-03-13T00:00:00"/>
    <d v="2026-03-26T00:00:00"/>
    <s v="P-051"/>
    <x v="24"/>
    <s v="TechSupply Co"/>
    <s v="Office"/>
    <s v="14"/>
    <n v="1036.6500000000001"/>
    <n v="0.1"/>
    <n v="14513.100000000002"/>
    <s v="$"/>
    <x v="2"/>
    <x v="2"/>
    <x v="1"/>
    <s v="South"/>
    <s v="Boston"/>
    <s v="   Initech Llc  "/>
    <s v="565294511"/>
    <s v="jessica.company.com"/>
    <s v="(830) 981-8368"/>
    <s v="11 Williams Blvd"/>
    <s v="66044"/>
    <s v="USA"/>
    <s v="Credit Card"/>
    <s v="Delivered"/>
    <s v="Unpaid"/>
    <s v="INV/2026/0161"/>
    <s v="Online"/>
    <s v="2"/>
    <x v="8"/>
    <n v="2026"/>
    <s v="Immediate"/>
    <n v="0"/>
    <n v="0.08"/>
    <n v="1161.0480000000002"/>
    <n v="15674.148000000003"/>
    <s v="$"/>
    <s v="USPS"/>
    <s v="FX905060821"/>
    <s v="26.3 "/>
    <s v="A"/>
    <n v="483"/>
    <n v="1"/>
    <m/>
    <x v="1"/>
    <m/>
    <n v="0.15"/>
    <n v="376.17955200000011"/>
    <s v=" Jessica Anderson"/>
    <s v=" Jessica Anderson"/>
    <m/>
    <n v="12539.318400000004"/>
    <d v="2028-03-26T00:00:00"/>
    <n v="1880.8977600000005"/>
  </r>
  <r>
    <s v="TR-2025162"/>
    <d v="2026-03-21T00:00:00"/>
    <d v="2026-03-30T00:00:00"/>
    <s v="P-053"/>
    <x v="5"/>
    <s v="Global Distrib"/>
    <s v="Equipment"/>
    <s v="25 "/>
    <n v="553.22"/>
    <n v="0.1"/>
    <n v="13830.5"/>
    <s v="$"/>
    <x v="1"/>
    <x v="1"/>
    <x v="1"/>
    <s v="North"/>
    <s v="Seattle"/>
    <s v="   Umbrella Inc"/>
    <s v="815467815"/>
    <s v="sarah.company.com"/>
    <s v="+1 416 422 7541"/>
    <s v="596 Anderson Blvd"/>
    <s v="28190"/>
    <s v="USA"/>
    <s v="Credit Card"/>
    <s v="Processing"/>
    <s v="Partial"/>
    <s v="INV/2026/0162"/>
    <s v="Store"/>
    <s v="1"/>
    <x v="8"/>
    <n v="2026"/>
    <s v="Net 60"/>
    <n v="54"/>
    <n v="0.08"/>
    <n v="1106.44"/>
    <n v="14936.94"/>
    <s v="28.72$"/>
    <s v="FedEx"/>
    <s v="1Z605408112"/>
    <s v="24.2 "/>
    <s v="A"/>
    <n v="238"/>
    <n v="4"/>
    <m/>
    <x v="1"/>
    <m/>
    <n v="0.18"/>
    <n v="238.99104000000003"/>
    <s v="Sarah Miller"/>
    <s v="Sarah Miller"/>
    <m/>
    <n v="11949.552000000001"/>
    <d v="2028-03-30T00:00:00"/>
    <n v="2150.9193600000003"/>
  </r>
  <r>
    <s v="TR-2025163"/>
    <d v="2026-04-19T00:00:00"/>
    <s v="-"/>
    <s v="P-002"/>
    <x v="51"/>
    <s v="BestParts"/>
    <s v="Electronics"/>
    <s v="23"/>
    <n v="551.70000000000005"/>
    <n v="0.05"/>
    <n v="12689.1"/>
    <s v="$"/>
    <x v="10"/>
    <x v="9"/>
    <x v="0"/>
    <s v="East"/>
    <s v="Los Angeles"/>
    <s v="Stark Llc   "/>
    <s v="230296461"/>
    <s v="james.company.com"/>
    <s v="468.208.5961"/>
    <s v="232 Jones Ave"/>
    <s v="07673"/>
    <s v="USA"/>
    <s v="Credit Card"/>
    <s v="Cancelled"/>
    <s v="Paid"/>
    <s v="INV/2026/0163"/>
    <s v="Web"/>
    <s v="1"/>
    <x v="2"/>
    <n v="2026"/>
    <s v="Net 30"/>
    <n v="0"/>
    <n v="0.08"/>
    <n v="1015.128"/>
    <n v="13704.228000000001"/>
    <s v=" 41$"/>
    <s v="Fed Ex"/>
    <s v="FX112639951"/>
    <s v="17.21"/>
    <s v="A"/>
    <n v="358"/>
    <n v="5"/>
    <m/>
    <x v="1"/>
    <m/>
    <n v="0"/>
    <n v="349.45781399999998"/>
    <s v="James Taylor"/>
    <s v="James Taylor"/>
    <m/>
    <n v="11648.593800000001"/>
    <s v="Empty"/>
    <n v="0"/>
  </r>
  <r>
    <s v="TR-2025164"/>
    <d v="2025-08-21T00:00:00"/>
    <d v="2025-08-26T00:00:00"/>
    <s v="P-043"/>
    <x v="40"/>
    <s v="Global Distrib"/>
    <s v="Equipment"/>
    <s v="6"/>
    <n v="156.69"/>
    <n v="0.1"/>
    <n v="940.14"/>
    <s v="$"/>
    <x v="13"/>
    <x v="11"/>
    <x v="0"/>
    <s v="North"/>
    <s v="Houston"/>
    <s v="Globex Ltd."/>
    <s v="233585728"/>
    <s v="james.company.com"/>
    <s v="(727) 815-2807"/>
    <s v="399 Davis Street"/>
    <s v="-"/>
    <s v="USA"/>
    <s v="Wire Transfer"/>
    <s v="Processing"/>
    <s v="Unpaid"/>
    <s v="INV/2025/0164"/>
    <s v="Store"/>
    <s v="4"/>
    <x v="1"/>
    <n v="2025"/>
    <s v="Net 60"/>
    <n v="0"/>
    <n v="0.08"/>
    <n v="75.211200000000005"/>
    <n v="1015.3511999999999"/>
    <s v="44,46$"/>
    <s v="DHL"/>
    <s v="1Z176314066"/>
    <s v="27.39"/>
    <s v="A"/>
    <n v="160"/>
    <n v="2"/>
    <m/>
    <x v="1"/>
    <m/>
    <n v="0.15"/>
    <n v="24.3684288"/>
    <s v="  James Davis"/>
    <s v="  James Davis"/>
    <m/>
    <n v="812.28096000000005"/>
    <d v="2026-08-26T00:00:00"/>
    <n v="121.842144"/>
  </r>
  <r>
    <s v="TR-2025165"/>
    <d v="2026-02-16T00:00:00"/>
    <d v="2026-02-18T00:00:00"/>
    <s v="P-059"/>
    <x v="26"/>
    <s v="OfficeHub"/>
    <s v="Furniture"/>
    <s v="37 "/>
    <n v="673.61"/>
    <n v="0"/>
    <n v="24923.57"/>
    <s v="$"/>
    <x v="10"/>
    <x v="9"/>
    <x v="0"/>
    <s v="South"/>
    <s v="Los Angeles"/>
    <s v="Initech Llc "/>
    <s v=" 937312530"/>
    <s v="sarah.gmail.com"/>
    <s v="(671) 674-9564"/>
    <s v="894 Jones St."/>
    <s v="66107"/>
    <s v="USA"/>
    <s v="Cash"/>
    <s v="Pending"/>
    <s v="Unpaid"/>
    <s v="INV/2026/0165"/>
    <s v="Web"/>
    <s v="1"/>
    <x v="6"/>
    <n v="2026"/>
    <s v="15"/>
    <n v="16"/>
    <n v="0.08"/>
    <n v="1993.8856000000001"/>
    <n v="26917.455600000001"/>
    <s v="3.15$"/>
    <s v="Fed Ex"/>
    <s v="1Z839117411"/>
    <s v="20.2 "/>
    <s v="A"/>
    <n v="298"/>
    <n v="4.5"/>
    <m/>
    <x v="1"/>
    <m/>
    <n v="0.18"/>
    <n v="726.77130120000004"/>
    <s v="Sarah Miller"/>
    <s v="Sarah Miller"/>
    <m/>
    <n v="24225.710040000002"/>
    <d v="2028-02-18T00:00:00"/>
    <n v="4360.6278072000005"/>
  </r>
  <r>
    <s v="TR-2025166"/>
    <d v="2025-11-30T00:00:00"/>
    <d v="2025-12-13T00:00:00"/>
    <s v="P-011"/>
    <x v="21"/>
    <s v="OfficeHub"/>
    <s v="Equipment"/>
    <s v="31"/>
    <n v="858.95"/>
    <n v="0"/>
    <n v="29260.934065934067"/>
    <s v="€"/>
    <x v="11"/>
    <x v="2"/>
    <x v="1"/>
    <s v="North"/>
    <s v="Boston"/>
    <s v="  Wayne Inc."/>
    <s v=" 434701474"/>
    <s v="john.yahoo.com"/>
    <s v="(995) 718-4984"/>
    <s v="440 Anderson Blvd"/>
    <s v="12944"/>
    <s v="USA"/>
    <s v="Wire Transfer"/>
    <s v="Delivered"/>
    <s v="Paid"/>
    <s v="INV/2025/0166"/>
    <s v="Online"/>
    <s v="4"/>
    <x v="10"/>
    <n v="2025"/>
    <s v="Net 30"/>
    <n v="20"/>
    <n v="0.08"/>
    <n v="2340.8747252747253"/>
    <n v="31601.808791208794"/>
    <s v="16,02€"/>
    <s v="USPS"/>
    <s v="1Z452921196"/>
    <s v="3,55"/>
    <s v="B"/>
    <n v="233"/>
    <s v=""/>
    <m/>
    <x v="1"/>
    <m/>
    <n v="0.3"/>
    <n v="853.24883736263746"/>
    <s v="John Brown"/>
    <s v="John Brown"/>
    <m/>
    <n v="28441.627912087915"/>
    <d v="2026-12-13T00:00:00"/>
    <n v="8532.4883736263746"/>
  </r>
  <r>
    <s v="TR-2025167"/>
    <d v="2026-03-20T00:00:00"/>
    <d v="2026-03-31T00:00:00"/>
    <s v="P-050"/>
    <x v="41"/>
    <s v="BestParts"/>
    <s v="Equipment"/>
    <s v="19"/>
    <n v="39.53"/>
    <n v="0"/>
    <n v="751.07"/>
    <s v="$"/>
    <x v="3"/>
    <x v="3"/>
    <x v="0"/>
    <s v="South"/>
    <s v="New York"/>
    <s v="Acme Llc"/>
    <s v="506760211"/>
    <s v="laura.company.com"/>
    <s v="(870) 554-2596"/>
    <s v="501 Smith Ave"/>
    <s v="37072"/>
    <s v="USA"/>
    <s v="Wire Transfer"/>
    <s v="Cancelled"/>
    <s v="Unpaid"/>
    <s v="INV/2026/0167"/>
    <s v="Store"/>
    <s v="1"/>
    <x v="8"/>
    <n v="2026"/>
    <s v="Immediate"/>
    <n v="57"/>
    <n v="0.08"/>
    <n v="60.085600000000007"/>
    <n v="811.15560000000005"/>
    <s v="11.43 $"/>
    <s v="FedEx"/>
    <s v="1Z508440853"/>
    <s v="26.21"/>
    <s v="A"/>
    <n v="345"/>
    <n v="4.5"/>
    <m/>
    <x v="1"/>
    <m/>
    <n v="0"/>
    <n v="21.901201200000003"/>
    <s v="  Laura Williams"/>
    <s v="  Laura Williams"/>
    <m/>
    <n v="730.04004000000009"/>
    <d v="2027-03-31T00:00:00"/>
    <n v="0"/>
  </r>
  <r>
    <s v="TR-2025168"/>
    <d v="2025-08-10T00:00:00"/>
    <d v="2025-08-13T00:00:00"/>
    <s v="P-054"/>
    <x v="16"/>
    <s v="OfficeHub"/>
    <s v="Office"/>
    <s v="9 "/>
    <n v="801.23"/>
    <n v="0.1"/>
    <n v="7821.1171366594353"/>
    <s v="€"/>
    <x v="4"/>
    <x v="4"/>
    <x v="0"/>
    <s v="North"/>
    <s v="Houston"/>
    <s v="Vortex Llc   "/>
    <s v=" 222967137"/>
    <s v="john.company.com"/>
    <s v="+1 668 552 1296"/>
    <s v="376 Williams Ave"/>
    <s v="88752"/>
    <s v="USA"/>
    <s v="Wire Transfer"/>
    <s v="Delivered"/>
    <s v="Unpaid"/>
    <s v="INV/2025/0168"/>
    <s v="Online"/>
    <s v="3"/>
    <x v="1"/>
    <n v="2025"/>
    <s v="Net 60"/>
    <n v="10"/>
    <n v="0.08"/>
    <n v="625.68937093275485"/>
    <n v="8446.8065075921895"/>
    <s v="1.77 €"/>
    <s v="ups"/>
    <s v="DH738400470"/>
    <s v="7.4 "/>
    <s v="B"/>
    <n v="72"/>
    <n v="1"/>
    <m/>
    <x v="1"/>
    <m/>
    <n v="0"/>
    <n v="202.72335618221257"/>
    <s v="John Smith"/>
    <s v="John Smith"/>
    <m/>
    <n v="6757.4452060737522"/>
    <d v="2027-08-13T00:00:00"/>
    <n v="0"/>
  </r>
  <r>
    <s v="TR-2025169"/>
    <d v="2026-04-25T00:00:00"/>
    <d v="2026-03-05T00:00:00"/>
    <s v="P-050"/>
    <x v="41"/>
    <s v="BestParts"/>
    <s v="Equipment"/>
    <s v="24"/>
    <n v="39.53"/>
    <n v="0.1"/>
    <n v="948.72"/>
    <s v="$"/>
    <x v="3"/>
    <x v="3"/>
    <x v="0"/>
    <s v="North"/>
    <s v="New York"/>
    <s v="Initech Llc"/>
    <s v="439573811"/>
    <s v="olivia.company.com"/>
    <s v="+1 786 591 7323"/>
    <s v="360 Johnson Street"/>
    <s v="22492"/>
    <s v="USA"/>
    <s v="Cash"/>
    <s v="Delivered"/>
    <s v="Paid"/>
    <s v="INV/2026/0169"/>
    <s v="Web"/>
    <s v="2"/>
    <x v="2"/>
    <n v="2026"/>
    <s v="Net 30"/>
    <n v="79"/>
    <n v="0.08"/>
    <n v="75.897599999999997"/>
    <n v="1024.6176"/>
    <s v="24.81$"/>
    <s v="FedEx"/>
    <s v="DH124973159"/>
    <s v="24.6 "/>
    <s v="B"/>
    <n v="400"/>
    <s v=""/>
    <m/>
    <x v="1"/>
    <m/>
    <n v="0.3"/>
    <n v="24.5908224"/>
    <s v="Olivia Smith"/>
    <s v="Olivia Smith"/>
    <m/>
    <n v="819.6940800000001"/>
    <d v="2027-03-05T00:00:00"/>
    <n v="245.90822400000002"/>
  </r>
  <r>
    <s v="TR-2025170"/>
    <d v="2025-09-16T00:00:00"/>
    <d v="2025-09-30T00:00:00"/>
    <s v="P-019"/>
    <x v="20"/>
    <s v="BestParts"/>
    <s v="Software"/>
    <s v="11"/>
    <n v="251.62"/>
    <n v="0"/>
    <n v="2767.82"/>
    <s v="$"/>
    <x v="14"/>
    <x v="12"/>
    <x v="3"/>
    <s v="East"/>
    <s v="Houston"/>
    <s v="Acme Ltd."/>
    <s v=" 605740117"/>
    <s v="emma.yahoo.com"/>
    <s v="767.563.7587"/>
    <s v="817 Wilson St."/>
    <s v="46774"/>
    <s v="USA"/>
    <s v="Credit Card"/>
    <s v="Delivered"/>
    <s v="Paid"/>
    <s v="INV/2025/0170"/>
    <s v="Phone"/>
    <s v="3"/>
    <x v="0"/>
    <n v="2025"/>
    <s v="15"/>
    <n v="48"/>
    <n v="0.08"/>
    <n v="221.42560000000003"/>
    <n v="2989.2456000000002"/>
    <s v="4,54$"/>
    <s v="ups"/>
    <s v="FX944050481"/>
    <s v="19.29"/>
    <s v="A"/>
    <n v="332"/>
    <n v="4.5"/>
    <m/>
    <x v="1"/>
    <m/>
    <n v="0.18"/>
    <n v="50.817175200000001"/>
    <s v="Emma Taylor  "/>
    <s v="Emma Taylor  "/>
    <m/>
    <n v="2540.8587600000001"/>
    <d v="2027-09-30T00:00:00"/>
    <n v="457.35457680000002"/>
  </r>
  <r>
    <s v="TR-2025171"/>
    <d v="2026-03-23T00:00:00"/>
    <d v="2026-03-27T00:00:00"/>
    <s v="P-004"/>
    <x v="6"/>
    <s v="OfficeHub"/>
    <s v="Electronics"/>
    <s v="5 "/>
    <n v="364.79"/>
    <n v="0.1"/>
    <n v="1823.95"/>
    <s v="$"/>
    <x v="7"/>
    <x v="7"/>
    <x v="2"/>
    <s v="South"/>
    <s v="Miami"/>
    <s v=" Wayne Inc  "/>
    <s v="172399890"/>
    <s v="chris.yahoo.com"/>
    <s v="+1 849 640 1587"/>
    <s v="836 Smith Blvd"/>
    <s v="54094"/>
    <s v="USA"/>
    <s v="Credit Card"/>
    <s v="Delivered"/>
    <s v="Paid"/>
    <s v="INV/2026/0171"/>
    <s v="Phone"/>
    <s v="1"/>
    <x v="8"/>
    <n v="2026"/>
    <s v="15"/>
    <n v="53"/>
    <n v="0.08"/>
    <n v="145.916"/>
    <n v="1969.866"/>
    <s v="19.17 $"/>
    <s v="USPS"/>
    <s v="1Z725840594"/>
    <s v="28.35"/>
    <s v="A"/>
    <n v="19"/>
    <n v="1"/>
    <m/>
    <x v="1"/>
    <m/>
    <n v="0.25"/>
    <n v="47.276783999999999"/>
    <s v="  Chris Brown  "/>
    <s v="  Chris Brown  "/>
    <m/>
    <n v="1575.8928000000001"/>
    <d v="2028-03-27T00:00:00"/>
    <n v="393.97320000000002"/>
  </r>
  <r>
    <s v="TR-2025172"/>
    <d v="2026-10-06T00:00:00"/>
    <d v="2026-06-23T00:00:00"/>
    <s v="P-023"/>
    <x v="54"/>
    <s v="BestParts"/>
    <s v="Electronics"/>
    <s v="15"/>
    <n v="1260.75"/>
    <n v="0"/>
    <n v="18911.25"/>
    <s v="$"/>
    <x v="18"/>
    <x v="16"/>
    <x v="2"/>
    <s v="North"/>
    <s v="Los Angeles"/>
    <s v="Initech Inc."/>
    <s v="272460801"/>
    <s v="jessica.yahoo.com"/>
    <s v="486.565.1444"/>
    <s v="663 Miller St."/>
    <s v="45268"/>
    <s v="USA"/>
    <s v="Wire"/>
    <s v="Pending"/>
    <s v="Paid"/>
    <s v="INV/2026/0172"/>
    <s v="Online"/>
    <s v="3"/>
    <x v="4"/>
    <n v="2026"/>
    <s v="Net 60"/>
    <n v="55"/>
    <n v="0.08"/>
    <n v="1512.9"/>
    <n v="20424.150000000001"/>
    <s v="$"/>
    <s v="ups"/>
    <s v="FX744166719"/>
    <s v="2,58"/>
    <s v="A"/>
    <n v="2"/>
    <n v="3"/>
    <m/>
    <x v="1"/>
    <m/>
    <n v="0.15"/>
    <n v="551.45204999999999"/>
    <s v=" Jessica Miller"/>
    <s v=" Jessica Miller"/>
    <m/>
    <n v="18381.735000000001"/>
    <d v="2028-06-23T00:00:00"/>
    <n v="2757.2602499999998"/>
  </r>
  <r>
    <s v="TR-2025173"/>
    <d v="2025-09-09T00:00:00"/>
    <d v="2025-11-09T00:00:00"/>
    <s v="P-060"/>
    <x v="29"/>
    <s v="Global Distrib"/>
    <s v="Electronics"/>
    <s v="12"/>
    <n v="334.59"/>
    <n v="0.1"/>
    <n v="4015.08"/>
    <s v="$"/>
    <x v="20"/>
    <x v="18"/>
    <x v="3"/>
    <s v="North"/>
    <s v="Chicago"/>
    <s v="Initech Inc  "/>
    <s v="339310444"/>
    <s v="laura.yahoo.com"/>
    <s v="+1 572 502 1604"/>
    <s v="747 Anderson St."/>
    <s v="09725"/>
    <s v="USA"/>
    <s v="Credit Card"/>
    <s v="Delivered"/>
    <s v="Partial"/>
    <s v="INV/2025/0173"/>
    <s v="Store"/>
    <s v="1 "/>
    <x v="0"/>
    <n v="2025"/>
    <s v="Immediate"/>
    <n v="0"/>
    <n v="0.08"/>
    <n v="321.20639999999997"/>
    <n v="4336.2864"/>
    <s v="45.83$"/>
    <s v="DHL"/>
    <s v="FX901116046"/>
    <s v="18,14"/>
    <s v="C"/>
    <n v="210"/>
    <n v="5"/>
    <m/>
    <x v="1"/>
    <m/>
    <n v="0.25"/>
    <n v="69.380582400000009"/>
    <s v="Laura Jones   "/>
    <s v="Laura Jones   "/>
    <m/>
    <n v="3469.0291200000001"/>
    <d v="2028-11-09T00:00:00"/>
    <n v="867.25728000000004"/>
  </r>
  <r>
    <s v="TR-2025174"/>
    <d v="2025-12-05T00:00:00"/>
    <d v="2025-12-16T00:00:00"/>
    <s v="P-055"/>
    <x v="19"/>
    <s v="BestParts"/>
    <s v="Office"/>
    <s v="13"/>
    <n v="921.78"/>
    <n v="0.1"/>
    <n v="11983.14"/>
    <s v="$"/>
    <x v="16"/>
    <x v="14"/>
    <x v="1"/>
    <s v="West"/>
    <s v="Miami"/>
    <s v="Stark Inc"/>
    <s v="985738787"/>
    <s v="daniel.gmail.com"/>
    <s v="+1 655 391 3293"/>
    <s v="762 Davis Blvd"/>
    <s v="64470"/>
    <s v="USA"/>
    <s v="Credit Card"/>
    <s v="Delivered"/>
    <s v="Partial"/>
    <s v="INV/2025/0174"/>
    <s v="Online"/>
    <s v="1 "/>
    <x v="9"/>
    <n v="2025"/>
    <s v="15"/>
    <n v="0"/>
    <n v="0.08"/>
    <n v="958.65120000000002"/>
    <n v="12941.7912"/>
    <s v="20.66$"/>
    <s v="ups"/>
    <s v="DH499031193"/>
    <s v="21.5 "/>
    <s v="A"/>
    <n v="350"/>
    <s v=""/>
    <m/>
    <x v="1"/>
    <m/>
    <n v="0.3"/>
    <n v="207.06865920000001"/>
    <s v="Daniel Anderson   "/>
    <s v="Daniel Anderson   "/>
    <m/>
    <n v="10353.43296"/>
    <d v="2027-12-16T00:00:00"/>
    <n v="3106.029888"/>
  </r>
  <r>
    <s v="TR-2025175"/>
    <d v="2025-11-28T00:00:00"/>
    <d v="2025-12-02T00:00:00"/>
    <s v="P-028"/>
    <x v="49"/>
    <s v="BestParts"/>
    <s v="Furniture"/>
    <s v="5"/>
    <n v="198.36"/>
    <n v="0"/>
    <n v="991.80000000000007"/>
    <s v="$"/>
    <x v="10"/>
    <x v="9"/>
    <x v="0"/>
    <s v="West"/>
    <s v="Los Angeles"/>
    <s v="Vortex Inc."/>
    <s v=" 454907152"/>
    <s v="jessica.company.com"/>
    <s v="+1 700 377 5856"/>
    <s v="254 Williams St."/>
    <s v="56156"/>
    <s v="USA"/>
    <s v="Wire"/>
    <s v="Pending"/>
    <s v="Paid"/>
    <s v="INV/2025/0175"/>
    <s v="Online"/>
    <s v="2"/>
    <x v="10"/>
    <n v="2025"/>
    <s v="Net 60"/>
    <n v="0"/>
    <n v="0.08"/>
    <n v="79.344000000000008"/>
    <n v="1071.144"/>
    <s v="N/A$"/>
    <s v="ups"/>
    <s v="DH160804586"/>
    <s v="2,91"/>
    <s v="C"/>
    <n v="0"/>
    <n v="4.5"/>
    <m/>
    <x v="1"/>
    <m/>
    <n v="0.18"/>
    <n v="28.920888000000001"/>
    <s v="Jessica Johnson"/>
    <s v="Jessica Johnson"/>
    <m/>
    <n v="964.02960000000007"/>
    <d v="2028-12-02T00:00:00"/>
    <n v="173.525328"/>
  </r>
  <r>
    <s v="TR-2025176"/>
    <d v="2025-03-07T00:00:00"/>
    <d v="2025-07-07T00:00:00"/>
    <s v="P-021"/>
    <x v="27"/>
    <s v="OfficeHub"/>
    <s v="Equipment"/>
    <s v="35"/>
    <n v="1184.7"/>
    <n v="0.1"/>
    <n v="44394.539614561028"/>
    <s v="€"/>
    <x v="9"/>
    <x v="9"/>
    <x v="0"/>
    <s v="North"/>
    <s v="Los Angeles"/>
    <s v="Umbrella Llc"/>
    <s v=" 365516179"/>
    <s v="michael.company.com"/>
    <s v="+1 715 619 7680"/>
    <s v="778 Williams St."/>
    <s v="16601"/>
    <s v="USA"/>
    <s v="Credit Card"/>
    <s v="Delivered"/>
    <s v="Paid"/>
    <s v="INV/2025/0176"/>
    <s v="Phone"/>
    <s v="1"/>
    <x v="5"/>
    <n v="2025"/>
    <s v="Immediate"/>
    <n v="46"/>
    <n v="0.08"/>
    <n v="3551.5631691648823"/>
    <n v="47946.10278372591"/>
    <s v="30.59€"/>
    <s v="DHL"/>
    <s v="FX102120660"/>
    <s v="9.4 "/>
    <s v="A"/>
    <n v="8"/>
    <n v="5"/>
    <m/>
    <x v="1"/>
    <m/>
    <n v="0"/>
    <n v="1150.7064668094217"/>
    <s v="Michael Davis"/>
    <s v="Michael Davis"/>
    <m/>
    <n v="38356.882226980728"/>
    <d v="2027-07-07T00:00:00"/>
    <n v="0"/>
  </r>
  <r>
    <s v="TR-2025177"/>
    <d v="2026-04-01T00:00:00"/>
    <d v="2026-04-13T00:00:00"/>
    <s v="P-030"/>
    <x v="47"/>
    <s v="BestParts"/>
    <s v="Office"/>
    <s v="2"/>
    <n v="676.54"/>
    <n v="0.1"/>
    <n v="1353.08"/>
    <s v="$"/>
    <x v="8"/>
    <x v="8"/>
    <x v="2"/>
    <s v="North"/>
    <s v="Houston"/>
    <s v="Wayne Ltd."/>
    <s v="574034592"/>
    <s v="chris.yahoo.com"/>
    <s v="(975) 305-4568"/>
    <s v="884 Anderson Blvd"/>
    <s v="52728"/>
    <s v="USA"/>
    <s v="Paypal"/>
    <s v="Pending"/>
    <s v="Paid"/>
    <s v="INV/2026/0177"/>
    <s v="Web"/>
    <s v="2"/>
    <x v="2"/>
    <n v="2026"/>
    <s v="Net 60"/>
    <n v="16"/>
    <n v="0.08"/>
    <n v="108.24639999999999"/>
    <n v="1461.3263999999999"/>
    <s v="18,57$"/>
    <s v="Fed Ex"/>
    <s v="FX358621075"/>
    <s v="15.78"/>
    <s v="B"/>
    <n v="418"/>
    <n v="3"/>
    <m/>
    <x v="1"/>
    <m/>
    <n v="0.3"/>
    <n v="58.453056000000004"/>
    <s v="Chris Smith"/>
    <s v="Chris Smith"/>
    <m/>
    <n v="1169.0611200000001"/>
    <d v="2028-04-13T00:00:00"/>
    <n v="350.71833600000002"/>
  </r>
  <r>
    <s v="TR-2025312"/>
    <d v="2026-05-06T00:00:00"/>
    <d v="2026-10-05T00:00:00"/>
    <s v="P-028"/>
    <x v="49"/>
    <s v="BestParts"/>
    <s v="Furniture"/>
    <s v="6 "/>
    <n v="198.36"/>
    <n v="0.1"/>
    <n v="1190.1600000000001"/>
    <s v="$"/>
    <x v="19"/>
    <x v="17"/>
    <x v="1"/>
    <s v="West"/>
    <s v="Miami"/>
    <s v="Acme Ltd."/>
    <s v="694704798"/>
    <s v="emily.gmail.com"/>
    <s v="901.204.5141"/>
    <s v="857 Williams Ave"/>
    <s v="71491"/>
    <s v="USA"/>
    <s v="Credit Card"/>
    <s v="Delivered"/>
    <s v="Paid"/>
    <s v="INV/2026/0312"/>
    <s v="Phone"/>
    <s v="4"/>
    <x v="7"/>
    <n v="2026"/>
    <s v="Net 30"/>
    <n v="62"/>
    <n v="0.08"/>
    <n v="95.212800000000001"/>
    <n v="1285.3728000000001"/>
    <s v="25,49$"/>
    <s v="DHL"/>
    <s v="DH406592140"/>
    <s v="20,15"/>
    <s v="B"/>
    <n v="427"/>
    <n v="5"/>
    <m/>
    <x v="1"/>
    <m/>
    <n v="0.25"/>
    <n v="51.414912000000008"/>
    <s v="Emily Johnson"/>
    <s v="Emily Johnson"/>
    <m/>
    <n v="1028.2982400000001"/>
    <d v="2029-10-05T00:00:00"/>
    <n v="257.07456000000002"/>
  </r>
  <r>
    <s v="TR-2025315"/>
    <d v="2026-05-02T00:00:00"/>
    <d v="2026-05-11T00:00:00"/>
    <s v="P-051"/>
    <x v="24"/>
    <s v="TechSupply Co"/>
    <s v="Office"/>
    <s v="3"/>
    <n v="1036.6500000000001"/>
    <n v="0.05"/>
    <n v="3109.9500000000003"/>
    <s v="$"/>
    <x v="5"/>
    <x v="5"/>
    <x v="2"/>
    <s v="South"/>
    <s v="New York"/>
    <s v="Globex Llc   "/>
    <s v=" 676954297"/>
    <s v="sarah.yahoo.com"/>
    <s v="(873) 709-9403"/>
    <s v="961 Johnson Street"/>
    <s v="49274"/>
    <s v="USA"/>
    <s v="Wire"/>
    <s v="Delivered"/>
    <s v="Partial"/>
    <s v="INV/2026/0315"/>
    <s v="Online"/>
    <s v="4"/>
    <x v="7"/>
    <n v="2026"/>
    <s v="Net 60"/>
    <n v="43"/>
    <n v="0.08"/>
    <n v="248.79600000000002"/>
    <n v="3358.7460000000001"/>
    <s v="5,85$"/>
    <s v="Fed Ex"/>
    <s v="DH773058896"/>
    <s v="16.22"/>
    <s v="B"/>
    <n v="300"/>
    <n v="5"/>
    <m/>
    <x v="1"/>
    <m/>
    <n v="0.3"/>
    <n v="142.74670499999999"/>
    <s v="Sarah Johnson"/>
    <s v="Sarah Johnson"/>
    <m/>
    <n v="2854.9340999999999"/>
    <d v="2028-05-11T00:00:00"/>
    <n v="856.48023000000001"/>
  </r>
  <r>
    <s v="TR-2025178"/>
    <d v="2025-11-26T00:00:00"/>
    <d v="2025-04-12T00:00:00"/>
    <s v="P-057"/>
    <x v="12"/>
    <s v="BestParts"/>
    <s v="Equipment"/>
    <s v="6 "/>
    <n v="741.71"/>
    <n v="0.1"/>
    <n v="4450.26"/>
    <s v="$"/>
    <x v="7"/>
    <x v="7"/>
    <x v="2"/>
    <s v="West"/>
    <s v="Miami"/>
    <s v="Globex Ltd."/>
    <s v="661093024"/>
    <s v="daniel.company.com"/>
    <s v="574.412.6127"/>
    <s v="219 Brown Street"/>
    <s v="99393"/>
    <s v="USA"/>
    <s v="Wire"/>
    <s v="Pending"/>
    <s v="Paid"/>
    <s v="INV/2025/0178"/>
    <s v="Online"/>
    <s v="2"/>
    <x v="10"/>
    <n v="2025"/>
    <s v="Net 60"/>
    <n v="84"/>
    <n v="0.08"/>
    <n v="356.02080000000001"/>
    <n v="4806.2808000000005"/>
    <s v="36,75$"/>
    <s v="DHL"/>
    <s v="DH970018143"/>
    <s v="18.3 "/>
    <s v="B"/>
    <n v="422"/>
    <n v="4.5"/>
    <m/>
    <x v="1"/>
    <m/>
    <n v="0"/>
    <n v="115.35073920000001"/>
    <s v="Daniel Williams"/>
    <s v="Daniel Williams"/>
    <m/>
    <n v="3845.0246400000005"/>
    <d v="2028-04-12T00:00:00"/>
    <n v="0"/>
  </r>
  <r>
    <s v="TR-2025179"/>
    <d v="2026-07-25T00:00:00"/>
    <d v="2026-08-07T00:00:00"/>
    <s v="P-043"/>
    <x v="40"/>
    <s v="Global Distrib"/>
    <s v="Equipment"/>
    <s v="35 "/>
    <n v="156.69"/>
    <n v="0.1"/>
    <n v="5484.15"/>
    <s v="$"/>
    <x v="11"/>
    <x v="2"/>
    <x v="1"/>
    <s v="North"/>
    <s v="Boston"/>
    <s v="Vortex Inc."/>
    <s v=" 484513761"/>
    <s v="david.yahoo.com"/>
    <s v="531.556.4516"/>
    <s v="417 Jones Street"/>
    <s v="23722"/>
    <s v="USA"/>
    <s v="Paypal"/>
    <s v="Delivered"/>
    <s v="Paid"/>
    <s v="INV/2026/0179"/>
    <s v="Web"/>
    <s v="1"/>
    <x v="5"/>
    <n v="2026"/>
    <s v="Net 60"/>
    <n v="0"/>
    <n v="0.08"/>
    <n v="438.73199999999997"/>
    <n v="5922.8819999999996"/>
    <s v="15.22 $"/>
    <s v="DHL"/>
    <s v="FX677122423"/>
    <s v="8.2 "/>
    <s v="A"/>
    <n v="233"/>
    <n v="1"/>
    <m/>
    <x v="1"/>
    <m/>
    <n v="0"/>
    <n v="142.14916799999997"/>
    <s v="David Johnson"/>
    <s v="David Johnson"/>
    <m/>
    <n v="4738.3055999999997"/>
    <d v="2027-08-07T00:00:00"/>
    <n v="0"/>
  </r>
  <r>
    <s v="TR-2025180"/>
    <d v="2025-01-20T00:00:00"/>
    <d v="2025-02-02T00:00:00"/>
    <s v="P-009"/>
    <x v="11"/>
    <s v="BestParts"/>
    <s v="Office"/>
    <s v="13 "/>
    <n v="813.33"/>
    <n v="0.1"/>
    <n v="10573.29"/>
    <s v="$"/>
    <x v="12"/>
    <x v="10"/>
    <x v="2"/>
    <s v="North"/>
    <s v="Houston"/>
    <s v="Stark Inc   "/>
    <s v="706926794"/>
    <s v="sophia.gmail.com"/>
    <s v="+1 455 626 7809"/>
    <s v="383 Wilson St."/>
    <s v="N/A"/>
    <s v="USA"/>
    <s v="Credit Card"/>
    <s v="Pending"/>
    <s v="Paid"/>
    <s v="INV/2025/0180"/>
    <s v="Phone"/>
    <s v="2"/>
    <x v="3"/>
    <n v="2025"/>
    <s v="Net 60"/>
    <n v="53"/>
    <n v="0.08"/>
    <n v="845.86320000000012"/>
    <n v="11419.153200000001"/>
    <s v="21,19$"/>
    <s v="ups"/>
    <s v="DH994612795"/>
    <s v="21.3 "/>
    <s v="A"/>
    <n v="43"/>
    <s v=""/>
    <m/>
    <x v="1"/>
    <m/>
    <n v="0"/>
    <n v="456.76612800000004"/>
    <s v=" Sophia Jones   "/>
    <s v=" Sophia Jones   "/>
    <m/>
    <n v="9135.3225600000005"/>
    <d v="2028-02-02T00:00:00"/>
    <n v="0"/>
  </r>
  <r>
    <s v="TR-2025181"/>
    <d v="2026-01-06T00:00:00"/>
    <d v="2026-02-06T00:00:00"/>
    <s v="P-033"/>
    <x v="0"/>
    <s v="Global Distrib"/>
    <s v="Office"/>
    <s v="2"/>
    <n v="129.06"/>
    <n v="0.1"/>
    <n v="258.12"/>
    <s v="$"/>
    <x v="10"/>
    <x v="9"/>
    <x v="0"/>
    <s v="South"/>
    <s v="Los Angeles"/>
    <s v=" Initech Ltd."/>
    <s v=" 281325279"/>
    <s v="david.yahoo.com"/>
    <s v="(549) 848-3253"/>
    <s v="373 Davis Street"/>
    <s v="41078"/>
    <s v="USA"/>
    <s v="Wire"/>
    <s v="Pending"/>
    <s v="Unpaid"/>
    <s v="INV/2026/0181"/>
    <s v="Store"/>
    <s v="1 "/>
    <x v="4"/>
    <n v="2026"/>
    <s v="Immediate"/>
    <n v="18"/>
    <n v="0.08"/>
    <n v="20.6496"/>
    <n v="278.76960000000003"/>
    <s v="32.86$"/>
    <s v="DHL"/>
    <s v="FX239034208"/>
    <s v="15.18"/>
    <s v="A"/>
    <n v="386"/>
    <n v="2"/>
    <m/>
    <x v="1"/>
    <m/>
    <n v="0.25"/>
    <n v="6.6904704000000006"/>
    <s v="   David Smith"/>
    <s v="   David Smith"/>
    <m/>
    <n v="223.01568000000003"/>
    <d v="2028-02-06T00:00:00"/>
    <n v="55.753920000000008"/>
  </r>
  <r>
    <s v="TR-2025182"/>
    <d v="2025-07-04T00:00:00"/>
    <d v="2025-08-07T00:00:00"/>
    <s v="P-029"/>
    <x v="38"/>
    <s v="OfficeHub"/>
    <s v="Software"/>
    <s v="29"/>
    <n v="1375.64"/>
    <n v="0.1"/>
    <n v="39893.560000000005"/>
    <s v="$"/>
    <x v="9"/>
    <x v="9"/>
    <x v="0"/>
    <s v="West"/>
    <s v="Los Angeles"/>
    <s v="Wayne Inc"/>
    <s v="364410293"/>
    <s v="sarah.company.com"/>
    <s v="+1 641 957 2643"/>
    <s v="35 Smith Street"/>
    <s v="55974"/>
    <s v="USA"/>
    <s v="Cash"/>
    <s v="Delivered"/>
    <s v="Unpaid"/>
    <s v="INV/2025/0182"/>
    <s v="Phone"/>
    <s v="1"/>
    <x v="5"/>
    <n v="2025"/>
    <s v="15"/>
    <n v="53"/>
    <n v="0.08"/>
    <n v="3191.4848000000006"/>
    <n v="43085.044800000003"/>
    <s v=" 19$"/>
    <s v="ups"/>
    <s v="DH641992316"/>
    <s v="5.19"/>
    <s v="B"/>
    <n v="109"/>
    <n v="5"/>
    <m/>
    <x v="1"/>
    <m/>
    <n v="0.15"/>
    <n v="969.41350800000009"/>
    <s v=" Sarah Anderson"/>
    <s v=" Sarah Anderson"/>
    <m/>
    <n v="32313.783600000002"/>
    <d v="2027-08-07T00:00:00"/>
    <n v="4847.06754"/>
  </r>
  <r>
    <s v="TR-2025183"/>
    <d v="2025-04-17T00:00:00"/>
    <d v="2025-04-26T00:00:00"/>
    <s v="P-021"/>
    <x v="27"/>
    <s v="OfficeHub"/>
    <s v="Equipment"/>
    <s v="10"/>
    <n v="1184.7"/>
    <n v="0"/>
    <n v="11847"/>
    <s v="$"/>
    <x v="11"/>
    <x v="2"/>
    <x v="1"/>
    <s v="North"/>
    <s v="Boston"/>
    <s v="Initech Ltd.   "/>
    <s v="139733193"/>
    <m/>
    <s v="543.263.7849"/>
    <s v="517 Anderson Blvd"/>
    <s v="05789"/>
    <s v="USA"/>
    <s v="Wire Transfer"/>
    <s v="Delivered"/>
    <s v="Unpaid"/>
    <s v="INV/2025/0183"/>
    <s v="Online"/>
    <s v="4"/>
    <x v="2"/>
    <n v="2025"/>
    <s v="15"/>
    <n v="67"/>
    <n v="0.08"/>
    <n v="947.76"/>
    <n v="12794.76"/>
    <s v=" 13$"/>
    <s v="ups"/>
    <s v="FX654378200"/>
    <s v="5,01"/>
    <s v="C"/>
    <n v="396"/>
    <n v="4.5"/>
    <m/>
    <x v="1"/>
    <m/>
    <n v="0.15"/>
    <n v="345.45851999999996"/>
    <s v="Ryan Wilson"/>
    <s v="Ryan Wilson"/>
    <m/>
    <n v="11515.284"/>
    <d v="2027-04-26T00:00:00"/>
    <n v="1727.2926"/>
  </r>
  <r>
    <s v="TR-2025184"/>
    <d v="2026-01-22T00:00:00"/>
    <d v="2026-01-27T00:00:00"/>
    <s v="P-060"/>
    <x v="29"/>
    <s v="Global Distrib"/>
    <s v="Electronics"/>
    <s v="6 "/>
    <n v="334.59"/>
    <n v="0.1"/>
    <n v="2007.54"/>
    <s v="$"/>
    <x v="22"/>
    <x v="20"/>
    <x v="3"/>
    <s v="South"/>
    <s v="Houston"/>
    <s v="Globex Inc"/>
    <s v="563976881"/>
    <s v="emma.yahoo.com"/>
    <s v="(449) 922-7592"/>
    <s v="296 Wilson Blvd"/>
    <s v="35682"/>
    <s v="USA"/>
    <s v="Wire Transfer"/>
    <s v="Cancelled"/>
    <s v="Paid"/>
    <s v="INV/2026/0184"/>
    <s v="Phone"/>
    <s v="4"/>
    <x v="3"/>
    <n v="2026"/>
    <s v="Immediate"/>
    <n v="29"/>
    <n v="0.08"/>
    <n v="160.60319999999999"/>
    <n v="2168.1432"/>
    <s v="5,97$"/>
    <s v="DHL"/>
    <s v="DH585037168"/>
    <s v="23,16"/>
    <s v="A"/>
    <n v="88"/>
    <n v="4"/>
    <m/>
    <x v="1"/>
    <m/>
    <n v="0.15"/>
    <n v="86.725728000000004"/>
    <s v="Emma Miller"/>
    <s v="Emma Miller"/>
    <m/>
    <n v="1734.5145600000001"/>
    <d v="2029-01-27T00:00:00"/>
    <n v="260.17718400000001"/>
  </r>
  <r>
    <s v="TR-2025185"/>
    <d v="2026-02-11T00:00:00"/>
    <d v="2026-02-23T00:00:00"/>
    <s v="P-002"/>
    <x v="51"/>
    <s v="BestParts"/>
    <s v="Electronics"/>
    <s v="13"/>
    <n v="551.70000000000005"/>
    <n v="0"/>
    <n v="7172.1"/>
    <s v="$"/>
    <x v="2"/>
    <x v="2"/>
    <x v="1"/>
    <s v="South"/>
    <s v="Boston"/>
    <s v="Stark Inc"/>
    <s v=" 486966326"/>
    <s v="emily.gmail.com"/>
    <s v="791.596.2363"/>
    <s v="92 Wilson St."/>
    <s v="57105"/>
    <s v="USA"/>
    <s v="Credit Card"/>
    <s v="Delivered"/>
    <s v="Paid"/>
    <s v="INV/2026/0185"/>
    <s v="Web"/>
    <s v="1"/>
    <x v="6"/>
    <n v="2026"/>
    <s v="Immediate"/>
    <n v="46"/>
    <n v="0.08"/>
    <n v="573.76800000000003"/>
    <n v="7745.8680000000004"/>
    <s v="47,78$"/>
    <s v="ups"/>
    <s v="DH850475027"/>
    <s v="15.6 "/>
    <s v="C"/>
    <n v="78"/>
    <n v="1"/>
    <m/>
    <x v="1"/>
    <m/>
    <n v="0.25"/>
    <n v="209.13843600000001"/>
    <s v="   Emily Davis"/>
    <s v="   Emily Davis"/>
    <m/>
    <n v="6971.2812000000004"/>
    <d v="2027-02-23T00:00:00"/>
    <n v="1742.8203000000001"/>
  </r>
  <r>
    <s v="TR-2025186"/>
    <d v="2025-08-24T00:00:00"/>
    <d v="2025-02-09T00:00:00"/>
    <s v="P-008"/>
    <x v="55"/>
    <s v="OfficeHub"/>
    <s v="Equipment"/>
    <s v="35"/>
    <n v="1288.4100000000001"/>
    <n v="0.1"/>
    <n v="45094.350000000006"/>
    <s v="$"/>
    <x v="13"/>
    <x v="11"/>
    <x v="0"/>
    <s v="East"/>
    <s v="Houston"/>
    <s v="   Stark Inc"/>
    <s v="783391196"/>
    <s v="ryan.gmail.com"/>
    <s v="+1 234 828 6602"/>
    <s v="965 Taylor Street"/>
    <s v="41232"/>
    <s v="USA"/>
    <s v="Wire Transfer"/>
    <s v="Delivered"/>
    <s v="Unpaid"/>
    <s v="INV/2025/0186"/>
    <s v="Online"/>
    <s v="4"/>
    <x v="1"/>
    <n v="2025"/>
    <s v="Immediate"/>
    <n v="54"/>
    <n v="0.08"/>
    <n v="3607.5480000000007"/>
    <n v="48701.898000000008"/>
    <s v="30.39 $"/>
    <s v="USPS"/>
    <s v="DH203341566"/>
    <s v="11.75"/>
    <s v="B"/>
    <n v="449"/>
    <n v="3"/>
    <m/>
    <x v="1"/>
    <m/>
    <n v="0.3"/>
    <n v="1168.8455520000002"/>
    <s v="Ryan Davis"/>
    <s v="Ryan Davis"/>
    <m/>
    <n v="38961.518400000008"/>
    <d v="2028-02-09T00:00:00"/>
    <n v="11688.455520000001"/>
  </r>
  <r>
    <s v="TR-2025187"/>
    <d v="2026-02-11T00:00:00"/>
    <d v="2026-02-20T00:00:00"/>
    <s v="P-053"/>
    <x v="5"/>
    <s v="Global Distrib"/>
    <s v="Equipment"/>
    <s v="2 "/>
    <n v="553.22"/>
    <n v="0.1"/>
    <n v="1106.44"/>
    <s v="$"/>
    <x v="12"/>
    <x v="10"/>
    <x v="2"/>
    <s v="West"/>
    <s v="Houston"/>
    <s v="Initech Inc."/>
    <s v=" 219131979"/>
    <s v="sarah.gmail.com"/>
    <s v="(863) 950-5805"/>
    <s v="606 Williams St."/>
    <s v="34382"/>
    <s v="USA"/>
    <s v="Credit Card"/>
    <s v="Pending"/>
    <s v="Paid"/>
    <s v="INV/2026/0187"/>
    <s v="Online"/>
    <s v="1"/>
    <x v="6"/>
    <n v="2026"/>
    <s v="Net 60"/>
    <n v="29"/>
    <n v="0.08"/>
    <n v="88.515200000000007"/>
    <n v="1194.9552000000001"/>
    <s v="33.73$"/>
    <s v="Fed Ex"/>
    <s v="1Z632333548"/>
    <s v="1.14"/>
    <s v="A"/>
    <n v="314"/>
    <s v=""/>
    <m/>
    <x v="1"/>
    <m/>
    <n v="0.18"/>
    <n v="47.79820800000001"/>
    <s v="Sarah Taylor "/>
    <s v="Sarah Taylor "/>
    <m/>
    <n v="955.96416000000011"/>
    <d v="2028-02-20T00:00:00"/>
    <n v="172.07354880000003"/>
  </r>
  <r>
    <s v="TR-2025188"/>
    <d v="2025-01-18T00:00:00"/>
    <d v="2025-01-21T00:00:00"/>
    <s v="P-050"/>
    <x v="41"/>
    <s v="BestParts"/>
    <s v="Equipment"/>
    <s v="15 "/>
    <n v="39.53"/>
    <n v="0.1"/>
    <n v="641.02702702702709"/>
    <s v="€"/>
    <x v="7"/>
    <x v="7"/>
    <x v="2"/>
    <s v="South"/>
    <s v="Miami"/>
    <s v="Globex Inc "/>
    <s v=" 296549411"/>
    <s v="sophia.yahoo.com"/>
    <s v="687.497.1546"/>
    <s v="14 Anderson Street"/>
    <s v="52779"/>
    <s v="USA"/>
    <s v="Credit Card"/>
    <s v="Cancelled"/>
    <s v="Unpaid"/>
    <s v="INV/2025/0188"/>
    <s v="Phone"/>
    <s v="1"/>
    <x v="3"/>
    <n v="2025"/>
    <s v="Net 30"/>
    <n v="62"/>
    <n v="0.08"/>
    <n v="51.282162162162166"/>
    <n v="692.30918918918928"/>
    <s v="2.63 €"/>
    <s v="FedEx"/>
    <s v="1Z308045381"/>
    <s v="0.82"/>
    <s v="B"/>
    <n v="141"/>
    <n v="3"/>
    <m/>
    <x v="1"/>
    <m/>
    <n v="0.18"/>
    <n v="16.615420540540544"/>
    <s v="Sophia Jones"/>
    <s v="Sophia Jones"/>
    <m/>
    <n v="553.84735135135145"/>
    <d v="2026-01-21T00:00:00"/>
    <n v="99.692523243243258"/>
  </r>
  <r>
    <s v="TR-2025189"/>
    <d v="2025-08-14T00:00:00"/>
    <d v="2025-08-22T00:00:00"/>
    <s v="P-047"/>
    <x v="45"/>
    <s v="TechSupply Co"/>
    <s v="Software"/>
    <s v="7 "/>
    <n v="1489.69"/>
    <n v="0.1"/>
    <n v="10427.83"/>
    <s v="$"/>
    <x v="18"/>
    <x v="16"/>
    <x v="2"/>
    <s v="West"/>
    <s v="Los Angeles"/>
    <s v="Acme Llc"/>
    <s v="145207302"/>
    <s v="laura.yahoo.com"/>
    <s v="+1 741 667 2212"/>
    <s v="684 Jones Blvd"/>
    <s v="70475"/>
    <s v="USA"/>
    <s v="Wire Transfer"/>
    <s v="Cancelled"/>
    <s v="Paid"/>
    <s v="INV/2025/0189"/>
    <s v="Store"/>
    <s v="1"/>
    <x v="1"/>
    <n v="2025"/>
    <s v="Immediate"/>
    <n v="48"/>
    <n v="0.08"/>
    <n v="834.22640000000001"/>
    <n v="11262.056399999999"/>
    <s v="25.08$"/>
    <s v="DHL"/>
    <s v="1Z370168181"/>
    <s v="8.63"/>
    <s v="C"/>
    <n v="464"/>
    <n v="5"/>
    <m/>
    <x v="1"/>
    <m/>
    <n v="0.18"/>
    <n v="253.39626899999996"/>
    <s v="Laura Anderson"/>
    <s v="Laura Anderson"/>
    <m/>
    <n v="8446.5422999999992"/>
    <d v="2028-08-22T00:00:00"/>
    <n v="1520.3776139999998"/>
  </r>
  <r>
    <s v="TR-2025301"/>
    <d v="2025-03-30T00:00:00"/>
    <d v="2025-04-01T00:00:00"/>
    <s v="P-041"/>
    <x v="17"/>
    <s v="TechSupply Co"/>
    <s v="Software"/>
    <s v="23"/>
    <n v="247.64"/>
    <n v="0.1"/>
    <n v="5695.7199999999993"/>
    <s v="$"/>
    <x v="10"/>
    <x v="9"/>
    <x v="0"/>
    <s v="West"/>
    <s v="Los Angeles"/>
    <s v="Umbrella Inc"/>
    <s v=" 837262618"/>
    <s v="sarah.company.com"/>
    <s v="530.450.4801"/>
    <s v="489 Taylor Street"/>
    <s v="73448"/>
    <s v="USA"/>
    <s v="Credit Card"/>
    <s v="Delivered"/>
    <s v="Paid"/>
    <s v="INV/2025/0301"/>
    <s v="Online"/>
    <s v="2"/>
    <x v="8"/>
    <n v="2025"/>
    <s v="Net 60"/>
    <n v="27"/>
    <n v="0.08"/>
    <n v="455.65759999999995"/>
    <n v="6151.3775999999989"/>
    <s v="3,17$"/>
    <s v="ups"/>
    <s v="1Z546928240"/>
    <s v="25.9 "/>
    <s v="B"/>
    <n v="485"/>
    <n v="5"/>
    <m/>
    <x v="1"/>
    <m/>
    <n v="0.3"/>
    <n v="138.40599599999996"/>
    <s v="Sarah Davis "/>
    <s v="Sarah Davis "/>
    <m/>
    <n v="4613.5331999999989"/>
    <d v="2027-04-01T00:00:00"/>
    <n v="1384.0599599999996"/>
  </r>
  <r>
    <s v="TR-2025190"/>
    <d v="2026-08-04T00:00:00"/>
    <d v="2026-08-16T00:00:00"/>
    <s v="P-039"/>
    <x v="7"/>
    <s v="TechSupply Co"/>
    <s v="Software"/>
    <s v="39"/>
    <n v="601.47"/>
    <n v="0"/>
    <n v="23457.33"/>
    <s v="$"/>
    <x v="17"/>
    <x v="15"/>
    <x v="3"/>
    <s v="West"/>
    <s v="New York"/>
    <s v=" Stark Inc."/>
    <s v=" 467993686"/>
    <s v="james.gmail.com"/>
    <s v="(248) 998-2133"/>
    <s v="595 Williams Ave"/>
    <s v="17024"/>
    <s v="USA"/>
    <s v="Wire Transfer"/>
    <s v="Processing"/>
    <s v="Paid"/>
    <s v="INV/2026/0190"/>
    <s v="Online"/>
    <s v="1"/>
    <x v="1"/>
    <n v="2026"/>
    <s v="Immediate"/>
    <n v="13"/>
    <n v="0.08"/>
    <n v="1876.5864000000001"/>
    <n v="25333.916400000002"/>
    <s v="21.76$"/>
    <s v="DHL"/>
    <s v="FX166522205"/>
    <s v="12,57"/>
    <s v="A"/>
    <n v="344"/>
    <n v="2"/>
    <m/>
    <x v="1"/>
    <m/>
    <n v="0.25"/>
    <n v="646.01486819999991"/>
    <s v="James Anderson"/>
    <s v="James Anderson"/>
    <m/>
    <n v="21533.828939999999"/>
    <d v="2027-08-16T00:00:00"/>
    <n v="5383.4572349999999"/>
  </r>
  <r>
    <s v="TR-2025044"/>
    <d v="2026-08-15T00:00:00"/>
    <d v="2026-08-28T00:00:00"/>
    <s v="P-060"/>
    <x v="29"/>
    <s v="Global Distrib"/>
    <s v="Electronics"/>
    <s v="17"/>
    <n v="334.59"/>
    <n v="0"/>
    <n v="6169.2299349240775"/>
    <s v="€"/>
    <x v="14"/>
    <x v="12"/>
    <x v="3"/>
    <s v="West"/>
    <s v="Houston"/>
    <s v=" Umbrella Inc."/>
    <s v=" 999035931"/>
    <s v="john.gmail.com"/>
    <s v="827.288.9947"/>
    <s v="361 Johnson Street"/>
    <s v="96705"/>
    <s v="USA"/>
    <s v="Credit Card"/>
    <s v="Processing"/>
    <s v="Unpaid"/>
    <s v="INV/2026/0044"/>
    <s v="Store"/>
    <s v="1 "/>
    <x v="1"/>
    <n v="2026"/>
    <s v="Immediate"/>
    <n v="77"/>
    <n v="0.08"/>
    <n v="493.53839479392622"/>
    <n v="6662.7683297180038"/>
    <s v="38.44€"/>
    <s v="FedEx"/>
    <s v="1Z833233426"/>
    <s v="18.0 "/>
    <s v="B"/>
    <n v="472"/>
    <n v="4"/>
    <m/>
    <x v="1"/>
    <m/>
    <n v="0.25"/>
    <n v="119.92982993492407"/>
    <s v="  John Williams"/>
    <s v="  John Williams"/>
    <m/>
    <n v="5996.4914967462037"/>
    <d v="2029-08-28T00:00:00"/>
    <n v="1499.1228741865509"/>
  </r>
  <r>
    <s v="TR-2025191"/>
    <d v="2026-06-29T00:00:00"/>
    <d v="2026-03-07T00:00:00"/>
    <s v="P-032"/>
    <x v="2"/>
    <s v="OfficeHub"/>
    <s v="Software"/>
    <s v="16"/>
    <n v="1479.77"/>
    <n v="0.1"/>
    <n v="23676.32"/>
    <s v="$"/>
    <x v="9"/>
    <x v="9"/>
    <x v="0"/>
    <s v="East"/>
    <s v="Los Angeles"/>
    <s v="Wayne Inc"/>
    <s v=" 478718640"/>
    <s v="N/A"/>
    <s v="443.277.6728"/>
    <s v="490 Taylor Ave"/>
    <s v="71235"/>
    <s v="USA"/>
    <s v="Credit Card"/>
    <s v="Delivered"/>
    <s v="Partial"/>
    <s v="INV/2026/0191"/>
    <s v="Online"/>
    <s v="4"/>
    <x v="4"/>
    <n v="2026"/>
    <s v="Net 60"/>
    <n v="9"/>
    <n v="0.08"/>
    <n v="1894.1056000000001"/>
    <n v="25570.425599999999"/>
    <s v="null$"/>
    <s v="ups"/>
    <s v="1Z593113056"/>
    <s v="23.39"/>
    <s v="B"/>
    <n v="360"/>
    <s v=""/>
    <m/>
    <x v="1"/>
    <m/>
    <n v="0.18"/>
    <n v="575.33457599999997"/>
    <s v="Emma Smith"/>
    <s v="Emma Smith"/>
    <m/>
    <n v="19177.819199999998"/>
    <d v="2029-03-07T00:00:00"/>
    <n v="3452.0074559999994"/>
  </r>
  <r>
    <s v="TR-2025192"/>
    <d v="2026-01-17T00:00:00"/>
    <d v="2026-01-25T00:00:00"/>
    <s v="P-040"/>
    <x v="8"/>
    <s v="TechSupply Co"/>
    <s v="Software"/>
    <s v="19 "/>
    <n v="98.06"/>
    <n v="0.1"/>
    <n v="1863.14"/>
    <s v="$"/>
    <x v="22"/>
    <x v="20"/>
    <x v="3"/>
    <s v="South"/>
    <s v="Houston"/>
    <s v=" Initech Inc"/>
    <s v=" 120819971"/>
    <s v="chris.company.com"/>
    <s v="980.789.1298"/>
    <s v="309 Brown Blvd"/>
    <s v="13071"/>
    <s v="USA"/>
    <s v="Wire Transfer"/>
    <s v="Cancelled"/>
    <s v="Paid"/>
    <s v="INV/2026/0192"/>
    <s v="Online"/>
    <s v="3"/>
    <x v="3"/>
    <n v="2026"/>
    <s v="Immediate"/>
    <n v="38"/>
    <n v="0.08"/>
    <n v="149.05120000000002"/>
    <n v="2012.1912000000002"/>
    <s v="23.9$"/>
    <s v="FedEx"/>
    <s v="DH105573708"/>
    <s v="29,5"/>
    <s v="A"/>
    <n v="268"/>
    <n v="3"/>
    <m/>
    <x v="1"/>
    <m/>
    <n v="0"/>
    <n v="75.457170000000005"/>
    <s v="Chris Williams"/>
    <s v="Chris Williams"/>
    <m/>
    <n v="1509.1434000000002"/>
    <d v="2028-01-25T00:00:00"/>
    <n v="0"/>
  </r>
  <r>
    <s v="TR-2025193"/>
    <d v="2025-01-22T00:00:00"/>
    <d v="2025-03-02T00:00:00"/>
    <s v="P-021"/>
    <x v="27"/>
    <s v="OfficeHub"/>
    <s v="Equipment"/>
    <s v="30"/>
    <n v="1184.7"/>
    <n v="0.1"/>
    <n v="35541"/>
    <s v="$"/>
    <x v="16"/>
    <x v="14"/>
    <x v="1"/>
    <s v="North"/>
    <s v="Miami"/>
    <s v="Acme Inc."/>
    <s v="499269182"/>
    <s v="laura.gmail.com"/>
    <s v="(798) 468-6016"/>
    <s v="428 Jones Street"/>
    <s v="51354"/>
    <s v="USA"/>
    <s v="Wire"/>
    <s v="Delivered"/>
    <s v="Unpaid"/>
    <s v="INV/2025/0193"/>
    <s v="Store"/>
    <s v="3"/>
    <x v="3"/>
    <n v="2025"/>
    <s v="Immediate"/>
    <n v="84"/>
    <n v="0.08"/>
    <n v="2843.28"/>
    <n v="38384.28"/>
    <s v="21.04$"/>
    <s v="ups"/>
    <s v="FX387168701"/>
    <s v="25.4 "/>
    <s v="B"/>
    <n v="197"/>
    <n v="2"/>
    <m/>
    <x v="1"/>
    <m/>
    <n v="0"/>
    <n v="614.14847999999995"/>
    <s v="Laura Williams"/>
    <s v="Laura Williams"/>
    <m/>
    <n v="30707.423999999999"/>
    <d v="2027-03-02T00:00:00"/>
    <n v="0"/>
  </r>
  <r>
    <s v="TR-2025194"/>
    <d v="2025-07-19T00:00:00"/>
    <d v="2025-07-25T00:00:00"/>
    <s v="P-017"/>
    <x v="22"/>
    <s v="BestParts"/>
    <s v="Software"/>
    <s v="34 "/>
    <n v="1313.33"/>
    <n v="0"/>
    <n v="44653.22"/>
    <s v="$"/>
    <x v="14"/>
    <x v="12"/>
    <x v="3"/>
    <s v="North"/>
    <s v="Houston"/>
    <s v="Globex Inc."/>
    <s v="566056369"/>
    <s v="sophia.company.com"/>
    <s v="+1 905 468 2543"/>
    <s v="814 Johnson St."/>
    <s v="07205"/>
    <s v="USA"/>
    <s v="Cash"/>
    <s v="Delivered"/>
    <s v="Paid"/>
    <s v="INV/2025/0194"/>
    <s v="Store"/>
    <s v="1"/>
    <x v="5"/>
    <n v="2025"/>
    <s v="15"/>
    <n v="0"/>
    <n v="0.08"/>
    <n v="3572.2576000000004"/>
    <n v="48225.477599999998"/>
    <s v="18.4$"/>
    <s v="DHL"/>
    <s v="DH178198484"/>
    <s v="1.1"/>
    <s v="B"/>
    <n v="325"/>
    <s v=""/>
    <m/>
    <x v="1"/>
    <m/>
    <n v="0.3"/>
    <n v="819.83311919999994"/>
    <s v="Sophia Miller"/>
    <s v="Sophia Miller"/>
    <m/>
    <n v="40991.655959999996"/>
    <d v="2027-07-25T00:00:00"/>
    <n v="12297.496787999999"/>
  </r>
  <r>
    <s v="TR-2025195"/>
    <d v="2025-12-25T00:00:00"/>
    <d v="2025-12-30T00:00:00"/>
    <s v="P-029"/>
    <x v="38"/>
    <s v="OfficeHub"/>
    <s v="Software"/>
    <s v="25 "/>
    <n v="1375.64"/>
    <n v="0"/>
    <n v="34391"/>
    <s v="$"/>
    <x v="11"/>
    <x v="2"/>
    <x v="1"/>
    <s v="South"/>
    <s v="Boston"/>
    <s v="Acme Inc."/>
    <s v=" 255206760"/>
    <s v="sarah.company.com"/>
    <s v="(499) 417-1555"/>
    <s v="882 Jones Ave"/>
    <s v="40062"/>
    <s v="USA"/>
    <s v="Wire"/>
    <s v="Delivered"/>
    <s v="Paid"/>
    <s v="INV/2025/0195"/>
    <s v="Store"/>
    <s v="4"/>
    <x v="9"/>
    <n v="2025"/>
    <s v="Immediate"/>
    <n v="63"/>
    <n v="0.08"/>
    <n v="2751.28"/>
    <n v="37142.28"/>
    <s v="7.74$"/>
    <s v="Fed Ex"/>
    <s v="1Z186665361"/>
    <s v="11.3 "/>
    <s v="C"/>
    <n v="405"/>
    <n v="4"/>
    <m/>
    <x v="1"/>
    <m/>
    <n v="0.25"/>
    <n v="947.12813999999992"/>
    <s v="Sarah Miller"/>
    <s v="Sarah Miller"/>
    <m/>
    <n v="31570.937999999998"/>
    <d v="2027-12-30T00:00:00"/>
    <n v="7892.7344999999996"/>
  </r>
  <r>
    <s v="TR-2025196"/>
    <d v="2026-06-13T00:00:00"/>
    <d v="2026-06-15T00:00:00"/>
    <s v="P-022"/>
    <x v="33"/>
    <s v="BestParts"/>
    <s v="Furniture"/>
    <s v="13 "/>
    <n v="893.58"/>
    <n v="0"/>
    <n v="11616.54"/>
    <s v="$"/>
    <x v="9"/>
    <x v="9"/>
    <x v="0"/>
    <s v="West"/>
    <s v="Los Angeles"/>
    <s v="Stark Inc"/>
    <s v="544808695"/>
    <s v="ryan.yahoo.com"/>
    <s v="(264) 393-6526"/>
    <s v="859 Williams St."/>
    <s v="43476"/>
    <s v="USA"/>
    <s v="Paypal"/>
    <s v="Processing"/>
    <s v="Paid"/>
    <s v="INV/2026/0196"/>
    <s v="Online"/>
    <s v="1"/>
    <x v="4"/>
    <n v="2026"/>
    <s v="Net 30"/>
    <n v="32"/>
    <n v="0.08"/>
    <n v="929.32320000000004"/>
    <n v="12545.863200000002"/>
    <s v="29,48$"/>
    <s v="Fed Ex"/>
    <s v="DH963131754"/>
    <s v="4.9 "/>
    <s v="A"/>
    <n v="241"/>
    <n v="4"/>
    <m/>
    <x v="1"/>
    <m/>
    <n v="0.3"/>
    <n v="338.7383064"/>
    <s v="Ryan Wilson"/>
    <s v="Ryan Wilson"/>
    <m/>
    <n v="11291.276880000001"/>
    <d v="2027-06-15T00:00:00"/>
    <n v="3387.3830640000001"/>
  </r>
  <r>
    <s v="TR-2025197"/>
    <d v="2025-10-16T00:00:00"/>
    <d v="2025-10-19T00:00:00"/>
    <s v="P-052"/>
    <x v="1"/>
    <s v="TechSupply Co"/>
    <s v="Furniture"/>
    <s v="34"/>
    <n v="1467.86"/>
    <n v="0"/>
    <n v="49907.24"/>
    <s v="$"/>
    <x v="17"/>
    <x v="15"/>
    <x v="3"/>
    <s v="North"/>
    <s v="New York"/>
    <s v=" Initech Inc.   "/>
    <s v="881090263"/>
    <s v="james.company.com"/>
    <s v="(663) 495-3998"/>
    <s v="98 Smith Ave"/>
    <s v="66081"/>
    <s v="USA"/>
    <s v="Cash"/>
    <s v="Processing"/>
    <s v="Unpaid"/>
    <s v="INV/2025/0197"/>
    <s v="Store"/>
    <s v="1 "/>
    <x v="11"/>
    <n v="2025"/>
    <s v="Immediate"/>
    <n v="84"/>
    <n v="0.08"/>
    <n v="3992.5792000000001"/>
    <n v="53899.819199999998"/>
    <s v="3.85$"/>
    <s v="ups"/>
    <s v="FX966295183"/>
    <s v="1,73"/>
    <s v="B"/>
    <n v="433"/>
    <n v="4.5"/>
    <m/>
    <x v="1"/>
    <m/>
    <n v="0.15"/>
    <n v="1455.2951183999999"/>
    <s v="James Williams"/>
    <s v="James Williams"/>
    <m/>
    <n v="48509.83728"/>
    <d v="2028-10-19T00:00:00"/>
    <n v="7276.4755919999998"/>
  </r>
  <r>
    <s v="TR-2025198"/>
    <d v="2025-09-28T00:00:00"/>
    <d v="2025-11-10T00:00:00"/>
    <s v="P-048"/>
    <x v="3"/>
    <s v="BestParts"/>
    <s v="Software"/>
    <s v="40"/>
    <n v="471.22"/>
    <n v="0.1"/>
    <n v="18848.800000000003"/>
    <s v="$"/>
    <x v="21"/>
    <x v="19"/>
    <x v="2"/>
    <s v="North"/>
    <s v="Boston"/>
    <s v="Wayne Inc."/>
    <s v=" 304939709"/>
    <s v="daniel.yahoo.com"/>
    <s v="447.238.7857"/>
    <s v="11 Wilson Street"/>
    <s v="68639"/>
    <s v="USA"/>
    <s v="Credit Card"/>
    <s v="Pending"/>
    <s v="Unpaid"/>
    <s v="INV/2025/0198"/>
    <s v="Store"/>
    <s v="1"/>
    <x v="0"/>
    <n v="2025"/>
    <s v="Net 60"/>
    <n v="73"/>
    <n v="0.08"/>
    <n v="1507.9040000000002"/>
    <n v="20356.704000000002"/>
    <s v="9,12$"/>
    <s v="DHL"/>
    <s v="1Z277668524"/>
    <s v="17,26"/>
    <s v="B"/>
    <n v="43"/>
    <n v="5"/>
    <m/>
    <x v="1"/>
    <m/>
    <n v="0.25"/>
    <n v="305.35056000000003"/>
    <s v="Daniel Taylor"/>
    <s v="Daniel Taylor"/>
    <m/>
    <n v="15267.528000000002"/>
    <d v="2026-11-10T00:00:00"/>
    <n v="3816.8820000000005"/>
  </r>
  <r>
    <s v="TR-2025199"/>
    <d v="2026-02-08T00:00:00"/>
    <d v="2026-02-17T00:00:00"/>
    <s v="P-059"/>
    <x v="26"/>
    <s v="OfficeHub"/>
    <s v="Furniture"/>
    <s v="1 "/>
    <n v="673.61"/>
    <n v="0"/>
    <n v="673.61"/>
    <s v="$"/>
    <x v="23"/>
    <x v="21"/>
    <x v="1"/>
    <s v="East"/>
    <s v="Boston"/>
    <s v="Initech Llc"/>
    <s v="816916203"/>
    <s v="ryan.company.com"/>
    <s v="(964) 386-7495"/>
    <s v="72 Taylor Ave"/>
    <s v="82129"/>
    <s v="USA"/>
    <s v="Wire Transfer"/>
    <s v="Pending"/>
    <s v="Paid"/>
    <s v="INV/2026/0199"/>
    <s v="Web"/>
    <s v="1"/>
    <x v="6"/>
    <n v="2026"/>
    <s v="15"/>
    <n v="88"/>
    <n v="0.08"/>
    <n v="53.888800000000003"/>
    <n v="727.49880000000007"/>
    <s v="17.69$"/>
    <s v="Fed Ex"/>
    <s v="DH845990863"/>
    <s v="15.8 "/>
    <s v="B"/>
    <n v="461"/>
    <n v="4.5"/>
    <m/>
    <x v="1"/>
    <m/>
    <n v="0.18"/>
    <n v="32.737446000000006"/>
    <s v="Ryan Johnson"/>
    <s v="Ryan Johnson"/>
    <m/>
    <n v="654.74892000000011"/>
    <d v="2028-02-17T00:00:00"/>
    <n v="117.85480560000002"/>
  </r>
  <r>
    <s v="TR-2025315"/>
    <d v="2026-05-02T00:00:00"/>
    <d v="2026-05-11T00:00:00"/>
    <s v="P-051"/>
    <x v="24"/>
    <s v="TechSupply Co"/>
    <s v="Office"/>
    <s v="3"/>
    <n v="1036.6500000000001"/>
    <n v="0.05"/>
    <n v="3109.9500000000003"/>
    <s v="$"/>
    <x v="5"/>
    <x v="5"/>
    <x v="2"/>
    <s v="South"/>
    <s v="New York"/>
    <s v="Globex Llc   "/>
    <s v=" 676954297"/>
    <s v="sarah.yahoo.com"/>
    <s v="(873) 709-9403"/>
    <s v="961 Johnson Street"/>
    <s v="49274"/>
    <s v="USA"/>
    <s v="Wire"/>
    <s v="Delivered"/>
    <s v="Partial"/>
    <s v="INV/2026/0315"/>
    <s v="Online"/>
    <s v="4"/>
    <x v="7"/>
    <n v="2026"/>
    <s v="Net 60"/>
    <n v="43"/>
    <n v="0.08"/>
    <n v="248.79600000000002"/>
    <n v="3358.7460000000001"/>
    <s v="5,85$"/>
    <s v="Fed Ex"/>
    <s v="DH773058896"/>
    <s v="16.22"/>
    <s v="B"/>
    <n v="300"/>
    <n v="5"/>
    <m/>
    <x v="1"/>
    <m/>
    <n v="0.3"/>
    <n v="142.74670499999999"/>
    <s v="Sarah Johnson"/>
    <s v="Sarah Johnson"/>
    <m/>
    <n v="2854.9340999999999"/>
    <d v="2028-05-11T00:00:00"/>
    <n v="856.48023000000001"/>
  </r>
  <r>
    <s v="TR-2025200"/>
    <d v="2026-01-19T00:00:00"/>
    <d v="2026-02-02T00:00:00"/>
    <s v="P-060"/>
    <x v="29"/>
    <s v="Global Distrib"/>
    <s v="Electronics"/>
    <s v="23"/>
    <n v="334.59"/>
    <n v="0"/>
    <n v="7695.57"/>
    <s v="$"/>
    <x v="16"/>
    <x v="14"/>
    <x v="1"/>
    <s v="West"/>
    <s v="Miami"/>
    <s v="Acme Inc"/>
    <s v=" 388567450"/>
    <s v="emily.gmail.com"/>
    <s v="487.970.8528"/>
    <s v="304 Jones St."/>
    <s v="28928"/>
    <s v="USA"/>
    <s v="Wire"/>
    <s v="Processing"/>
    <s v="Paid"/>
    <s v="INV/2026/0200"/>
    <s v="Phone"/>
    <s v="2"/>
    <x v="3"/>
    <n v="2026"/>
    <s v="Net 30"/>
    <n v="0"/>
    <n v="0.08"/>
    <n v="615.64559999999994"/>
    <n v="8311.2155999999995"/>
    <s v="1.36 $"/>
    <s v="Fed Ex"/>
    <s v="1Z827461138"/>
    <s v="23.8 "/>
    <s v="A"/>
    <n v="113"/>
    <n v="5"/>
    <m/>
    <x v="1"/>
    <m/>
    <n v="0.25"/>
    <n v="149.6018808"/>
    <s v="Emily Jones  "/>
    <s v="Emily Jones  "/>
    <m/>
    <n v="7480.0940399999999"/>
    <d v="2029-02-02T00:00:00"/>
    <n v="1870.02351"/>
  </r>
  <r>
    <s v="TR-2025201"/>
    <d v="2025-08-26T00:00:00"/>
    <d v="2025-09-02T00:00:00"/>
    <s v="P-035"/>
    <x v="53"/>
    <s v="BestParts"/>
    <s v="Furniture"/>
    <s v="17 "/>
    <n v="426.49"/>
    <n v="0"/>
    <n v="7250.33"/>
    <s v="$"/>
    <x v="21"/>
    <x v="19"/>
    <x v="2"/>
    <s v="North"/>
    <s v="Boston"/>
    <s v="  Vortex Inc."/>
    <s v="710421594"/>
    <s v="emily.company.com"/>
    <s v="+1 414 399 4155"/>
    <s v="877 Miller Blvd"/>
    <s v="42047"/>
    <s v="USA"/>
    <s v="Wire Transfer"/>
    <s v="Delivered"/>
    <s v="Paid"/>
    <s v="INV/2025/0201"/>
    <s v="Store"/>
    <s v="4"/>
    <x v="1"/>
    <n v="2025"/>
    <s v="Immediate"/>
    <n v="34"/>
    <n v="0.08"/>
    <n v="580.02639999999997"/>
    <n v="7830.3563999999997"/>
    <s v="N/A$"/>
    <s v="ups"/>
    <s v="1Z828138764"/>
    <s v="14,81"/>
    <s v="B"/>
    <n v="370"/>
    <n v="5"/>
    <m/>
    <x v="1"/>
    <m/>
    <n v="0.25"/>
    <n v="140.94641519999999"/>
    <s v="Emily Taylor "/>
    <s v="Emily Taylor "/>
    <m/>
    <n v="7047.3207599999996"/>
    <d v="2027-09-02T00:00:00"/>
    <n v="1761.8301899999999"/>
  </r>
  <r>
    <s v="TR-2025202"/>
    <d v="2025-12-21T00:00:00"/>
    <s v="-"/>
    <s v="P-007"/>
    <x v="43"/>
    <s v="OfficeHub"/>
    <s v="Software"/>
    <s v="2"/>
    <n v="79.14"/>
    <n v="0.05"/>
    <n v="158.28"/>
    <s v="$"/>
    <x v="23"/>
    <x v="21"/>
    <x v="1"/>
    <s v="West"/>
    <s v="Boston"/>
    <s v="  Wayne Ltd."/>
    <s v="383545965"/>
    <s v="chris.company.com"/>
    <s v="554.608.2287"/>
    <s v="182 Miller Blvd"/>
    <s v="98263"/>
    <s v="USA"/>
    <s v="Credit Card"/>
    <s v="Cancelled"/>
    <s v="Unpaid"/>
    <s v="INV/2025/0202"/>
    <s v="Online"/>
    <s v="1 "/>
    <x v="9"/>
    <n v="2025"/>
    <s v="15"/>
    <n v="21"/>
    <n v="0.08"/>
    <n v="12.6624"/>
    <n v="170.94239999999999"/>
    <s v="29.20 $"/>
    <s v="FedEx"/>
    <s v="DH882822215"/>
    <s v="16.4 "/>
    <s v="B"/>
    <n v="251"/>
    <s v=""/>
    <m/>
    <x v="1"/>
    <m/>
    <n v="0.3"/>
    <n v="6.8376960000000002"/>
    <s v="Chris Johnson"/>
    <s v="Chris Johnson"/>
    <m/>
    <n v="136.75391999999999"/>
    <s v="Empty"/>
    <n v="41.026176"/>
  </r>
  <r>
    <s v="TR-2025203"/>
    <d v="2025-09-16T00:00:00"/>
    <d v="2025-09-21T00:00:00"/>
    <s v="P-048"/>
    <x v="3"/>
    <s v="BestParts"/>
    <s v="Software"/>
    <s v="18"/>
    <n v="471.22"/>
    <n v="0.1"/>
    <n v="8481.9600000000009"/>
    <s v="$"/>
    <x v="21"/>
    <x v="19"/>
    <x v="2"/>
    <s v="North"/>
    <s v="Boston"/>
    <s v="Initech Inc"/>
    <s v="655361302"/>
    <s v="jessica.gmail.com"/>
    <s v="(769) 361-6663"/>
    <s v="336 Anderson Ave"/>
    <s v="48251"/>
    <s v="USA"/>
    <s v="Credit Card"/>
    <s v="Pending"/>
    <s v="Partial"/>
    <s v="INV/2025/0203"/>
    <s v="Store"/>
    <s v="4"/>
    <x v="0"/>
    <n v="2025"/>
    <s v="15"/>
    <n v="49"/>
    <n v="0.08"/>
    <n v="678.55680000000007"/>
    <n v="9160.5168000000012"/>
    <s v="16,01$"/>
    <s v="USPS"/>
    <s v="FX766240385"/>
    <s v="29.6 "/>
    <s v="A"/>
    <n v="65"/>
    <n v="3"/>
    <m/>
    <x v="1"/>
    <m/>
    <n v="0.15"/>
    <n v="137.40775200000002"/>
    <s v="Jessica Brown"/>
    <s v="Jessica Brown"/>
    <m/>
    <n v="6870.3876000000009"/>
    <d v="2026-09-21T00:00:00"/>
    <n v="1030.5581400000001"/>
  </r>
  <r>
    <s v="TR-2025204"/>
    <d v="2025-06-09T00:00:00"/>
    <d v="2025-06-21T00:00:00"/>
    <s v="P-013"/>
    <x v="35"/>
    <s v="OfficeHub"/>
    <s v="Electronics"/>
    <s v="5 "/>
    <n v="930.42"/>
    <n v="0"/>
    <n v="4652.0999999999995"/>
    <s v="$"/>
    <x v="24"/>
    <x v="22"/>
    <x v="2"/>
    <s v="East"/>
    <s v="Seattle"/>
    <s v="Globex Inc  "/>
    <s v=" 538356468"/>
    <s v="sarah.gmail.com"/>
    <s v="272.341.1735"/>
    <s v="193 Smith Blvd"/>
    <s v="27739"/>
    <s v="USA"/>
    <s v="Credit Card"/>
    <s v="Pending"/>
    <s v="Paid"/>
    <s v="INV/2025/0204"/>
    <s v="Web"/>
    <s v="1"/>
    <x v="4"/>
    <n v="2025"/>
    <s v="Immediate"/>
    <n v="25"/>
    <n v="0.08"/>
    <n v="372.16799999999995"/>
    <n v="5024.2679999999991"/>
    <s v="46,62$"/>
    <s v="FedEx"/>
    <s v="FX848550482"/>
    <s v="21.77"/>
    <s v="C"/>
    <n v="14"/>
    <n v="4.5"/>
    <m/>
    <x v="1"/>
    <m/>
    <n v="0.25"/>
    <n v="135.65523599999997"/>
    <s v="Sarah Johnson"/>
    <s v="Sarah Johnson"/>
    <m/>
    <n v="4521.8411999999989"/>
    <d v="2028-06-21T00:00:00"/>
    <n v="1130.4602999999997"/>
  </r>
  <r>
    <s v="TR-2025205"/>
    <d v="2025-03-20T00:00:00"/>
    <d v="2025-03-31T00:00:00"/>
    <s v="P-034"/>
    <x v="18"/>
    <s v="Global Distrib"/>
    <s v="Office"/>
    <s v="19 "/>
    <n v="23.03"/>
    <n v="0.1"/>
    <n v="437.57000000000005"/>
    <s v="$"/>
    <x v="11"/>
    <x v="2"/>
    <x v="1"/>
    <s v="East"/>
    <s v="Boston"/>
    <s v="Acme Inc  "/>
    <s v=" 399145364"/>
    <s v="michael.company.com"/>
    <s v="488.731.4666"/>
    <s v="798 Johnson St."/>
    <s v="18874"/>
    <s v="USA"/>
    <s v="Paypal"/>
    <s v="Delivered"/>
    <s v="Paid"/>
    <s v="INV/2025/0205"/>
    <s v="Online"/>
    <s v="4"/>
    <x v="8"/>
    <n v="2025"/>
    <s v="Net 30"/>
    <n v="46"/>
    <n v="0.08"/>
    <n v="35.005600000000008"/>
    <n v="472.57560000000007"/>
    <s v="35.14$"/>
    <s v="DHL"/>
    <s v="FX837467813"/>
    <s v="23.15"/>
    <s v="B"/>
    <n v="21"/>
    <n v="1"/>
    <m/>
    <x v="1"/>
    <m/>
    <n v="0.18"/>
    <n v="11.341814400000002"/>
    <s v="  Michael Williams"/>
    <s v="  Michael Williams"/>
    <m/>
    <n v="378.0604800000001"/>
    <d v="2027-03-31T00:00:00"/>
    <n v="68.05088640000001"/>
  </r>
  <r>
    <s v="TR-2025206"/>
    <d v="2025-12-29T00:00:00"/>
    <d v="2026-01-03T00:00:00"/>
    <s v="P-013"/>
    <x v="35"/>
    <s v="OfficeHub"/>
    <s v="Electronics"/>
    <s v="1 "/>
    <n v="930.42"/>
    <n v="0.1"/>
    <n v="930.42"/>
    <s v="$"/>
    <x v="24"/>
    <x v="22"/>
    <x v="2"/>
    <s v="West"/>
    <s v="Seattle"/>
    <s v="Wayne Inc"/>
    <s v="729792359"/>
    <s v="james.company.com"/>
    <s v="(440) 564-5512"/>
    <s v="369 Jones Street"/>
    <s v="70472"/>
    <s v="USA"/>
    <s v="Cash"/>
    <s v="Cancelled"/>
    <s v="Partial"/>
    <s v="INV/2025/0206"/>
    <s v="Store"/>
    <s v="3"/>
    <x v="9"/>
    <n v="2025"/>
    <s v="15"/>
    <n v="38"/>
    <n v="0.08"/>
    <n v="74.433599999999998"/>
    <n v="1004.8535999999999"/>
    <s v="14.09$"/>
    <s v="Fed Ex"/>
    <s v="1Z847736864"/>
    <s v="20.95"/>
    <s v="C"/>
    <n v="115"/>
    <n v="5"/>
    <m/>
    <x v="1"/>
    <m/>
    <n v="0.25"/>
    <n v="24.116486399999999"/>
    <s v="  James Brown"/>
    <s v="  James Brown"/>
    <m/>
    <n v="803.88288"/>
    <d v="2029-01-03T00:00:00"/>
    <n v="200.97072"/>
  </r>
  <r>
    <s v="TR-2025207"/>
    <d v="2025-11-07T00:00:00"/>
    <d v="2025-11-11T00:00:00"/>
    <s v="P-051"/>
    <x v="24"/>
    <s v="TechSupply Co"/>
    <s v="Office"/>
    <s v="15 "/>
    <n v="1036.6500000000001"/>
    <n v="0.1"/>
    <n v="15549.750000000002"/>
    <s v="$"/>
    <x v="4"/>
    <x v="4"/>
    <x v="0"/>
    <s v="North"/>
    <s v="Houston"/>
    <s v=" Initech Inc. "/>
    <s v="893568717"/>
    <s v="james.gmail.com"/>
    <s v="(984) 342-4130"/>
    <s v="358 Johnson Blvd"/>
    <s v="48758"/>
    <s v="USA"/>
    <s v="Credit Card"/>
    <s v="Cancelled"/>
    <s v="Unpaid"/>
    <s v="INV/2025/0207"/>
    <s v="Online"/>
    <s v="1"/>
    <x v="10"/>
    <n v="2025"/>
    <s v="Net 60"/>
    <n v="74"/>
    <n v="0.08"/>
    <n v="1243.9800000000002"/>
    <n v="16793.730000000003"/>
    <s v="22.23 $"/>
    <s v="ups"/>
    <s v="FX635748213"/>
    <s v="28,57"/>
    <s v="A"/>
    <n v="197"/>
    <n v="1"/>
    <m/>
    <x v="1"/>
    <m/>
    <n v="0.15"/>
    <n v="403.04952000000009"/>
    <s v="James Davis"/>
    <s v="James Davis"/>
    <m/>
    <n v="13434.984000000004"/>
    <d v="2027-11-11T00:00:00"/>
    <n v="2015.2476000000006"/>
  </r>
  <r>
    <s v="TR-2025208"/>
    <d v="2026-01-24T00:00:00"/>
    <d v="2026-02-01T00:00:00"/>
    <s v="P-012"/>
    <x v="23"/>
    <s v="OfficeHub"/>
    <s v="Electronics"/>
    <s v="7 "/>
    <n v="823.88"/>
    <n v="0"/>
    <n v="5767.16"/>
    <s v="$"/>
    <x v="14"/>
    <x v="12"/>
    <x v="3"/>
    <s v="South"/>
    <s v="Houston"/>
    <s v="Initech Llc"/>
    <s v=" 782814929"/>
    <s v="sarah.gmail.com"/>
    <s v="+1 873 608 4788"/>
    <s v="984 Anderson St."/>
    <s v="77421"/>
    <s v="USA"/>
    <s v="Credit Card"/>
    <s v="Cancelled"/>
    <s v="Paid"/>
    <s v="INV/2026/0208"/>
    <s v="Online"/>
    <s v="1"/>
    <x v="3"/>
    <n v="2026"/>
    <s v="Net 60"/>
    <n v="3"/>
    <n v="0.08"/>
    <n v="461.37279999999998"/>
    <n v="6228.5328"/>
    <s v="43.36 $"/>
    <s v="DHL"/>
    <s v="1Z678511669"/>
    <s v="27,55"/>
    <s v="B"/>
    <n v="301"/>
    <n v="2"/>
    <m/>
    <x v="1"/>
    <m/>
    <n v="0.18"/>
    <n v="112.11359039999999"/>
    <s v="Sarah Davis   "/>
    <s v="Sarah Davis   "/>
    <m/>
    <n v="5605.6795199999997"/>
    <d v="2029-02-01T00:00:00"/>
    <n v="1009.0223136"/>
  </r>
  <r>
    <s v="TR-2025209"/>
    <d v="2025-10-15T00:00:00"/>
    <d v="2025-10-21T00:00:00"/>
    <s v="P-007"/>
    <x v="43"/>
    <s v="OfficeHub"/>
    <s v="Software"/>
    <s v="11"/>
    <n v="79.14"/>
    <n v="0.1"/>
    <n v="870.54"/>
    <s v="$"/>
    <x v="11"/>
    <x v="2"/>
    <x v="1"/>
    <s v="East"/>
    <s v="Boston"/>
    <s v="Globex Ltd."/>
    <s v=" 321755434"/>
    <s v="emma.gmail.com"/>
    <s v="(233) 728-7428"/>
    <s v="821 Johnson St."/>
    <s v="62577"/>
    <s v="USA"/>
    <s v="Credit Card"/>
    <s v="Pending"/>
    <s v="Paid"/>
    <s v="INV/2025/0209"/>
    <s v="Phone"/>
    <s v="3"/>
    <x v="11"/>
    <n v="2025"/>
    <s v="Net 30"/>
    <n v="9"/>
    <n v="0.08"/>
    <n v="69.643199999999993"/>
    <n v="940.18319999999994"/>
    <s v="null$"/>
    <s v="ups"/>
    <s v="1Z694468571"/>
    <s v="5,7"/>
    <s v="A"/>
    <n v="450"/>
    <n v="4.5"/>
    <m/>
    <x v="1"/>
    <m/>
    <n v="0.25"/>
    <n v="21.154121999999997"/>
    <s v="Emma Jones"/>
    <s v="Emma Jones"/>
    <m/>
    <n v="705.13739999999996"/>
    <d v="2027-10-21T00:00:00"/>
    <n v="176.28434999999999"/>
  </r>
  <r>
    <s v="TR-2025210"/>
    <d v="2026-05-28T00:00:00"/>
    <d v="2026-06-04T00:00:00"/>
    <s v="P-017"/>
    <x v="22"/>
    <s v="BestParts"/>
    <s v="Software"/>
    <s v="19"/>
    <n v="1313.33"/>
    <n v="0.1"/>
    <n v="24953.269999999997"/>
    <s v="$"/>
    <x v="15"/>
    <x v="13"/>
    <x v="2"/>
    <s v="South"/>
    <s v="Miami"/>
    <s v="Vortex Inc"/>
    <s v="821237210"/>
    <s v="olivia.yahoo.com"/>
    <s v="+1 715 285 3288"/>
    <s v="164 Smith Ave"/>
    <s v="67562"/>
    <s v="USA"/>
    <s v="Paypal"/>
    <s v="Delivered"/>
    <s v="Partial"/>
    <s v="INV/2026/0210"/>
    <s v="Online"/>
    <s v="3"/>
    <x v="7"/>
    <n v="2026"/>
    <s v="Net 30"/>
    <n v="49"/>
    <n v="0.08"/>
    <n v="1996.2615999999998"/>
    <n v="26949.531599999995"/>
    <s v="9,97$"/>
    <s v="Fed Ex"/>
    <s v="DH561805715"/>
    <s v="11,07"/>
    <s v="A"/>
    <n v="184"/>
    <n v="1"/>
    <m/>
    <x v="1"/>
    <m/>
    <n v="0.15"/>
    <n v="606.36446099999989"/>
    <s v="Olivia Brown"/>
    <s v="Olivia Brown"/>
    <m/>
    <n v="20212.148699999998"/>
    <d v="2028-06-04T00:00:00"/>
    <n v="3031.8223049999997"/>
  </r>
  <r>
    <s v="TR-2025211"/>
    <d v="2025-09-15T00:00:00"/>
    <d v="2025-09-23T00:00:00"/>
    <s v="P-043"/>
    <x v="40"/>
    <s v="Global Distrib"/>
    <s v="Equipment"/>
    <s v="25"/>
    <n v="156.69"/>
    <n v="0.1"/>
    <n v="3917.25"/>
    <s v="$"/>
    <x v="24"/>
    <x v="22"/>
    <x v="2"/>
    <s v="North"/>
    <s v="Seattle"/>
    <s v="Globex Ltd."/>
    <s v=" 730984824"/>
    <s v="robert.yahoo.com"/>
    <s v="817.982.1345"/>
    <s v="106 Brown St."/>
    <s v="82557"/>
    <s v="USA"/>
    <s v="Cash"/>
    <s v="Processing"/>
    <s v="Unpaid"/>
    <s v="INV/2025/0211"/>
    <s v="Phone"/>
    <s v="1"/>
    <x v="0"/>
    <n v="2025"/>
    <s v="Immediate"/>
    <n v="76"/>
    <n v="0.08"/>
    <n v="313.38"/>
    <n v="4230.63"/>
    <s v="38.51$"/>
    <s v="FedEx"/>
    <s v="FX636189501"/>
    <s v="20,68"/>
    <s v="C"/>
    <n v="499"/>
    <n v="4.5"/>
    <m/>
    <x v="1"/>
    <m/>
    <n v="0.25"/>
    <n v="101.53512000000001"/>
    <s v=" Robert Davis"/>
    <s v=" Robert Davis"/>
    <m/>
    <n v="3384.5040000000004"/>
    <d v="2026-09-23T00:00:00"/>
    <n v="846.12600000000009"/>
  </r>
  <r>
    <s v="TR-2025212"/>
    <d v="2025-11-16T00:00:00"/>
    <d v="2025-11-23T00:00:00"/>
    <s v="P-014"/>
    <x v="15"/>
    <s v="OfficeHub"/>
    <s v="Software"/>
    <s v="21"/>
    <n v="1166.96"/>
    <n v="0.05"/>
    <n v="24506.16"/>
    <s v="$"/>
    <x v="11"/>
    <x v="2"/>
    <x v="1"/>
    <s v="South"/>
    <s v="Boston"/>
    <s v="Wayne Inc "/>
    <s v=" 204246543"/>
    <s v="emily.gmail.com"/>
    <s v="+1 871 681 6546"/>
    <s v="515 Brown St."/>
    <s v="33631"/>
    <s v="USA"/>
    <s v="Paypal"/>
    <s v="Cancelled"/>
    <s v="Unpaid"/>
    <s v="INV/2025/0212"/>
    <s v="Online"/>
    <s v="4"/>
    <x v="10"/>
    <n v="2025"/>
    <s v="Net 30"/>
    <n v="0"/>
    <n v="0.08"/>
    <n v="1960.4928"/>
    <n v="26466.6528"/>
    <s v="42.88$"/>
    <s v="DHL"/>
    <s v="FX937660904"/>
    <s v="12,08"/>
    <s v="A"/>
    <n v="293"/>
    <s v=""/>
    <m/>
    <x v="1"/>
    <m/>
    <n v="0.3"/>
    <n v="635.19966720000002"/>
    <s v="Emily Smith "/>
    <s v="Emily Smith "/>
    <m/>
    <n v="21173.322240000001"/>
    <d v="2028-11-23T00:00:00"/>
    <n v="6351.9966720000002"/>
  </r>
  <r>
    <s v="TR-2025213"/>
    <d v="2025-07-29T00:00:00"/>
    <d v="2025-08-04T00:00:00"/>
    <s v="P-010"/>
    <x v="32"/>
    <s v="TechSupply Co"/>
    <s v="Equipment"/>
    <s v="8 "/>
    <n v="1225.1099999999999"/>
    <n v="0.05"/>
    <n v="9800.8799999999992"/>
    <s v="$"/>
    <x v="24"/>
    <x v="22"/>
    <x v="2"/>
    <s v="North"/>
    <s v="Seattle"/>
    <s v="Stark Inc."/>
    <s v=" 742549494"/>
    <s v="daniel.yahoo.com"/>
    <s v="(574) 637-6462"/>
    <s v="849 Jones Ave"/>
    <s v="null"/>
    <s v="USA"/>
    <s v="Paypal"/>
    <s v="Processing"/>
    <s v="Partial"/>
    <s v="INV/2025/0213"/>
    <s v="Phone"/>
    <s v="4"/>
    <x v="5"/>
    <n v="2025"/>
    <s v="15"/>
    <n v="3"/>
    <n v="0.08"/>
    <n v="784.07039999999995"/>
    <n v="10584.9504"/>
    <s v="5.66 $"/>
    <s v="DHL"/>
    <s v="1Z162032389"/>
    <s v="9,85"/>
    <s v="C"/>
    <n v="293"/>
    <s v=""/>
    <m/>
    <x v="1"/>
    <m/>
    <n v="0"/>
    <n v="269.91623519999996"/>
    <s v="   Daniel Taylor   "/>
    <s v="   Daniel Taylor   "/>
    <m/>
    <n v="8997.2078399999991"/>
    <d v="2027-08-04T00:00:00"/>
    <n v="0"/>
  </r>
  <r>
    <s v="TR-2025214"/>
    <d v="2025-04-15T00:00:00"/>
    <d v="2025-04-18T00:00:00"/>
    <s v="P-003"/>
    <x v="56"/>
    <s v="TechSupply Co"/>
    <s v="Office"/>
    <s v="32"/>
    <n v="61.06"/>
    <n v="0.1"/>
    <n v="2103.2508073196987"/>
    <s v="€"/>
    <x v="4"/>
    <x v="4"/>
    <x v="0"/>
    <s v="East"/>
    <s v="Houston"/>
    <s v="Stark Ltd.   "/>
    <s v=" 432053739"/>
    <s v="emily.yahoo.com"/>
    <s v="+1 320 331 3544"/>
    <s v="302 Brown Ave"/>
    <s v="79269"/>
    <s v="USA"/>
    <s v="Paypal"/>
    <s v="Delivered"/>
    <s v="Unpaid"/>
    <s v="INV/2025/0214"/>
    <s v="Web"/>
    <s v="4"/>
    <x v="2"/>
    <n v="2025"/>
    <s v="15"/>
    <n v="1"/>
    <n v="0.08"/>
    <n v="168.26006458557589"/>
    <n v="2271.5108719052746"/>
    <s v=" 38€"/>
    <s v="ups"/>
    <s v="DH607896606"/>
    <s v="0,29"/>
    <s v="B"/>
    <n v="422"/>
    <n v="2"/>
    <m/>
    <x v="1"/>
    <m/>
    <n v="0.25"/>
    <n v="54.516260925726591"/>
    <s v="   Emily Jones"/>
    <s v="   Emily Jones"/>
    <m/>
    <n v="1817.2086975242198"/>
    <d v="2026-04-18T00:00:00"/>
    <n v="454.30217438105495"/>
  </r>
  <r>
    <s v="TR-2025215"/>
    <d v="2026-02-25T00:00:00"/>
    <d v="2026-02-26T00:00:00"/>
    <s v="P-009"/>
    <x v="11"/>
    <s v="BestParts"/>
    <s v="Office"/>
    <s v="28 "/>
    <n v="813.33"/>
    <n v="0.1"/>
    <n v="22773.24"/>
    <s v="$"/>
    <x v="17"/>
    <x v="15"/>
    <x v="3"/>
    <s v="East"/>
    <s v="New York"/>
    <s v="Wayne Llc"/>
    <s v="743232912"/>
    <s v="jessica.yahoo.com"/>
    <s v="+1 594 735 2991"/>
    <s v="385 Taylor Ave"/>
    <s v="34543"/>
    <s v="USA"/>
    <s v="Wire Transfer"/>
    <s v="Delivered"/>
    <s v="Partial"/>
    <s v="INV/2026/0215"/>
    <s v="Web"/>
    <s v="1 "/>
    <x v="6"/>
    <n v="2026"/>
    <s v="Immediate"/>
    <n v="0"/>
    <n v="0.08"/>
    <n v="1821.8592000000001"/>
    <n v="24595.099200000001"/>
    <s v="33,47$"/>
    <s v="ups"/>
    <s v="DH596301155"/>
    <s v="23.55"/>
    <s v="A"/>
    <n v="389"/>
    <n v="2"/>
    <m/>
    <x v="1"/>
    <m/>
    <n v="0.18"/>
    <n v="590.28238080000006"/>
    <s v="Jessica Anderson "/>
    <s v="Jessica Anderson "/>
    <m/>
    <n v="19676.079360000003"/>
    <d v="2029-02-26T00:00:00"/>
    <n v="3541.6942848000003"/>
  </r>
  <r>
    <s v="TR-2025216"/>
    <d v="2026-08-08T00:00:00"/>
    <d v="2026-08-18T00:00:00"/>
    <s v="P-059"/>
    <x v="26"/>
    <s v="OfficeHub"/>
    <s v="Furniture"/>
    <s v="24 "/>
    <n v="673.61"/>
    <n v="0.1"/>
    <n v="16166.64"/>
    <s v="$"/>
    <x v="22"/>
    <x v="20"/>
    <x v="3"/>
    <s v="West"/>
    <s v="Houston"/>
    <s v="Wayne Inc."/>
    <s v="455122709"/>
    <s v="ryan.yahoo.com"/>
    <s v="+1 487 803 9199"/>
    <s v="747 Wilson St."/>
    <s v="77300"/>
    <s v="USA"/>
    <s v="Cash"/>
    <s v="Delivered"/>
    <s v="Paid"/>
    <s v="INV/2026/0216"/>
    <s v="Online"/>
    <s v="1"/>
    <x v="1"/>
    <n v="2026"/>
    <s v="Immediate"/>
    <n v="0"/>
    <n v="0.08"/>
    <n v="1293.3312000000001"/>
    <n v="17459.9712"/>
    <s v="6.76 $"/>
    <s v="ups"/>
    <s v="1Z755336499"/>
    <s v="22.9 "/>
    <s v="C"/>
    <n v="200"/>
    <n v="4.5"/>
    <m/>
    <x v="1"/>
    <m/>
    <n v="0.25"/>
    <n v="698.39884800000004"/>
    <s v="   Ryan Jones   "/>
    <s v="   Ryan Jones   "/>
    <m/>
    <n v="13967.97696"/>
    <d v="2028-08-18T00:00:00"/>
    <n v="3491.99424"/>
  </r>
  <r>
    <s v="TR-2025217"/>
    <d v="2026-01-25T00:00:00"/>
    <d v="2026-03-02T00:00:00"/>
    <s v="P-014"/>
    <x v="15"/>
    <s v="OfficeHub"/>
    <s v="Software"/>
    <s v="3 "/>
    <n v="1166.96"/>
    <n v="0.1"/>
    <n v="3784.7351351351349"/>
    <s v="€"/>
    <x v="2"/>
    <x v="2"/>
    <x v="1"/>
    <s v="North"/>
    <s v="Boston"/>
    <s v="Umbrella Ltd."/>
    <s v=" 179446427"/>
    <s v="emily.yahoo.com"/>
    <s v="+1 938 771 9029"/>
    <s v="298 Miller Street"/>
    <s v="47456"/>
    <s v="USA"/>
    <s v="Wire"/>
    <s v="Delivered"/>
    <s v="Partial"/>
    <s v="INV/2026/0217"/>
    <s v="Web"/>
    <s v="3"/>
    <x v="3"/>
    <n v="2026"/>
    <s v="Net 30"/>
    <n v="62"/>
    <n v="0.08"/>
    <n v="302.7788108108108"/>
    <n v="4087.5139459459456"/>
    <s v=" 29€"/>
    <s v="DHL"/>
    <s v="FX420998846"/>
    <s v="23.43"/>
    <s v="B"/>
    <n v="148"/>
    <n v="5"/>
    <m/>
    <x v="1"/>
    <m/>
    <n v="0.3"/>
    <n v="91.969063783783767"/>
    <s v="Emily Smith"/>
    <s v="Emily Smith"/>
    <m/>
    <n v="3065.6354594594591"/>
    <d v="2029-03-02T00:00:00"/>
    <n v="919.6906378378377"/>
  </r>
  <r>
    <s v="TR-2025218"/>
    <d v="2025-05-18T00:00:00"/>
    <d v="2025-05-25T00:00:00"/>
    <s v="P-033"/>
    <x v="0"/>
    <s v="Global Distrib"/>
    <s v="Office"/>
    <s v="17"/>
    <n v="129.06"/>
    <n v="0"/>
    <n v="2194.02"/>
    <s v="$"/>
    <x v="2"/>
    <x v="2"/>
    <x v="1"/>
    <s v="South"/>
    <s v="Boston"/>
    <s v="Globex Ltd.  "/>
    <s v=" 452334804"/>
    <s v="robert.gmail.com"/>
    <s v="(565) 981-7826"/>
    <s v="329 Smith St."/>
    <s v="N/A"/>
    <s v="USA"/>
    <s v="Credit Card"/>
    <s v="Delivered"/>
    <s v="Partial"/>
    <s v="INV/2025/0218"/>
    <s v="Online"/>
    <s v="1"/>
    <x v="7"/>
    <n v="2025"/>
    <s v="Net 60"/>
    <n v="1"/>
    <n v="0.08"/>
    <n v="175.52160000000001"/>
    <n v="2369.5416"/>
    <s v="35.27$"/>
    <s v="USPS"/>
    <s v="DH795443565"/>
    <s v="3,47"/>
    <s v="C"/>
    <n v="380"/>
    <n v="5"/>
    <m/>
    <x v="1"/>
    <m/>
    <n v="0"/>
    <n v="63.977623200000004"/>
    <s v="Robert Johnson"/>
    <s v="Robert Johnson"/>
    <m/>
    <n v="2132.5874400000002"/>
    <d v="2027-05-25T00:00:00"/>
    <n v="0"/>
  </r>
  <r>
    <s v="TR-2025219"/>
    <d v="2025-01-21T00:00:00"/>
    <d v="2025-01-23T00:00:00"/>
    <s v="P-002"/>
    <x v="51"/>
    <s v="BestParts"/>
    <s v="Electronics"/>
    <s v="4 "/>
    <n v="551.70000000000005"/>
    <n v="0.05"/>
    <n v="2206.8000000000002"/>
    <s v="$"/>
    <x v="11"/>
    <x v="2"/>
    <x v="1"/>
    <s v="North"/>
    <s v="Boston"/>
    <s v="  Globex Llc   "/>
    <s v="687879260"/>
    <s v="emily.gmail.com"/>
    <s v="+1 389 302 9515"/>
    <s v="488 Anderson Street"/>
    <s v="52800"/>
    <s v="USA"/>
    <s v="Wire Transfer"/>
    <s v="Delivered"/>
    <s v="Paid"/>
    <s v="INV/2025/0219"/>
    <s v="Store"/>
    <s v="1"/>
    <x v="3"/>
    <n v="2025"/>
    <s v="Net 60"/>
    <n v="18"/>
    <n v="0.08"/>
    <n v="176.54400000000001"/>
    <n v="2383.3440000000001"/>
    <s v="15.31$"/>
    <s v="ups"/>
    <s v="DH969772140"/>
    <s v="24.9 "/>
    <s v="C"/>
    <n v="282"/>
    <n v="1"/>
    <m/>
    <x v="1"/>
    <m/>
    <n v="0.3"/>
    <n v="60.775272000000001"/>
    <s v="Emily Johnson"/>
    <s v="Emily Johnson"/>
    <m/>
    <n v="2025.8424"/>
    <d v="2026-01-23T00:00:00"/>
    <n v="607.75271999999995"/>
  </r>
  <r>
    <s v="TR-2025220"/>
    <d v="2026-07-19T00:00:00"/>
    <d v="2026-07-26T00:00:00"/>
    <s v="P-025"/>
    <x v="48"/>
    <s v="TechSupply Co"/>
    <s v="Software"/>
    <s v="15"/>
    <n v="430.47"/>
    <n v="0.1"/>
    <n v="6457.05"/>
    <s v="$"/>
    <x v="10"/>
    <x v="9"/>
    <x v="0"/>
    <s v="North"/>
    <s v="Los Angeles"/>
    <s v="Vortex Inc."/>
    <s v="939351137"/>
    <s v="sophia.company.com"/>
    <s v="968.773.1517"/>
    <s v="351 Jones Street"/>
    <s v="96695"/>
    <s v="USA"/>
    <s v="Paypal"/>
    <s v="Delivered"/>
    <s v="Unpaid"/>
    <s v="INV/2026/0220"/>
    <s v="Web"/>
    <s v="2"/>
    <x v="5"/>
    <n v="2026"/>
    <s v="Net 60"/>
    <n v="90"/>
    <n v="0.08"/>
    <n v="516.56400000000008"/>
    <n v="6973.6140000000005"/>
    <s v="42.36$"/>
    <s v="USPS"/>
    <s v="DH102628075"/>
    <s v="1.15"/>
    <s v="A"/>
    <n v="47"/>
    <n v="5"/>
    <m/>
    <x v="1"/>
    <m/>
    <n v="0.15"/>
    <n v="156.90631500000001"/>
    <s v="Sophia Brown "/>
    <s v="Sophia Brown "/>
    <m/>
    <n v="5230.2105000000001"/>
    <d v="2027-07-26T00:00:00"/>
    <n v="784.53157499999998"/>
  </r>
  <r>
    <s v="TR-2025221"/>
    <d v="2025-12-01T00:00:00"/>
    <d v="2025-12-15T00:00:00"/>
    <s v="P-042"/>
    <x v="13"/>
    <s v="TechSupply Co"/>
    <s v="Electronics"/>
    <s v="24"/>
    <n v="158.06"/>
    <n v="0.1"/>
    <n v="3793.44"/>
    <s v="$"/>
    <x v="4"/>
    <x v="4"/>
    <x v="0"/>
    <s v="North"/>
    <s v="Houston"/>
    <s v="   Globex Llc"/>
    <s v="165048379"/>
    <s v="sophia.gmail.com"/>
    <s v="+1 230 800 7987"/>
    <s v="67 Anderson Street"/>
    <s v="01496"/>
    <s v="USA"/>
    <s v="Credit Card"/>
    <s v="Delivered"/>
    <s v="Paid"/>
    <s v="INV/2025/0221"/>
    <s v="Phone"/>
    <s v="1"/>
    <x v="9"/>
    <n v="2025"/>
    <s v="Immediate"/>
    <n v="72"/>
    <n v="0.08"/>
    <n v="303.47520000000003"/>
    <n v="4096.9152000000004"/>
    <s v=" 38$"/>
    <s v="DHL"/>
    <s v="1Z753784688"/>
    <s v="2.7 "/>
    <s v="A"/>
    <n v="160"/>
    <n v="2"/>
    <m/>
    <x v="1"/>
    <m/>
    <n v="0.3"/>
    <n v="98.325964800000023"/>
    <s v=" Sophia Anderson"/>
    <s v=" Sophia Anderson"/>
    <m/>
    <n v="3277.5321600000007"/>
    <d v="2028-12-15T00:00:00"/>
    <n v="983.2596480000002"/>
  </r>
  <r>
    <s v="TR-2025222"/>
    <d v="2026-06-27T00:00:00"/>
    <d v="2026-06-29T00:00:00"/>
    <s v="P-027"/>
    <x v="44"/>
    <s v="Global Distrib"/>
    <s v="Equipment"/>
    <s v="20"/>
    <n v="180.06"/>
    <n v="0.05"/>
    <n v="3601.2"/>
    <s v="$"/>
    <x v="5"/>
    <x v="5"/>
    <x v="2"/>
    <s v="East"/>
    <s v="New York"/>
    <s v="Initech Inc"/>
    <s v="438353148"/>
    <s v="daniel.yahoo.com"/>
    <s v="841.380.2025"/>
    <s v="327 Taylor Street"/>
    <s v="53282"/>
    <s v="USA"/>
    <s v="Cash"/>
    <s v="Delivered"/>
    <s v="Unpaid"/>
    <s v="INV/2026/0222"/>
    <s v="Online"/>
    <s v="2"/>
    <x v="4"/>
    <n v="2026"/>
    <s v="Net 30"/>
    <n v="35"/>
    <n v="0.08"/>
    <n v="288.096"/>
    <n v="3889.2959999999998"/>
    <s v="14.93$"/>
    <s v="USPS"/>
    <s v="FX541217176"/>
    <s v="18.12"/>
    <s v="B"/>
    <n v="225"/>
    <n v="3"/>
    <m/>
    <x v="1"/>
    <m/>
    <n v="0.25"/>
    <n v="165.29507999999998"/>
    <s v="Daniel Johnson"/>
    <s v="Daniel Johnson"/>
    <m/>
    <n v="3305.9015999999997"/>
    <d v="2028-06-29T00:00:00"/>
    <n v="826.47539999999992"/>
  </r>
  <r>
    <s v="TR-2025223"/>
    <d v="2026-01-23T00:00:00"/>
    <d v="2026-01-31T00:00:00"/>
    <s v="P-038"/>
    <x v="37"/>
    <s v="TechSupply Co"/>
    <s v="Electronics"/>
    <s v="22 "/>
    <n v="687.68"/>
    <n v="0"/>
    <n v="16355.632432432431"/>
    <s v="€"/>
    <x v="13"/>
    <x v="11"/>
    <x v="0"/>
    <s v="East"/>
    <s v="Houston"/>
    <s v="Vortex Inc"/>
    <s v=" 155605536"/>
    <s v="ryan.yahoo.com"/>
    <s v="+1 844 458 1411"/>
    <s v="84 Johnson Blvd"/>
    <s v="03592"/>
    <s v="USA"/>
    <s v="Paypal"/>
    <s v="Delivered"/>
    <s v="Unpaid"/>
    <s v="INV/2026/0223"/>
    <s v="Store"/>
    <s v="1"/>
    <x v="3"/>
    <n v="2026"/>
    <s v="Immediate"/>
    <n v="58"/>
    <n v="0.08"/>
    <n v="1308.4505945945946"/>
    <n v="17664.083027027023"/>
    <s v="27.51€"/>
    <s v="ups"/>
    <s v="DH305446725"/>
    <s v="10.7 "/>
    <s v="A"/>
    <n v="147"/>
    <n v="3"/>
    <m/>
    <x v="1"/>
    <m/>
    <n v="0"/>
    <n v="476.93024172972963"/>
    <s v="Ryan Johnson"/>
    <s v="Ryan Johnson"/>
    <m/>
    <n v="15897.674724324321"/>
    <d v="2028-01-31T00:00:00"/>
    <n v="0"/>
  </r>
  <r>
    <s v="TR-2025224"/>
    <d v="2025-06-05T00:00:00"/>
    <d v="2025-06-06T00:00:00"/>
    <s v="P-050"/>
    <x v="41"/>
    <s v="BestParts"/>
    <s v="Equipment"/>
    <s v="27 "/>
    <n v="39.53"/>
    <n v="0.1"/>
    <n v="1152.6025917926565"/>
    <s v="€"/>
    <x v="10"/>
    <x v="9"/>
    <x v="0"/>
    <s v="West"/>
    <s v="Los Angeles"/>
    <s v="Wayne Inc.   "/>
    <s v=" 159548620"/>
    <s v="david.company.com"/>
    <s v="547.851.2211"/>
    <s v="992 Johnson Blvd"/>
    <s v="66935"/>
    <s v="USA"/>
    <s v="Paypal"/>
    <s v="Cancelled"/>
    <s v="Unpaid"/>
    <s v="INV/2025/0224"/>
    <s v="Web"/>
    <s v="1"/>
    <x v="4"/>
    <n v="2025"/>
    <s v="Immediate"/>
    <n v="83"/>
    <n v="0.08"/>
    <n v="92.208207343412525"/>
    <n v="1244.8107991360691"/>
    <s v="49,37€"/>
    <s v="ups"/>
    <s v="1Z258861636"/>
    <s v="14.4"/>
    <s v="B"/>
    <n v="148"/>
    <s v=""/>
    <m/>
    <x v="1"/>
    <m/>
    <n v="0.3"/>
    <n v="29.875459179265661"/>
    <s v="  David Smith  "/>
    <s v="  David Smith  "/>
    <m/>
    <n v="995.84863930885535"/>
    <d v="2026-06-06T00:00:00"/>
    <n v="298.75459179265658"/>
  </r>
  <r>
    <s v="TR-2025225"/>
    <d v="2026-05-07T00:00:00"/>
    <d v="2026-05-17T00:00:00"/>
    <s v="P-047"/>
    <x v="45"/>
    <s v="TechSupply Co"/>
    <s v="Software"/>
    <s v="38 "/>
    <n v="1489.69"/>
    <n v="0"/>
    <n v="56608.22"/>
    <s v="$"/>
    <x v="22"/>
    <x v="20"/>
    <x v="3"/>
    <s v="West"/>
    <s v="Houston"/>
    <s v="Acme Ltd.  "/>
    <s v="163925368"/>
    <s v="emily.company.com"/>
    <s v="415.646.2860"/>
    <s v="984 Wilson Ave"/>
    <s v="16359"/>
    <s v="USA"/>
    <s v="Wire Transfer"/>
    <s v="Delivered"/>
    <s v="Partial"/>
    <s v="INV/2026/0225"/>
    <s v="Store"/>
    <s v="2"/>
    <x v="7"/>
    <n v="2026"/>
    <s v="15"/>
    <n v="0"/>
    <n v="0.08"/>
    <n v="4528.6576000000005"/>
    <n v="61136.8776"/>
    <s v="9.37$"/>
    <s v="Fed Ex"/>
    <s v="DH990347317"/>
    <s v="9.5 "/>
    <s v="A"/>
    <n v="163"/>
    <n v="3"/>
    <m/>
    <x v="1"/>
    <m/>
    <n v="0.3"/>
    <n v="2598.3172979999999"/>
    <s v=" Emily Taylor"/>
    <s v=" Emily Taylor"/>
    <m/>
    <n v="51966.345959999999"/>
    <d v="2029-05-17T00:00:00"/>
    <n v="15589.903788"/>
  </r>
  <r>
    <s v="TR-2025226"/>
    <d v="2025-05-20T00:00:00"/>
    <d v="2025-05-24T00:00:00"/>
    <s v="P-039"/>
    <x v="7"/>
    <s v="TechSupply Co"/>
    <s v="Software"/>
    <s v="17"/>
    <n v="601.47"/>
    <n v="0.1"/>
    <n v="11066.006493506493"/>
    <s v="€"/>
    <x v="18"/>
    <x v="16"/>
    <x v="2"/>
    <s v="East"/>
    <s v="Los Angeles"/>
    <s v="Vortex Inc  "/>
    <s v="957377385"/>
    <s v="emily.company.com"/>
    <s v="+1 979 311 3191"/>
    <s v="325 Johnson Blvd"/>
    <s v="05967"/>
    <s v="USA"/>
    <s v="Wire"/>
    <s v="Delivered"/>
    <s v="Unpaid"/>
    <s v="INV/2025/0226"/>
    <s v="Online"/>
    <s v="4"/>
    <x v="7"/>
    <n v="2025"/>
    <s v="Net 30"/>
    <n v="69"/>
    <n v="0.08"/>
    <n v="885.2805194805195"/>
    <n v="11951.287012987012"/>
    <s v="13.57€"/>
    <s v="ups"/>
    <s v="FX523479346"/>
    <s v="10.6 "/>
    <s v="A"/>
    <n v="393"/>
    <n v="4"/>
    <m/>
    <x v="1"/>
    <m/>
    <n v="0.18"/>
    <n v="268.90395779220773"/>
    <s v=" Emily Williams"/>
    <s v=" Emily Williams"/>
    <m/>
    <n v="8963.4652597402583"/>
    <d v="2026-05-24T00:00:00"/>
    <n v="1613.4237467532464"/>
  </r>
  <r>
    <s v="TR-2025227"/>
    <d v="2026-05-31T00:00:00"/>
    <d v="2026-09-06T00:00:00"/>
    <s v="P-008"/>
    <x v="55"/>
    <s v="OfficeHub"/>
    <s v="Equipment"/>
    <s v="12 "/>
    <n v="1288.4100000000001"/>
    <n v="0.1"/>
    <n v="15460.920000000002"/>
    <s v="$"/>
    <x v="18"/>
    <x v="16"/>
    <x v="2"/>
    <s v="North"/>
    <s v="Los Angeles"/>
    <s v="   Acme Inc"/>
    <s v="311127945"/>
    <s v="laura.company.com"/>
    <s v="534.935.4844"/>
    <s v="412 Anderson St."/>
    <s v="#N/A"/>
    <s v="USA"/>
    <s v="Wire Transfer"/>
    <s v="Delivered"/>
    <s v="Paid"/>
    <s v="INV/2026/0227"/>
    <s v="Store"/>
    <s v="1 "/>
    <x v="7"/>
    <n v="2026"/>
    <s v="Immediate"/>
    <n v="5"/>
    <n v="0.08"/>
    <n v="1236.8736000000001"/>
    <n v="16697.793600000001"/>
    <s v="N/A$"/>
    <s v="FedEx"/>
    <s v="DH597309878"/>
    <s v="17.3 "/>
    <s v="B"/>
    <n v="58"/>
    <n v="5"/>
    <m/>
    <x v="1"/>
    <m/>
    <n v="0.3"/>
    <n v="400.74704640000004"/>
    <s v="Laura Taylor"/>
    <s v="Laura Taylor"/>
    <m/>
    <n v="13358.234880000002"/>
    <d v="2029-09-06T00:00:00"/>
    <n v="4007.4704640000004"/>
  </r>
  <r>
    <s v="TR-2025228"/>
    <d v="2025-04-24T00:00:00"/>
    <d v="2025-04-25T00:00:00"/>
    <s v="P-038"/>
    <x v="37"/>
    <s v="TechSupply Co"/>
    <s v="Electronics"/>
    <s v="2 "/>
    <n v="687.68"/>
    <n v="0.1"/>
    <n v="1375.36"/>
    <s v="$"/>
    <x v="6"/>
    <x v="6"/>
    <x v="2"/>
    <s v="North"/>
    <s v="Boston"/>
    <s v="Umbrella Inc   "/>
    <s v="790050425"/>
    <s v="michael.company.com"/>
    <s v="+1 678 588 9851"/>
    <s v="213 Taylor Street"/>
    <s v="35811"/>
    <s v="USA"/>
    <s v="Wire"/>
    <s v="Cancelled"/>
    <s v="Paid"/>
    <s v="INV/2025/0228"/>
    <s v="Web"/>
    <s v="3"/>
    <x v="2"/>
    <n v="2025"/>
    <s v="Net 30"/>
    <n v="42"/>
    <n v="0.08"/>
    <n v="110.02879999999999"/>
    <n v="1485.3887999999999"/>
    <s v="3,53$"/>
    <s v="ups"/>
    <s v="DH882282213"/>
    <s v="5,71"/>
    <s v="C"/>
    <n v="279"/>
    <n v="4.5"/>
    <m/>
    <x v="1"/>
    <m/>
    <n v="0.25"/>
    <n v="35.649331199999999"/>
    <s v=" Michael Davis   "/>
    <s v=" Michael Davis   "/>
    <m/>
    <n v="1188.31104"/>
    <d v="2027-04-25T00:00:00"/>
    <n v="297.07776000000001"/>
  </r>
  <r>
    <s v="TR-2025229"/>
    <d v="2025-11-27T00:00:00"/>
    <d v="2025-12-09T00:00:00"/>
    <s v="P-013"/>
    <x v="35"/>
    <s v="OfficeHub"/>
    <s v="Electronics"/>
    <s v="28 "/>
    <n v="930.42"/>
    <n v="0.1"/>
    <n v="26051.759999999998"/>
    <s v="$"/>
    <x v="7"/>
    <x v="7"/>
    <x v="2"/>
    <s v="East"/>
    <s v="Miami"/>
    <s v="Vortex Inc"/>
    <s v="922778594"/>
    <s v="chris.yahoo.com"/>
    <s v="+1 325 721 2082"/>
    <s v="515 Smith Street"/>
    <s v="18970"/>
    <s v="USA"/>
    <s v="Credit Card"/>
    <s v="Cancelled"/>
    <s v="Paid"/>
    <s v="INV/2025/0229"/>
    <s v="Online"/>
    <s v="1"/>
    <x v="10"/>
    <n v="2025"/>
    <s v="15"/>
    <n v="66"/>
    <n v="0.08"/>
    <n v="2084.1408000000001"/>
    <n v="28135.900799999999"/>
    <s v="22.19$"/>
    <s v="DHL"/>
    <s v="DH867128072"/>
    <s v="15.83"/>
    <s v="B"/>
    <n v="356"/>
    <s v=""/>
    <m/>
    <x v="1"/>
    <m/>
    <n v="0"/>
    <n v="675.26161919999993"/>
    <s v="Chris Wilson  "/>
    <s v="Chris Wilson  "/>
    <m/>
    <n v="22508.72064"/>
    <d v="2028-12-09T00:00:00"/>
    <n v="0"/>
  </r>
  <r>
    <s v="TR-2025230"/>
    <d v="2025-02-21T00:00:00"/>
    <d v="2025-03-03T00:00:00"/>
    <s v="P-060"/>
    <x v="29"/>
    <s v="Global Distrib"/>
    <s v="Electronics"/>
    <s v="6"/>
    <n v="334.59"/>
    <n v="0.1"/>
    <n v="2007.54"/>
    <s v="$"/>
    <x v="5"/>
    <x v="5"/>
    <x v="2"/>
    <s v="South"/>
    <s v="New York"/>
    <s v="  Globex Llc"/>
    <s v="562199804"/>
    <s v="ryan.yahoo.com"/>
    <s v="803.971.7922"/>
    <s v="387 Wilson Ave"/>
    <s v="03196"/>
    <s v="USA"/>
    <s v="Cash"/>
    <s v="Delivered"/>
    <s v="Partial"/>
    <s v="INV/2025/0230"/>
    <s v="Online"/>
    <s v="3"/>
    <x v="6"/>
    <n v="2025"/>
    <s v="Net 60"/>
    <n v="12"/>
    <n v="0.08"/>
    <n v="160.60319999999999"/>
    <n v="2168.1432"/>
    <s v="12.27 $"/>
    <s v="USPS"/>
    <s v="FX863047527"/>
    <s v="12,57"/>
    <s v="A"/>
    <n v="77"/>
    <n v="4"/>
    <m/>
    <x v="1"/>
    <m/>
    <n v="0"/>
    <n v="86.725728000000004"/>
    <s v="   Ryan Williams"/>
    <s v="   Ryan Williams"/>
    <m/>
    <n v="1734.5145600000001"/>
    <d v="2028-03-03T00:00:00"/>
    <n v="0"/>
  </r>
  <r>
    <s v="TR-2025231"/>
    <d v="2025-07-06T00:00:00"/>
    <d v="2025-07-17T00:00:00"/>
    <s v="P-030"/>
    <x v="47"/>
    <s v="BestParts"/>
    <s v="Office"/>
    <s v="3 "/>
    <n v="676.54"/>
    <n v="0"/>
    <n v="2029.62"/>
    <s v="$"/>
    <x v="1"/>
    <x v="1"/>
    <x v="1"/>
    <s v="North"/>
    <s v="Seattle"/>
    <s v="Wayne Llc"/>
    <s v=" 245111362"/>
    <s v="john.yahoo.com"/>
    <s v="(687) 514-3474"/>
    <s v="316 Brown Blvd"/>
    <s v="61075"/>
    <s v="USA"/>
    <s v="Credit Card"/>
    <s v="Pending"/>
    <s v="Paid"/>
    <s v="INV/2025/0231"/>
    <s v="Store"/>
    <s v="4"/>
    <x v="5"/>
    <n v="2025"/>
    <s v="Immediate"/>
    <n v="45"/>
    <n v="0.08"/>
    <n v="162.36959999999999"/>
    <n v="2191.9895999999999"/>
    <s v="13.14$"/>
    <s v="DHL"/>
    <s v="FX255400797"/>
    <s v="28.73"/>
    <s v="A"/>
    <n v="59"/>
    <n v="4"/>
    <m/>
    <x v="1"/>
    <m/>
    <n v="0.25"/>
    <n v="39.455812799999997"/>
    <s v="   John Anderson"/>
    <s v="   John Anderson"/>
    <m/>
    <n v="1972.7906399999999"/>
    <d v="2027-07-17T00:00:00"/>
    <n v="493.19765999999998"/>
  </r>
  <r>
    <s v="TR-2025232"/>
    <d v="2025-07-16T00:00:00"/>
    <d v="2025-07-20T00:00:00"/>
    <s v="P-035"/>
    <x v="53"/>
    <s v="BestParts"/>
    <s v="Furniture"/>
    <s v="12 "/>
    <n v="426.49"/>
    <n v="0"/>
    <n v="5117.88"/>
    <s v="$"/>
    <x v="12"/>
    <x v="10"/>
    <x v="2"/>
    <s v="South"/>
    <s v="Houston"/>
    <s v="Umbrella Inc"/>
    <s v="459265082"/>
    <s v="emma.yahoo.com"/>
    <s v="(531) 436-5593"/>
    <s v="72 Jones Blvd"/>
    <s v="23622"/>
    <s v="USA"/>
    <s v="Paypal"/>
    <s v="Delivered"/>
    <s v="Unpaid"/>
    <s v="INV/2025/0232"/>
    <s v="Phone"/>
    <s v="1 "/>
    <x v="5"/>
    <n v="2025"/>
    <s v="Immediate"/>
    <n v="0"/>
    <n v="0.08"/>
    <n v="409.43040000000002"/>
    <n v="5527.3104000000003"/>
    <s v=" 45$"/>
    <s v="FedEx"/>
    <s v="1Z581194794"/>
    <s v="18.49"/>
    <s v="A"/>
    <n v="78"/>
    <s v=""/>
    <m/>
    <x v="1"/>
    <m/>
    <n v="0.15"/>
    <n v="248.72896800000004"/>
    <s v="Emma Smith"/>
    <s v="Emma Smith"/>
    <m/>
    <n v="4974.5793600000006"/>
    <d v="2027-07-20T00:00:00"/>
    <n v="746.18690400000003"/>
  </r>
  <r>
    <s v="TR-2025299"/>
    <d v="2025-12-02T00:00:00"/>
    <d v="2025-12-12T00:00:00"/>
    <s v="P-004"/>
    <x v="6"/>
    <s v="OfficeHub"/>
    <s v="Electronics"/>
    <s v="24 "/>
    <n v="364.79"/>
    <n v="0.05"/>
    <n v="8754.9600000000009"/>
    <s v="$"/>
    <x v="15"/>
    <x v="13"/>
    <x v="2"/>
    <s v="North"/>
    <s v="Miami"/>
    <s v="  Initech Llc"/>
    <s v="673589146"/>
    <s v="daniel.gmail.com"/>
    <s v="+1 878 842 8773"/>
    <s v="287 Anderson St."/>
    <s v="08215"/>
    <s v="USA"/>
    <s v="Wire Transfer"/>
    <s v="Cancelled"/>
    <s v="Partial"/>
    <s v="INV/2025/0299"/>
    <s v="Web"/>
    <s v="4"/>
    <x v="9"/>
    <n v="2025"/>
    <s v="Net 60"/>
    <n v="34"/>
    <n v="0.08"/>
    <n v="700.3968000000001"/>
    <n v="9455.3568000000014"/>
    <s v="#N/A$"/>
    <s v="DHL"/>
    <s v="FX863447713"/>
    <s v="7.38"/>
    <s v="B"/>
    <n v="419"/>
    <n v="4.5"/>
    <m/>
    <x v="1"/>
    <m/>
    <n v="0.18"/>
    <n v="241.11159840000002"/>
    <s v="Daniel Smith  "/>
    <s v="Daniel Smith  "/>
    <m/>
    <n v="8037.053280000001"/>
    <d v="2027-12-12T00:00:00"/>
    <n v="1446.6695904000001"/>
  </r>
  <r>
    <s v="TR-2025233"/>
    <d v="2026-06-04T00:00:00"/>
    <s v="null"/>
    <s v="P-056"/>
    <x v="25"/>
    <s v="OfficeHub"/>
    <s v="Software"/>
    <s v="6 "/>
    <n v="1111.1099999999999"/>
    <n v="0.1"/>
    <n v="7199.4168466522669"/>
    <s v="€"/>
    <x v="3"/>
    <x v="3"/>
    <x v="0"/>
    <s v="South"/>
    <s v="New York"/>
    <s v=" Vortex Llc"/>
    <s v=" 853703743"/>
    <s v="N/A"/>
    <s v="(558) 769-7458"/>
    <s v="62 Miller St."/>
    <s v="42165"/>
    <s v="USA"/>
    <s v="Paypal"/>
    <s v="Delivered"/>
    <s v="Unpaid"/>
    <s v="INV/2026/0233"/>
    <s v="Store"/>
    <s v="4"/>
    <x v="4"/>
    <n v="2026"/>
    <s v="Net 30"/>
    <n v="0"/>
    <n v="0.08"/>
    <n v="575.95334773218133"/>
    <n v="7775.370194384448"/>
    <s v=" 17€"/>
    <s v="DHL"/>
    <s v="FX925282290"/>
    <s v="16,31"/>
    <s v="A"/>
    <n v="118"/>
    <s v=""/>
    <m/>
    <x v="1"/>
    <m/>
    <n v="0.3"/>
    <n v="174.94582937365007"/>
    <s v="   Robert Brown"/>
    <s v="   Robert Brown"/>
    <m/>
    <n v="5831.5276457883356"/>
    <s v="Empty"/>
    <n v="1749.4582937365005"/>
  </r>
  <r>
    <s v="TR-2025305"/>
    <d v="2026-06-03T00:00:00"/>
    <d v="2026-08-06T00:00:00"/>
    <s v="P-038"/>
    <x v="37"/>
    <s v="TechSupply Co"/>
    <s v="Electronics"/>
    <s v="3 "/>
    <n v="687.68"/>
    <n v="0.1"/>
    <n v="2063.04"/>
    <s v="$"/>
    <x v="22"/>
    <x v="20"/>
    <x v="3"/>
    <s v="East"/>
    <s v="Houston"/>
    <s v="Acme Llc"/>
    <s v=" 224975322"/>
    <s v="john.yahoo.com"/>
    <s v="(609) 585-5922"/>
    <s v="965 Smith Blvd"/>
    <s v="74151"/>
    <s v="USA"/>
    <s v="Wire Transfer"/>
    <s v="Pending"/>
    <s v="Partial"/>
    <s v="INV/2026/0305"/>
    <s v="Store"/>
    <s v="1"/>
    <x v="4"/>
    <n v="2026"/>
    <s v="15"/>
    <n v="87"/>
    <n v="0.08"/>
    <n v="165.04320000000001"/>
    <n v="2228.0832"/>
    <s v="24.6$"/>
    <s v="DHL"/>
    <s v="FX287036854"/>
    <s v="3,97"/>
    <s v="B"/>
    <n v="374"/>
    <n v="3"/>
    <m/>
    <x v="1"/>
    <m/>
    <n v="0.18"/>
    <n v="89.123328000000015"/>
    <s v="John Williams   "/>
    <s v="John Williams   "/>
    <m/>
    <n v="1782.4665600000001"/>
    <d v="2028-08-06T00:00:00"/>
    <n v="320.8439808"/>
  </r>
  <r>
    <s v="TR-2025234"/>
    <d v="2025-08-08T00:00:00"/>
    <d v="2025-08-14T00:00:00"/>
    <s v="P-050"/>
    <x v="41"/>
    <s v="BestParts"/>
    <s v="Equipment"/>
    <s v="14"/>
    <n v="39.53"/>
    <n v="0.05"/>
    <n v="553.42000000000007"/>
    <s v="$"/>
    <x v="23"/>
    <x v="21"/>
    <x v="1"/>
    <s v="North"/>
    <s v="Boston"/>
    <s v="Initech Inc"/>
    <s v="373476170"/>
    <s v="N/A"/>
    <s v="(653) 701-3259"/>
    <s v="500 Anderson Street"/>
    <s v="05360"/>
    <s v="USA"/>
    <s v="Credit Card"/>
    <s v="Processing"/>
    <s v="Partial"/>
    <s v="INV/2025/0234"/>
    <s v="Online"/>
    <s v="1"/>
    <x v="1"/>
    <n v="2025"/>
    <s v="Net 60"/>
    <n v="68"/>
    <n v="0.08"/>
    <n v="44.273600000000009"/>
    <n v="597.69360000000006"/>
    <s v="10.68$"/>
    <s v="USPS"/>
    <s v="1Z647470984"/>
    <s v="16.68"/>
    <s v="B"/>
    <n v="51"/>
    <s v=""/>
    <m/>
    <x v="1"/>
    <m/>
    <n v="0.25"/>
    <n v="25.401978000000003"/>
    <s v="Laura Jones"/>
    <s v="Laura Jones"/>
    <m/>
    <n v="508.03956000000005"/>
    <d v="2026-08-14T00:00:00"/>
    <n v="127.00989000000001"/>
  </r>
  <r>
    <s v="TR-2025235"/>
    <d v="2025-07-26T00:00:00"/>
    <d v="2025-08-06T00:00:00"/>
    <s v="P-051"/>
    <x v="24"/>
    <s v="TechSupply Co"/>
    <s v="Office"/>
    <s v="37"/>
    <n v="1036.6500000000001"/>
    <n v="0.05"/>
    <n v="38356.050000000003"/>
    <s v="$"/>
    <x v="23"/>
    <x v="21"/>
    <x v="1"/>
    <s v="North"/>
    <s v="Boston"/>
    <s v="  Acme Inc"/>
    <s v="660706416"/>
    <s v="ryan.yahoo.com"/>
    <s v="743.575.6532"/>
    <s v="760 Davis Ave"/>
    <s v="38092"/>
    <s v="USA"/>
    <s v="Wire Transfer"/>
    <s v="Delivered"/>
    <s v="Partial"/>
    <s v="INV/2025/0235"/>
    <s v="Phone"/>
    <s v="2"/>
    <x v="5"/>
    <n v="2025"/>
    <s v="Immediate"/>
    <n v="87"/>
    <n v="0.08"/>
    <n v="3068.4840000000004"/>
    <n v="41424.534"/>
    <s v="39.9$"/>
    <s v="ups"/>
    <s v="1Z714029847"/>
    <s v="10.8 "/>
    <s v="A"/>
    <n v="305"/>
    <n v="2"/>
    <m/>
    <x v="1"/>
    <m/>
    <n v="0.25"/>
    <n v="1760.5426950000001"/>
    <s v=" Ryan Johnson "/>
    <s v=" Ryan Johnson "/>
    <m/>
    <n v="35210.853900000002"/>
    <d v="2027-08-06T00:00:00"/>
    <n v="8802.7134750000005"/>
  </r>
  <r>
    <s v="TR-2025236"/>
    <d v="2025-03-02T00:00:00"/>
    <d v="2025-03-07T00:00:00"/>
    <s v="P-040"/>
    <x v="8"/>
    <s v="TechSupply Co"/>
    <s v="Software"/>
    <s v="29 "/>
    <n v="98.06"/>
    <n v="0.1"/>
    <n v="3057.7849462365593"/>
    <s v="€"/>
    <x v="13"/>
    <x v="11"/>
    <x v="0"/>
    <s v="West"/>
    <s v="Houston"/>
    <s v="Globex Inc."/>
    <s v="967299438"/>
    <s v="sophia.yahoo.com"/>
    <s v="727.715.5524"/>
    <s v="287 Taylor St."/>
    <s v="27796"/>
    <s v="USA"/>
    <s v="Wire Transfer"/>
    <s v="Processing"/>
    <s v="Paid"/>
    <s v="INV/2025/0236"/>
    <s v="Phone"/>
    <s v="1 "/>
    <x v="8"/>
    <n v="2025"/>
    <s v="Immediate"/>
    <n v="37"/>
    <n v="0.08"/>
    <n v="244.62279569892476"/>
    <n v="3302.407741935484"/>
    <s v="24.74€"/>
    <s v="FedEx"/>
    <s v="FX725878217"/>
    <s v="0,63"/>
    <s v="B"/>
    <n v="287"/>
    <n v="4"/>
    <m/>
    <x v="1"/>
    <m/>
    <n v="0.3"/>
    <n v="74.304174193548391"/>
    <s v="  Sophia Wilson"/>
    <s v="  Sophia Wilson"/>
    <m/>
    <n v="2476.8058064516131"/>
    <d v="2027-03-07T00:00:00"/>
    <n v="743.04174193548386"/>
  </r>
  <r>
    <s v="TR-2025237"/>
    <d v="2026-01-23T00:00:00"/>
    <d v="2026-02-06T00:00:00"/>
    <s v="P-024"/>
    <x v="9"/>
    <s v="TechSupply Co"/>
    <s v="Electronics"/>
    <s v="15 "/>
    <n v="95.7"/>
    <n v="0.1"/>
    <n v="1435.5"/>
    <s v="$"/>
    <x v="3"/>
    <x v="3"/>
    <x v="0"/>
    <s v="West"/>
    <s v="New York"/>
    <s v="Globex Inc."/>
    <s v=" 102487431"/>
    <s v="david.company.com"/>
    <s v="(535) 561-9572"/>
    <s v="100 Brown Ave"/>
    <s v="65331"/>
    <s v="USA"/>
    <s v="Credit Card"/>
    <s v="Delivered"/>
    <s v="Partial"/>
    <s v="INV/2026/0237"/>
    <s v="Store"/>
    <s v="1 "/>
    <x v="3"/>
    <n v="2026"/>
    <s v="Immediate"/>
    <n v="54"/>
    <n v="0.08"/>
    <n v="114.84"/>
    <n v="1550.34"/>
    <s v=" 33$"/>
    <s v="USPS"/>
    <s v="1Z665337271"/>
    <s v="5.3 "/>
    <s v="B"/>
    <n v="78"/>
    <s v=""/>
    <m/>
    <x v="1"/>
    <m/>
    <n v="0.15"/>
    <n v="37.208159999999999"/>
    <s v=" David Miller"/>
    <s v=" David Miller"/>
    <m/>
    <n v="1240.2719999999999"/>
    <d v="2028-02-06T00:00:00"/>
    <n v="186.04079999999999"/>
  </r>
  <r>
    <s v="TR-2025238"/>
    <d v="2025-02-01T00:00:00"/>
    <d v="2025-11-02T00:00:00"/>
    <s v="P-046"/>
    <x v="14"/>
    <s v="Global Distrib"/>
    <s v="Equipment"/>
    <s v="27 "/>
    <n v="549.41999999999996"/>
    <n v="0.1"/>
    <n v="14834.339999999998"/>
    <s v="$"/>
    <x v="0"/>
    <x v="0"/>
    <x v="0"/>
    <s v="South"/>
    <s v="Chicago"/>
    <s v="Umbrella Llc"/>
    <s v="351242005"/>
    <s v="david.gmail.com"/>
    <s v="+1 775 690 4793"/>
    <s v="532 Johnson Street"/>
    <s v="51293"/>
    <s v="USA"/>
    <s v="Credit Card"/>
    <s v="Delivered"/>
    <s v="Paid"/>
    <s v="INV/2025/0238"/>
    <s v="Phone"/>
    <s v="1 "/>
    <x v="6"/>
    <n v="2025"/>
    <s v="Net 30"/>
    <n v="33"/>
    <n v="0.08"/>
    <n v="1186.7471999999998"/>
    <n v="16021.087199999998"/>
    <s v="49,55$"/>
    <s v="DHL"/>
    <s v="FX658540975"/>
    <s v="4.74"/>
    <s v="C"/>
    <n v="13"/>
    <n v="5"/>
    <m/>
    <x v="1"/>
    <m/>
    <n v="0.25"/>
    <n v="384.50609279999998"/>
    <s v="David Miller"/>
    <s v="David Miller"/>
    <m/>
    <n v="12816.86976"/>
    <d v="2028-11-02T00:00:00"/>
    <n v="3204.2174399999999"/>
  </r>
  <r>
    <s v="TR-2025239"/>
    <d v="2025-02-23T00:00:00"/>
    <d v="2025-02-25T00:00:00"/>
    <s v="P-038"/>
    <x v="37"/>
    <s v="TechSupply Co"/>
    <s v="Electronics"/>
    <s v="5 "/>
    <n v="687.68"/>
    <n v="0.1"/>
    <n v="3438.3999999999996"/>
    <s v="$"/>
    <x v="18"/>
    <x v="16"/>
    <x v="2"/>
    <s v="West"/>
    <s v="Los Angeles"/>
    <s v="Globex Inc."/>
    <s v="394013445"/>
    <s v="olivia.company.com"/>
    <s v="937.684.3461"/>
    <s v="75 Williams Blvd"/>
    <s v="07313"/>
    <s v="USA"/>
    <s v="Credit Card"/>
    <s v="Cancelled"/>
    <s v="Paid"/>
    <s v="INV/2025/0239"/>
    <s v="Phone"/>
    <s v="1"/>
    <x v="6"/>
    <n v="2025"/>
    <s v="Immediate"/>
    <n v="77"/>
    <n v="0.08"/>
    <n v="275.072"/>
    <n v="3713.4719999999998"/>
    <s v="26,94$"/>
    <s v="ups"/>
    <s v="1Z728357567"/>
    <s v="17,13"/>
    <s v="A"/>
    <n v="21"/>
    <s v=""/>
    <m/>
    <x v="1"/>
    <m/>
    <n v="0.18"/>
    <n v="89.123327999999987"/>
    <s v="Olivia Miller"/>
    <s v="Olivia Miller"/>
    <m/>
    <n v="2970.7775999999999"/>
    <d v="2027-02-25T00:00:00"/>
    <n v="534.73996799999998"/>
  </r>
  <r>
    <s v="TR-2025240"/>
    <d v="2026-06-11T00:00:00"/>
    <d v="2026-06-15T00:00:00"/>
    <s v="P-048"/>
    <x v="3"/>
    <s v="BestParts"/>
    <s v="Software"/>
    <s v="4"/>
    <n v="471.22"/>
    <n v="0"/>
    <n v="1884.88"/>
    <s v="$"/>
    <x v="19"/>
    <x v="17"/>
    <x v="1"/>
    <s v="North"/>
    <s v="Miami"/>
    <s v="Wayne Inc."/>
    <s v="792074559"/>
    <s v="-"/>
    <s v="511.352.3985"/>
    <s v="112 Jones St."/>
    <s v="67805"/>
    <s v="USA"/>
    <s v="Cash"/>
    <s v="Delivered"/>
    <s v="Unpaid"/>
    <s v="INV/2026/0240"/>
    <s v="Web"/>
    <s v="1"/>
    <x v="4"/>
    <n v="2026"/>
    <s v="Net 60"/>
    <n v="0"/>
    <n v="0.08"/>
    <n v="150.79040000000001"/>
    <n v="2035.6704000000002"/>
    <s v="24.63$"/>
    <s v="ups"/>
    <s v="FX668463398"/>
    <s v="21.15"/>
    <s v="C"/>
    <n v="399"/>
    <n v="3"/>
    <m/>
    <x v="1"/>
    <m/>
    <n v="0.25"/>
    <n v="86.515992000000011"/>
    <s v="Daniel Davis   "/>
    <s v="Daniel Davis   "/>
    <m/>
    <n v="1730.3198400000001"/>
    <d v="2027-06-15T00:00:00"/>
    <n v="432.57996000000003"/>
  </r>
  <r>
    <s v="TR-2025241"/>
    <d v="2026-04-20T00:00:00"/>
    <d v="2026-04-24T00:00:00"/>
    <s v="P-007"/>
    <x v="43"/>
    <s v="OfficeHub"/>
    <s v="Software"/>
    <s v="11"/>
    <n v="79.14"/>
    <n v="0"/>
    <n v="937.07212055974162"/>
    <s v="€"/>
    <x v="15"/>
    <x v="13"/>
    <x v="2"/>
    <s v="South"/>
    <s v="Miami"/>
    <s v="Acme Inc"/>
    <s v=" 946904110"/>
    <s v="james.yahoo.com"/>
    <s v="+1 818 423 2437"/>
    <s v="27 Taylor Blvd"/>
    <s v="93055"/>
    <s v="USA"/>
    <s v="Cash"/>
    <s v="Processing"/>
    <s v="Paid"/>
    <s v="INV/2026/0241"/>
    <s v="Phone"/>
    <s v="1"/>
    <x v="2"/>
    <n v="2026"/>
    <s v="Net 60"/>
    <n v="0"/>
    <n v="0.08"/>
    <n v="74.965769644779328"/>
    <n v="1012.037890204521"/>
    <s v="4.74€"/>
    <s v="USPS"/>
    <s v="FX672945917"/>
    <s v="28,41"/>
    <s v="C"/>
    <n v="142"/>
    <n v="4"/>
    <m/>
    <x v="1"/>
    <m/>
    <n v="0.18"/>
    <n v="25.806966200215285"/>
    <s v="James Anderson"/>
    <s v="James Anderson"/>
    <m/>
    <n v="860.23220667384282"/>
    <d v="2028-04-24T00:00:00"/>
    <n v="154.84179720129171"/>
  </r>
  <r>
    <s v="TR-2025242"/>
    <d v="2025-09-16T00:00:00"/>
    <d v="2025-09-28T00:00:00"/>
    <s v="P-054"/>
    <x v="16"/>
    <s v="OfficeHub"/>
    <s v="Office"/>
    <s v="7 "/>
    <n v="801.23"/>
    <n v="0.1"/>
    <n v="5608.6100000000006"/>
    <s v="$"/>
    <x v="4"/>
    <x v="4"/>
    <x v="0"/>
    <s v="West"/>
    <s v="Houston"/>
    <s v="Stark Inc."/>
    <s v=" 626359417"/>
    <s v="john.gmail.com"/>
    <s v="703.942.7685"/>
    <s v="839 Davis Street"/>
    <s v="#N/A"/>
    <s v="USA"/>
    <s v="Wire Transfer"/>
    <s v="Delivered"/>
    <s v="Partial"/>
    <s v="INV/2025/0242"/>
    <s v="Online"/>
    <s v="4"/>
    <x v="0"/>
    <n v="2025"/>
    <s v="Net 30"/>
    <n v="0"/>
    <n v="0.08"/>
    <n v="448.68880000000007"/>
    <n v="6057.2988000000005"/>
    <s v="34.34$"/>
    <s v="FedEx"/>
    <s v="1Z360690085"/>
    <s v="4,27"/>
    <s v="B"/>
    <n v="162"/>
    <s v=""/>
    <m/>
    <x v="1"/>
    <m/>
    <n v="0.15"/>
    <n v="145.37517120000001"/>
    <s v="John Wilson"/>
    <s v="John Wilson"/>
    <m/>
    <n v="4845.8390400000008"/>
    <d v="2027-09-28T00:00:00"/>
    <n v="726.87585600000011"/>
  </r>
  <r>
    <s v="TR-2025243"/>
    <d v="2025-10-12T00:00:00"/>
    <d v="2025-10-17T00:00:00"/>
    <s v="P-032"/>
    <x v="2"/>
    <s v="OfficeHub"/>
    <s v="Software"/>
    <s v="16"/>
    <n v="1479.77"/>
    <n v="0.1"/>
    <n v="23676.32"/>
    <s v="$"/>
    <x v="16"/>
    <x v="14"/>
    <x v="1"/>
    <s v="West"/>
    <s v="Miami"/>
    <s v="Acme Ltd."/>
    <s v="109597773"/>
    <s v="olivia.company.com"/>
    <s v="(879) 396-8296"/>
    <s v="781 Williams Street"/>
    <s v="95447"/>
    <s v="USA"/>
    <s v="Wire Transfer"/>
    <s v="Pending"/>
    <s v="Paid"/>
    <s v="INV/2025/0243"/>
    <s v="Online"/>
    <s v="4"/>
    <x v="11"/>
    <n v="2025"/>
    <s v="15"/>
    <n v="17"/>
    <n v="0.08"/>
    <n v="1894.1056000000001"/>
    <n v="25570.425599999999"/>
    <s v="29.57 $"/>
    <s v="ups"/>
    <s v="FX502235299"/>
    <s v="27"/>
    <s v="A"/>
    <n v="7"/>
    <n v="5"/>
    <m/>
    <x v="1"/>
    <m/>
    <n v="0"/>
    <n v="383.55638399999998"/>
    <s v="   Olivia Williams"/>
    <s v="   Olivia Williams"/>
    <m/>
    <n v="19177.819199999998"/>
    <d v="2028-10-17T00:00:00"/>
    <n v="0"/>
  </r>
  <r>
    <s v="TR-2025244"/>
    <d v="2025-08-12T00:00:00"/>
    <d v="2025-08-25T00:00:00"/>
    <s v="P-057"/>
    <x v="12"/>
    <s v="BestParts"/>
    <s v="Equipment"/>
    <s v="27 "/>
    <n v="741.71"/>
    <n v="0"/>
    <n v="21720.357917570502"/>
    <s v="€"/>
    <x v="13"/>
    <x v="11"/>
    <x v="0"/>
    <s v="South"/>
    <s v="Houston"/>
    <s v=" Wayne Inc"/>
    <s v=" 756802883"/>
    <s v="daniel.yahoo.com"/>
    <s v="656.803.6141"/>
    <s v="756 Taylor Ave"/>
    <s v="99045"/>
    <s v="USA"/>
    <s v="Credit Card"/>
    <s v="Delivered"/>
    <s v="Paid"/>
    <s v="INV/2025/0244"/>
    <s v="Online"/>
    <s v="1"/>
    <x v="1"/>
    <n v="2025"/>
    <s v="Immediate"/>
    <n v="39"/>
    <n v="0.08"/>
    <n v="1737.6286334056401"/>
    <n v="23457.98655097614"/>
    <s v="21,27€"/>
    <s v="Fed Ex"/>
    <s v="DH774151035"/>
    <s v="26.1 "/>
    <s v="A"/>
    <n v="0"/>
    <n v="5"/>
    <m/>
    <x v="1"/>
    <m/>
    <n v="0.25"/>
    <n v="633.36563687635578"/>
    <s v=" Daniel Smith"/>
    <s v=" Daniel Smith"/>
    <m/>
    <n v="21112.187895878527"/>
    <d v="2028-08-25T00:00:00"/>
    <n v="5278.0469739696318"/>
  </r>
  <r>
    <s v="TR-2025245"/>
    <d v="2025-10-18T00:00:00"/>
    <d v="2025-10-27T00:00:00"/>
    <s v="P-043"/>
    <x v="40"/>
    <s v="Global Distrib"/>
    <s v="Equipment"/>
    <s v="14 "/>
    <n v="156.69"/>
    <n v="0.1"/>
    <n v="2193.66"/>
    <s v="$"/>
    <x v="3"/>
    <x v="3"/>
    <x v="0"/>
    <s v="South"/>
    <s v="New York"/>
    <s v="Globex Ltd."/>
    <s v="434573960"/>
    <s v="emily.gmail.com"/>
    <s v="(661) 415-1660"/>
    <s v="693 Williams Street"/>
    <s v="13322"/>
    <s v="USA"/>
    <s v="Cash"/>
    <s v="Cancelled"/>
    <s v="Paid"/>
    <s v="INV/2025/0245"/>
    <s v="Store"/>
    <s v="4"/>
    <x v="11"/>
    <n v="2025"/>
    <s v="Net 60"/>
    <n v="41"/>
    <n v="0.08"/>
    <n v="175.49279999999999"/>
    <n v="2369.1527999999998"/>
    <s v="24.61$"/>
    <s v="ups"/>
    <s v="FX834049237"/>
    <s v="9.8 "/>
    <s v="A"/>
    <n v="390"/>
    <n v="1"/>
    <m/>
    <x v="1"/>
    <m/>
    <n v="0.15"/>
    <n v="56.859667199999997"/>
    <s v="Emily Taylor"/>
    <s v="Emily Taylor"/>
    <m/>
    <n v="1895.32224"/>
    <d v="2026-10-27T00:00:00"/>
    <n v="284.29833600000001"/>
  </r>
  <r>
    <s v="TR-2025246"/>
    <d v="2025-01-20T00:00:00"/>
    <d v="2025-01-22T00:00:00"/>
    <s v="P-026"/>
    <x v="30"/>
    <s v="TechSupply Co"/>
    <s v="Electronics"/>
    <s v="25 "/>
    <n v="1411.27"/>
    <n v="0"/>
    <n v="35281.75"/>
    <s v="$"/>
    <x v="18"/>
    <x v="16"/>
    <x v="2"/>
    <s v="North"/>
    <s v="Los Angeles"/>
    <s v=" Umbrella Inc"/>
    <s v=" 459101804"/>
    <s v="john.gmail.com"/>
    <s v="+1 409 348 6751"/>
    <s v="710 Brown Ave"/>
    <s v="15683"/>
    <s v="USA"/>
    <s v="Credit Card"/>
    <s v="Delivered"/>
    <s v="Unpaid"/>
    <s v="INV/2025/0246"/>
    <s v="Online"/>
    <s v="4"/>
    <x v="3"/>
    <n v="2025"/>
    <s v="Net 30"/>
    <n v="7"/>
    <n v="0.08"/>
    <n v="2822.54"/>
    <n v="38104.29"/>
    <s v="15.33$"/>
    <s v="ups"/>
    <s v="1Z965624971"/>
    <s v="1.7 "/>
    <s v="C"/>
    <n v="421"/>
    <n v="3"/>
    <m/>
    <x v="1"/>
    <m/>
    <n v="0"/>
    <n v="1028.81583"/>
    <s v="John Taylor"/>
    <s v="John Taylor"/>
    <m/>
    <n v="34293.861000000004"/>
    <d v="2027-01-22T00:00:00"/>
    <n v="0"/>
  </r>
  <r>
    <s v="TR-2025247"/>
    <d v="2025-06-26T00:00:00"/>
    <d v="2025-07-02T00:00:00"/>
    <s v="P-059"/>
    <x v="26"/>
    <s v="OfficeHub"/>
    <s v="Furniture"/>
    <s v="23"/>
    <n v="673.61"/>
    <n v="0.05"/>
    <n v="15493.03"/>
    <s v="$"/>
    <x v="24"/>
    <x v="22"/>
    <x v="2"/>
    <s v="West"/>
    <s v="Seattle"/>
    <s v="Umbrella Llc"/>
    <s v=" 158608319"/>
    <s v="laura.yahoo.com"/>
    <s v="+1 493 442 2079"/>
    <s v="654 Taylor St."/>
    <s v="06398"/>
    <s v="USA"/>
    <s v="Credit Card"/>
    <s v="Processing"/>
    <s v="Partial"/>
    <s v="INV/2025/0247"/>
    <s v="Web"/>
    <s v="4"/>
    <x v="4"/>
    <n v="2025"/>
    <s v="Net 30"/>
    <n v="29"/>
    <n v="0.08"/>
    <n v="1239.4424000000001"/>
    <n v="16732.472400000002"/>
    <s v="-$"/>
    <s v="DHL"/>
    <s v="1Z128895119"/>
    <s v="11.0 "/>
    <s v="B"/>
    <n v="234"/>
    <n v="5"/>
    <m/>
    <x v="1"/>
    <m/>
    <n v="0.25"/>
    <n v="426.67804620000004"/>
    <s v="Laura Johnson "/>
    <s v="Laura Johnson "/>
    <m/>
    <n v="14222.601540000001"/>
    <d v="2027-07-02T00:00:00"/>
    <n v="3555.6503850000004"/>
  </r>
  <r>
    <s v="TR-2025248"/>
    <d v="2025-06-21T00:00:00"/>
    <d v="2025-06-25T00:00:00"/>
    <s v="P-015"/>
    <x v="42"/>
    <s v="Global Distrib"/>
    <s v="Software"/>
    <s v="8 "/>
    <n v="545.57000000000005"/>
    <n v="0.05"/>
    <n v="4364.5600000000004"/>
    <s v="$"/>
    <x v="13"/>
    <x v="11"/>
    <x v="0"/>
    <s v="West"/>
    <s v="Houston"/>
    <s v="Wayne Inc"/>
    <s v="684084920"/>
    <s v="sophia.yahoo.com"/>
    <s v="+1 255 257 5793"/>
    <s v="230 Jones St."/>
    <s v="03993"/>
    <s v="USA"/>
    <s v="Credit Card"/>
    <s v="Delivered"/>
    <s v="Paid"/>
    <s v="INV/2025/0248"/>
    <s v="Phone"/>
    <s v="1"/>
    <x v="4"/>
    <n v="2025"/>
    <s v="Immediate"/>
    <n v="12"/>
    <n v="0.08"/>
    <n v="349.16480000000001"/>
    <n v="4713.7248"/>
    <s v="6,92$"/>
    <s v="FedEx"/>
    <s v="DH923409236"/>
    <s v="0,32"/>
    <s v="A"/>
    <n v="456"/>
    <n v="3"/>
    <m/>
    <x v="1"/>
    <m/>
    <n v="0.25"/>
    <n v="113.12939519999999"/>
    <s v="Sophia Smith"/>
    <s v="Sophia Smith"/>
    <m/>
    <n v="3770.97984"/>
    <d v="2027-06-25T00:00:00"/>
    <n v="942.74495999999999"/>
  </r>
  <r>
    <s v="TR-2025249"/>
    <d v="2026-07-28T00:00:00"/>
    <d v="2026-07-31T00:00:00"/>
    <s v="P-013"/>
    <x v="35"/>
    <s v="OfficeHub"/>
    <s v="Electronics"/>
    <s v="24"/>
    <n v="930.42"/>
    <n v="0"/>
    <n v="22330.079999999998"/>
    <s v="$"/>
    <x v="23"/>
    <x v="21"/>
    <x v="1"/>
    <s v="East"/>
    <s v="Boston"/>
    <s v="Stark Inc  "/>
    <s v="346073231"/>
    <s v="james.company.com"/>
    <s v="+1 525 607 6866"/>
    <s v="521 Brown Street"/>
    <s v="93864"/>
    <s v="USA"/>
    <s v="Paypal"/>
    <s v="Cancelled"/>
    <s v="Paid"/>
    <s v="INV/2026/0249"/>
    <s v="Phone"/>
    <s v="2"/>
    <x v="5"/>
    <n v="2026"/>
    <s v="15"/>
    <n v="82"/>
    <n v="0.08"/>
    <n v="1786.4063999999998"/>
    <n v="24116.486399999998"/>
    <s v=" 16$"/>
    <s v="FedEx"/>
    <s v="FX279674026"/>
    <s v="3.52"/>
    <s v="A"/>
    <n v="424"/>
    <n v="4.5"/>
    <m/>
    <x v="1"/>
    <m/>
    <n v="0.15"/>
    <n v="1085.241888"/>
    <s v="James Anderson"/>
    <s v="James Anderson"/>
    <m/>
    <n v="21704.837759999999"/>
    <d v="2029-07-31T00:00:00"/>
    <n v="3255.7256639999996"/>
  </r>
  <r>
    <s v="TR-2025250"/>
    <d v="2026-04-14T00:00:00"/>
    <d v="2026-04-25T00:00:00"/>
    <s v="P-011"/>
    <x v="21"/>
    <s v="OfficeHub"/>
    <s v="Equipment"/>
    <s v="17 "/>
    <n v="858.95"/>
    <n v="0.1"/>
    <n v="14602.150000000001"/>
    <s v="$"/>
    <x v="6"/>
    <x v="6"/>
    <x v="2"/>
    <s v="South"/>
    <s v="Boston"/>
    <s v="Wayne Ltd. "/>
    <s v=" 107349626"/>
    <s v="emily.gmail.com"/>
    <s v="(760) 585-7392"/>
    <s v="20 Taylor Street"/>
    <s v="09495"/>
    <s v="USA"/>
    <s v="Cash"/>
    <s v="Pending"/>
    <s v="Paid"/>
    <s v="INV/2026/0250"/>
    <s v="Online"/>
    <s v="2"/>
    <x v="2"/>
    <n v="2026"/>
    <s v="15"/>
    <n v="16"/>
    <n v="0.08"/>
    <n v="1168.1720000000003"/>
    <n v="15770.322000000002"/>
    <s v="null$"/>
    <s v="ups"/>
    <s v="FX935631399"/>
    <s v="27,58"/>
    <s v="A"/>
    <n v="279"/>
    <n v="1"/>
    <m/>
    <x v="1"/>
    <m/>
    <n v="0"/>
    <n v="378.48772800000006"/>
    <s v="Emily Smith"/>
    <s v="Emily Smith"/>
    <m/>
    <n v="12616.257600000003"/>
    <d v="2027-04-25T00:00:00"/>
    <n v="0"/>
  </r>
  <r>
    <s v="TR-2025251"/>
    <d v="2026-01-03T00:00:00"/>
    <d v="2026-01-16T00:00:00"/>
    <s v="P-004"/>
    <x v="6"/>
    <s v="OfficeHub"/>
    <s v="Electronics"/>
    <s v="34 "/>
    <n v="364.79"/>
    <n v="0.05"/>
    <n v="12402.86"/>
    <s v="$"/>
    <x v="20"/>
    <x v="18"/>
    <x v="3"/>
    <s v="West"/>
    <s v="Chicago"/>
    <s v="   Initech Ltd."/>
    <s v="881129289"/>
    <s v="jessica.yahoo.com"/>
    <s v="548.541.4734"/>
    <s v="352 Miller Blvd"/>
    <s v="02924"/>
    <s v="USA"/>
    <s v="Cash"/>
    <s v="Processing"/>
    <s v="Paid"/>
    <s v="INV/2026/0251"/>
    <s v="Online"/>
    <s v="1"/>
    <x v="3"/>
    <n v="2026"/>
    <s v="Net 30"/>
    <n v="5"/>
    <n v="0.08"/>
    <n v="992.22880000000009"/>
    <n v="13395.088800000001"/>
    <s v="27.98$"/>
    <s v="ups"/>
    <s v="FX656331984"/>
    <s v="1.8 "/>
    <s v="B"/>
    <n v="165"/>
    <n v="4.5"/>
    <m/>
    <x v="1"/>
    <m/>
    <n v="0.15"/>
    <n v="227.71650960000002"/>
    <s v="Jessica Jones"/>
    <s v="Jessica Jones"/>
    <m/>
    <n v="11385.825480000001"/>
    <d v="2028-01-16T00:00:00"/>
    <n v="1707.8738220000002"/>
  </r>
  <r>
    <s v="TR-2025252"/>
    <d v="2025-03-18T00:00:00"/>
    <s v="null"/>
    <s v="P-022"/>
    <x v="33"/>
    <s v="BestParts"/>
    <s v="Furniture"/>
    <s v="33 "/>
    <n v="893.58"/>
    <n v="0"/>
    <n v="31707.677419354841"/>
    <s v="€"/>
    <x v="14"/>
    <x v="12"/>
    <x v="3"/>
    <s v="North"/>
    <s v="Houston"/>
    <s v="Wayne Inc."/>
    <s v="516734395"/>
    <s v="sophia.gmail.com"/>
    <s v="(871) 296-1369"/>
    <s v="799 Brown St."/>
    <s v="11509"/>
    <s v="USA"/>
    <s v="Wire"/>
    <s v="Cancelled"/>
    <s v="Unpaid"/>
    <s v="INV/2025/0252"/>
    <s v="Online"/>
    <s v="1 "/>
    <x v="8"/>
    <n v="2025"/>
    <s v="Immediate"/>
    <n v="89"/>
    <n v="0.08"/>
    <n v="2536.6141935483874"/>
    <n v="34244.291612903231"/>
    <s v="48.90€"/>
    <s v="ups"/>
    <s v="DH923905238"/>
    <s v="2.8 "/>
    <s v="A"/>
    <n v="0"/>
    <n v="2"/>
    <m/>
    <x v="1"/>
    <m/>
    <n v="0.25"/>
    <n v="616.39724903225817"/>
    <s v="Sophia Brown"/>
    <s v="Sophia Brown"/>
    <m/>
    <n v="30819.862451612909"/>
    <s v="Empty"/>
    <n v="7704.9656129032273"/>
  </r>
  <r>
    <s v="TR-2025253"/>
    <d v="2026-06-30T00:00:00"/>
    <d v="2026-08-07T00:00:00"/>
    <s v="P-021"/>
    <x v="27"/>
    <s v="OfficeHub"/>
    <s v="Equipment"/>
    <s v="38"/>
    <n v="1184.7"/>
    <n v="0.1"/>
    <n v="45018.6"/>
    <s v="$"/>
    <x v="3"/>
    <x v="3"/>
    <x v="0"/>
    <s v="East"/>
    <s v="New York"/>
    <s v="   Wayne Inc."/>
    <s v=" 493075040"/>
    <s v="john.gmail.com"/>
    <s v="875.925.5955"/>
    <s v="307 Taylor Street"/>
    <s v="58501"/>
    <s v="USA"/>
    <s v="Credit Card"/>
    <s v="Pending"/>
    <s v="Paid"/>
    <s v="INV/2026/0253"/>
    <s v="Web"/>
    <s v="4"/>
    <x v="4"/>
    <n v="2026"/>
    <s v="Net 30"/>
    <n v="87"/>
    <n v="0.08"/>
    <n v="3601.4879999999998"/>
    <n v="48620.087999999996"/>
    <s v="37.6$"/>
    <s v="FedEx"/>
    <s v="FX500507202"/>
    <s v="21.09"/>
    <s v="B"/>
    <n v="155"/>
    <n v="5"/>
    <m/>
    <x v="1"/>
    <m/>
    <n v="0"/>
    <n v="1166.8821119999998"/>
    <s v="John Anderson"/>
    <s v="John Anderson"/>
    <m/>
    <n v="38896.070399999997"/>
    <d v="2028-08-07T00:00:00"/>
    <n v="0"/>
  </r>
  <r>
    <s v="TR-2025254"/>
    <d v="2025-10-21T00:00:00"/>
    <d v="2025-10-23T00:00:00"/>
    <s v="P-014"/>
    <x v="15"/>
    <s v="OfficeHub"/>
    <s v="Software"/>
    <s v="38 "/>
    <n v="1166.96"/>
    <n v="0.1"/>
    <n v="44344.480000000003"/>
    <s v="$"/>
    <x v="2"/>
    <x v="2"/>
    <x v="1"/>
    <s v="South"/>
    <s v="Boston"/>
    <s v="Acme Llc"/>
    <s v="870894913"/>
    <s v="michael.gmail.com"/>
    <s v="835.754.2583"/>
    <s v="716 Jones Blvd"/>
    <s v="70696"/>
    <s v="USA"/>
    <s v="Credit Card"/>
    <s v="Delivered"/>
    <s v="Paid"/>
    <s v="INV/2025/0254"/>
    <s v="Phone"/>
    <s v="1"/>
    <x v="11"/>
    <n v="2025"/>
    <s v="15"/>
    <n v="13"/>
    <n v="0.08"/>
    <n v="3547.5584000000003"/>
    <n v="47892.038400000005"/>
    <s v="43,81$"/>
    <s v="FedEx"/>
    <s v="FX247737850"/>
    <s v="2.3 "/>
    <s v="A"/>
    <n v="172"/>
    <n v="4.5"/>
    <m/>
    <x v="1"/>
    <m/>
    <n v="0.25"/>
    <n v="1077.570864"/>
    <s v=" Michael Davis"/>
    <s v=" Michael Davis"/>
    <m/>
    <n v="35919.0288"/>
    <d v="2028-10-23T00:00:00"/>
    <n v="8979.7572"/>
  </r>
  <r>
    <s v="TR-2025255"/>
    <d v="2026-01-24T00:00:00"/>
    <d v="2026-01-27T00:00:00"/>
    <s v="P-053"/>
    <x v="5"/>
    <s v="Global Distrib"/>
    <s v="Equipment"/>
    <s v="31 "/>
    <n v="553.22"/>
    <n v="0"/>
    <n v="17149.82"/>
    <s v="$"/>
    <x v="12"/>
    <x v="10"/>
    <x v="2"/>
    <s v="West"/>
    <s v="Houston"/>
    <s v=" Initech Inc"/>
    <s v=" 401296708"/>
    <s v="sophia.yahoo.com"/>
    <s v="+1 354 658 6286"/>
    <s v="425 Johnson Blvd"/>
    <s v="04485"/>
    <s v="USA"/>
    <s v="Paypal"/>
    <s v="Processing"/>
    <s v="Paid"/>
    <s v="INV/2026/0255"/>
    <s v="Web"/>
    <s v="1"/>
    <x v="3"/>
    <n v="2026"/>
    <s v="Net 30"/>
    <n v="0"/>
    <n v="0.08"/>
    <n v="1371.9856"/>
    <n v="18521.8056"/>
    <s v=" 36$"/>
    <s v="DHL"/>
    <s v="1Z234809247"/>
    <s v="11.7 "/>
    <s v="A"/>
    <n v="424"/>
    <n v="4.5"/>
    <m/>
    <x v="1"/>
    <m/>
    <n v="0.15"/>
    <n v="833.48125200000004"/>
    <s v="Sophia Johnson"/>
    <s v="Sophia Johnson"/>
    <m/>
    <n v="16669.625039999999"/>
    <d v="2028-01-27T00:00:00"/>
    <n v="2500.4437559999997"/>
  </r>
  <r>
    <s v="TR-2025256"/>
    <d v="2026-08-23T00:00:00"/>
    <d v="2026-08-29T00:00:00"/>
    <s v="P-060"/>
    <x v="29"/>
    <s v="Global Distrib"/>
    <s v="Electronics"/>
    <s v="8 "/>
    <n v="334.59"/>
    <n v="0"/>
    <n v="2676.72"/>
    <s v="$"/>
    <x v="4"/>
    <x v="4"/>
    <x v="0"/>
    <s v="West"/>
    <s v="Houston"/>
    <s v="Initech Inc."/>
    <s v=" 651118510"/>
    <s v="jessica.yahoo.com"/>
    <s v="(697) 428-7443"/>
    <s v="75 Taylor St."/>
    <s v="67356"/>
    <s v="USA"/>
    <s v="Credit Card"/>
    <s v="Delivered"/>
    <s v="Paid"/>
    <s v="INV/2026/0256"/>
    <s v="Web"/>
    <s v="1"/>
    <x v="1"/>
    <n v="2026"/>
    <s v="Net 60"/>
    <n v="70"/>
    <n v="0.08"/>
    <n v="214.13759999999999"/>
    <n v="2890.8575999999998"/>
    <s v="44.15$"/>
    <s v="ups"/>
    <s v="FX281686979"/>
    <s v="29.31"/>
    <s v="B"/>
    <n v="89"/>
    <n v="4.5"/>
    <m/>
    <x v="1"/>
    <m/>
    <n v="0.25"/>
    <n v="78.053155199999992"/>
    <s v="Jessica Smith"/>
    <s v="Jessica Smith"/>
    <m/>
    <n v="2601.7718399999999"/>
    <d v="2029-08-29T00:00:00"/>
    <n v="650.44295999999997"/>
  </r>
  <r>
    <s v="TR-2025257"/>
    <d v="2026-03-23T00:00:00"/>
    <d v="2026-03-27T00:00:00"/>
    <s v="P-060"/>
    <x v="29"/>
    <s v="Global Distrib"/>
    <s v="Electronics"/>
    <s v="3"/>
    <n v="334.59"/>
    <n v="0.1"/>
    <n v="1003.77"/>
    <s v="$"/>
    <x v="7"/>
    <x v="7"/>
    <x v="2"/>
    <s v="West"/>
    <s v="Miami"/>
    <s v="   Vortex Llc"/>
    <s v=" 351580114"/>
    <s v="john.yahoo.com"/>
    <s v="699.574.5522"/>
    <s v="490 Williams Blvd"/>
    <s v="67424"/>
    <s v="USA"/>
    <s v="Wire"/>
    <s v="Delivered"/>
    <s v="Paid"/>
    <s v="INV/2026/0257"/>
    <s v="Phone"/>
    <s v="1"/>
    <x v="8"/>
    <n v="2026"/>
    <s v="Net 30"/>
    <n v="82"/>
    <n v="0.08"/>
    <n v="80.301599999999993"/>
    <n v="1084.0716"/>
    <s v="39,62$"/>
    <s v="FedEx"/>
    <s v="FX249342441"/>
    <s v="13,56"/>
    <s v="A"/>
    <n v="390"/>
    <n v="5"/>
    <m/>
    <x v="1"/>
    <m/>
    <n v="0.18"/>
    <n v="26.0177184"/>
    <s v="John Davis "/>
    <s v="John Davis "/>
    <m/>
    <n v="867.25728000000004"/>
    <d v="2029-03-27T00:00:00"/>
    <n v="156.10631040000001"/>
  </r>
  <r>
    <s v="TR-2025258"/>
    <d v="2025-09-20T00:00:00"/>
    <d v="2025-02-10T00:00:00"/>
    <s v="P-006"/>
    <x v="36"/>
    <s v="TechSupply Co"/>
    <s v="Equipment"/>
    <s v="35"/>
    <n v="1421.82"/>
    <n v="0.1"/>
    <n v="49763.7"/>
    <s v="$"/>
    <x v="14"/>
    <x v="12"/>
    <x v="3"/>
    <s v="East"/>
    <s v="Houston"/>
    <s v="Acme Inc"/>
    <s v=" 153980106"/>
    <s v="laura.gmail.com"/>
    <s v="+1 905 590 1030"/>
    <s v="949 Anderson Street"/>
    <s v="65889"/>
    <s v="USA"/>
    <s v="Credit Card"/>
    <s v="Processing"/>
    <s v="Paid"/>
    <s v="INV/2025/0258"/>
    <s v="Online"/>
    <s v="1"/>
    <x v="0"/>
    <n v="2025"/>
    <s v="Immediate"/>
    <n v="27"/>
    <n v="0.08"/>
    <n v="3981.096"/>
    <n v="53744.795999999995"/>
    <s v="9.9$"/>
    <s v="ups"/>
    <s v="FX139998193"/>
    <s v="13,8"/>
    <s v="B"/>
    <n v="83"/>
    <n v="1"/>
    <m/>
    <x v="1"/>
    <m/>
    <n v="0"/>
    <n v="859.91673600000001"/>
    <s v="Laura Davis"/>
    <s v="Laura Davis"/>
    <m/>
    <n v="42995.836799999997"/>
    <d v="2026-02-10T00:00:00"/>
    <n v="0"/>
  </r>
  <r>
    <s v="TR-2025259"/>
    <d v="2026-05-09T00:00:00"/>
    <d v="2026-05-15T00:00:00"/>
    <s v="P-022"/>
    <x v="33"/>
    <s v="BestParts"/>
    <s v="Furniture"/>
    <s v="6 "/>
    <n v="893.58"/>
    <n v="0.1"/>
    <n v="5361.4800000000005"/>
    <s v="$"/>
    <x v="9"/>
    <x v="9"/>
    <x v="0"/>
    <s v="North"/>
    <s v="Los Angeles"/>
    <s v="   Umbrella Inc"/>
    <s v="691994688"/>
    <s v="emily.gmail.com"/>
    <s v="(627) 581-1479"/>
    <s v="983 Davis Blvd"/>
    <s v="02664"/>
    <s v="USA"/>
    <s v="Wire Transfer"/>
    <s v="Delivered"/>
    <s v="Paid"/>
    <s v="INV/2026/0259"/>
    <s v="Phone"/>
    <s v="3"/>
    <x v="7"/>
    <n v="2026"/>
    <s v="Immediate"/>
    <n v="3"/>
    <n v="0.08"/>
    <n v="428.91840000000002"/>
    <n v="5790.3984"/>
    <s v="31,02$"/>
    <s v="USPS"/>
    <s v="FX393382315"/>
    <s v="29.07"/>
    <s v="A"/>
    <n v="146"/>
    <n v="2"/>
    <m/>
    <x v="1"/>
    <m/>
    <n v="0.25"/>
    <n v="138.96956159999999"/>
    <s v="Emily Davis"/>
    <s v="Emily Davis"/>
    <m/>
    <n v="4632.3187200000002"/>
    <d v="2027-05-15T00:00:00"/>
    <n v="1158.0796800000001"/>
  </r>
  <r>
    <s v="TR-2025260"/>
    <d v="2026-01-27T00:00:00"/>
    <d v="2026-02-03T00:00:00"/>
    <s v="P-025"/>
    <x v="48"/>
    <s v="TechSupply Co"/>
    <s v="Software"/>
    <s v="37 "/>
    <n v="430.47"/>
    <n v="0"/>
    <n v="15927.390000000001"/>
    <s v="$"/>
    <x v="15"/>
    <x v="13"/>
    <x v="2"/>
    <s v="West"/>
    <s v="Miami"/>
    <s v="Umbrella Inc"/>
    <s v=" 432470535"/>
    <s v="emma.yahoo.com"/>
    <s v="+1 836 761 3464"/>
    <s v="688 Anderson St."/>
    <s v="50609"/>
    <s v="USA"/>
    <s v="Wire"/>
    <s v="Delivered"/>
    <s v="Paid"/>
    <s v="INV/2026/0260"/>
    <s v="Phone"/>
    <s v="2"/>
    <x v="3"/>
    <n v="2026"/>
    <s v="Net 30"/>
    <n v="66"/>
    <n v="0.08"/>
    <n v="1274.1912000000002"/>
    <n v="17201.581200000001"/>
    <s v="41.89$"/>
    <s v="USPS"/>
    <s v="1Z521861842"/>
    <s v="21,43"/>
    <s v="B"/>
    <n v="15"/>
    <n v="4.5"/>
    <m/>
    <x v="1"/>
    <m/>
    <n v="0.15"/>
    <n v="438.6403206"/>
    <s v="Emma Wilson"/>
    <s v="Emma Wilson"/>
    <m/>
    <n v="14621.34402"/>
    <d v="2027-02-03T00:00:00"/>
    <n v="2193.201603"/>
  </r>
  <r>
    <s v="TR-2025261"/>
    <d v="2026-05-12T00:00:00"/>
    <d v="2026-05-15T00:00:00"/>
    <s v="P-041"/>
    <x v="17"/>
    <s v="TechSupply Co"/>
    <s v="Software"/>
    <s v="25 "/>
    <n v="247.64"/>
    <n v="0"/>
    <n v="6191"/>
    <s v="$"/>
    <x v="19"/>
    <x v="17"/>
    <x v="1"/>
    <s v="North"/>
    <s v="Miami"/>
    <s v="Globex Ltd.   "/>
    <s v=" 510274483"/>
    <s v="laura.company.com"/>
    <s v="+1 682 799 8211"/>
    <s v="805 Williams Ave"/>
    <s v="76016"/>
    <s v="USA"/>
    <s v="Wire"/>
    <s v="Delivered"/>
    <s v="Paid"/>
    <s v="INV/2026/0261"/>
    <s v="Online"/>
    <s v="1 "/>
    <x v="7"/>
    <n v="2026"/>
    <s v="Net 60"/>
    <n v="47"/>
    <n v="0.08"/>
    <n v="495.28000000000003"/>
    <n v="6686.28"/>
    <s v="24.90$"/>
    <s v="ups"/>
    <s v="1Z818660473"/>
    <s v="17.48"/>
    <s v="A"/>
    <n v="323"/>
    <n v="1"/>
    <m/>
    <x v="1"/>
    <m/>
    <n v="0.3"/>
    <n v="284.1669"/>
    <s v="Laura Jones  "/>
    <s v="Laura Jones  "/>
    <m/>
    <n v="5683.3379999999997"/>
    <d v="2028-05-15T00:00:00"/>
    <n v="1705.0013999999999"/>
  </r>
  <r>
    <s v="TR-2025262"/>
    <d v="2025-05-25T00:00:00"/>
    <d v="2025-01-06T00:00:00"/>
    <s v="P-020"/>
    <x v="52"/>
    <s v="BestParts"/>
    <s v="Software"/>
    <s v="27"/>
    <n v="635.44000000000005"/>
    <n v="0.1"/>
    <n v="17156.88"/>
    <s v="$"/>
    <x v="21"/>
    <x v="19"/>
    <x v="2"/>
    <s v="North"/>
    <s v="Boston"/>
    <s v="Vortex Ltd."/>
    <s v="155867731"/>
    <s v="michael.yahoo.com"/>
    <s v="+1 922 891 4832"/>
    <s v="512 Brown Blvd"/>
    <s v="29201"/>
    <s v="USA"/>
    <s v="Credit Card"/>
    <s v="Delivered"/>
    <s v="Unpaid"/>
    <s v="INV/2025/0262"/>
    <s v="Web"/>
    <s v="4"/>
    <x v="7"/>
    <n v="2025"/>
    <s v="15"/>
    <n v="52"/>
    <n v="0.08"/>
    <n v="1372.5504000000001"/>
    <n v="18529.430400000001"/>
    <s v="30.62 $"/>
    <s v="ups"/>
    <s v="1Z616570302"/>
    <s v="19.52"/>
    <s v="C"/>
    <n v="206"/>
    <n v="5"/>
    <m/>
    <x v="1"/>
    <m/>
    <n v="0.18"/>
    <n v="277.94145600000002"/>
    <s v=" Michael Wilson"/>
    <s v=" Michael Wilson"/>
    <m/>
    <n v="13897.072800000002"/>
    <d v="2027-01-06T00:00:00"/>
    <n v="2501.4731040000001"/>
  </r>
  <r>
    <s v="TR-2025263"/>
    <d v="2025-03-30T00:00:00"/>
    <s v="null"/>
    <s v="P-043"/>
    <x v="40"/>
    <s v="Global Distrib"/>
    <s v="Equipment"/>
    <s v="28 "/>
    <n v="156.69"/>
    <n v="0.05"/>
    <n v="4717.5483870967737"/>
    <s v="€"/>
    <x v="1"/>
    <x v="1"/>
    <x v="1"/>
    <s v="West"/>
    <s v="Seattle"/>
    <s v="  Initech Inc."/>
    <s v="671697376"/>
    <s v="michael.company.com"/>
    <s v="480.560.9969"/>
    <s v="611 Johnson Blvd"/>
    <s v="02585"/>
    <s v="USA"/>
    <s v="Cash"/>
    <s v="Cancelled"/>
    <s v="Unpaid"/>
    <s v="INV/2025/0263"/>
    <s v="Phone"/>
    <s v="2"/>
    <x v="8"/>
    <n v="2025"/>
    <s v="Net 60"/>
    <n v="0"/>
    <n v="0.08"/>
    <n v="377.40387096774191"/>
    <n v="5094.9522580645153"/>
    <s v="€"/>
    <s v="ups"/>
    <s v="DH236960651"/>
    <s v="11.0 "/>
    <s v="B"/>
    <n v="342"/>
    <n v="5"/>
    <m/>
    <x v="1"/>
    <m/>
    <n v="0.15"/>
    <n v="86.61418838709676"/>
    <s v="Michael Anderson   "/>
    <s v="Michael Anderson   "/>
    <m/>
    <n v="4330.7094193548382"/>
    <s v="Empty"/>
    <n v="649.60641290322576"/>
  </r>
  <r>
    <s v="TR-2025264"/>
    <d v="2025-07-08T00:00:00"/>
    <d v="2025-12-08T00:00:00"/>
    <s v="P-043"/>
    <x v="40"/>
    <s v="Global Distrib"/>
    <s v="Equipment"/>
    <s v="11"/>
    <n v="156.69"/>
    <n v="0.1"/>
    <n v="1723.59"/>
    <s v="$"/>
    <x v="21"/>
    <x v="19"/>
    <x v="2"/>
    <s v="North"/>
    <s v="Boston"/>
    <s v="Acme Inc"/>
    <s v="543176412"/>
    <s v="daniel.yahoo.com"/>
    <s v="844.240.5252"/>
    <s v="868 Brown Ave"/>
    <s v="59902"/>
    <s v="USA"/>
    <s v="Wire Transfer"/>
    <s v="Cancelled"/>
    <s v="Paid"/>
    <s v="INV/2025/0264"/>
    <s v="Online"/>
    <s v="1"/>
    <x v="1"/>
    <n v="2025"/>
    <s v="Immediate"/>
    <n v="1"/>
    <n v="0.08"/>
    <n v="137.88720000000001"/>
    <n v="1861.4771999999998"/>
    <s v=" 31$"/>
    <s v="ups"/>
    <s v="FX135374944"/>
    <s v="24.8 "/>
    <s v="A"/>
    <n v="261"/>
    <n v="4.5"/>
    <m/>
    <x v="1"/>
    <m/>
    <n v="0.18"/>
    <n v="29.783635199999999"/>
    <s v=" Daniel Williams"/>
    <s v=" Daniel Williams"/>
    <m/>
    <n v="1489.1817599999999"/>
    <d v="2026-12-08T00:00:00"/>
    <n v="268.05271679999998"/>
  </r>
  <r>
    <s v="TR-2025265"/>
    <d v="2025-05-07T00:00:00"/>
    <d v="2025-05-19T00:00:00"/>
    <s v="P-021"/>
    <x v="27"/>
    <s v="OfficeHub"/>
    <s v="Equipment"/>
    <s v="29 "/>
    <n v="1184.7"/>
    <n v="0.1"/>
    <n v="34356.300000000003"/>
    <s v="$"/>
    <x v="1"/>
    <x v="1"/>
    <x v="1"/>
    <s v="East"/>
    <s v="Seattle"/>
    <s v="Initech Inc  "/>
    <s v="274699300"/>
    <s v="jessica.gmail.com"/>
    <s v="251.277.7364"/>
    <s v="649 Davis St."/>
    <s v="04496"/>
    <s v="USA"/>
    <s v="Cash"/>
    <s v="Processing"/>
    <s v="Unpaid"/>
    <s v="INV/2025/0265"/>
    <s v="Web"/>
    <s v="3"/>
    <x v="7"/>
    <n v="2025"/>
    <s v="Immediate"/>
    <n v="40"/>
    <n v="0.08"/>
    <n v="2748.5040000000004"/>
    <n v="37104.804000000004"/>
    <s v="13,29$"/>
    <s v="ups"/>
    <s v="FX921873852"/>
    <s v="8.33"/>
    <s v="B"/>
    <n v="298"/>
    <n v="3"/>
    <m/>
    <x v="1"/>
    <m/>
    <n v="0"/>
    <n v="593.67686400000002"/>
    <s v=" Jessica Johnson   "/>
    <s v=" Jessica Johnson   "/>
    <m/>
    <n v="29683.843200000003"/>
    <d v="2027-05-19T00:00:00"/>
    <n v="0"/>
  </r>
  <r>
    <s v="TR-2025266"/>
    <d v="2026-06-17T00:00:00"/>
    <d v="2026-06-26T00:00:00"/>
    <s v="P-029"/>
    <x v="38"/>
    <s v="OfficeHub"/>
    <s v="Software"/>
    <s v="38"/>
    <n v="1375.64"/>
    <n v="0"/>
    <n v="52274.320000000007"/>
    <s v="$"/>
    <x v="1"/>
    <x v="1"/>
    <x v="1"/>
    <s v="South"/>
    <s v="Seattle"/>
    <s v="Wayne Inc."/>
    <s v=" 692125431"/>
    <s v="david.gmail.com"/>
    <s v="597.999.1622"/>
    <s v="619 Jones St."/>
    <s v="64253"/>
    <s v="USA"/>
    <s v="Cash"/>
    <s v="Delivered"/>
    <s v="Unpaid"/>
    <s v="INV/2026/0266"/>
    <s v="Web"/>
    <s v="4"/>
    <x v="4"/>
    <n v="2026"/>
    <s v="15"/>
    <n v="0"/>
    <n v="0.08"/>
    <n v="4181.9456000000009"/>
    <n v="56456.265600000006"/>
    <s v="7.87$"/>
    <s v="Fed Ex"/>
    <s v="DH573588023"/>
    <s v="9.61"/>
    <s v="A"/>
    <n v="193"/>
    <n v="5"/>
    <m/>
    <x v="1"/>
    <m/>
    <n v="0"/>
    <n v="959.75651520000019"/>
    <s v="David Davis"/>
    <s v="David Davis"/>
    <m/>
    <n v="47987.825760000007"/>
    <d v="2028-06-26T00:00:00"/>
    <n v="0"/>
  </r>
  <r>
    <s v="TR-2025267"/>
    <d v="2026-01-19T00:00:00"/>
    <d v="2026-01-24T00:00:00"/>
    <s v="P-041"/>
    <x v="17"/>
    <s v="TechSupply Co"/>
    <s v="Software"/>
    <s v="20"/>
    <n v="247.64"/>
    <n v="0.1"/>
    <n v="5354.3783783783774"/>
    <s v="€"/>
    <x v="2"/>
    <x v="2"/>
    <x v="1"/>
    <s v="North"/>
    <s v="Boston"/>
    <s v="Initech Inc"/>
    <s v="753920561"/>
    <s v="laura.yahoo.com"/>
    <s v="689.297.2195"/>
    <s v="677 Miller Blvd"/>
    <s v="74658"/>
    <s v="USA"/>
    <s v="Paypal"/>
    <s v="Processing"/>
    <s v="Unpaid"/>
    <s v="INV/2026/0267"/>
    <s v="Store"/>
    <s v="1 "/>
    <x v="3"/>
    <n v="2026"/>
    <s v="Net 30"/>
    <n v="65"/>
    <n v="0.08"/>
    <n v="428.35027027027019"/>
    <n v="5782.7286486486473"/>
    <s v="25.76 €"/>
    <s v="ups"/>
    <s v="DH327226700"/>
    <s v="9.7 "/>
    <s v="A"/>
    <n v="237"/>
    <n v="5"/>
    <m/>
    <x v="1"/>
    <m/>
    <n v="0"/>
    <n v="130.11139459459454"/>
    <s v="Laura Smith"/>
    <s v="Laura Smith"/>
    <m/>
    <n v="4337.0464864864853"/>
    <d v="2028-01-24T00:00:00"/>
    <n v="0"/>
  </r>
  <r>
    <s v="TR-2025268"/>
    <d v="2026-07-18T00:00:00"/>
    <d v="2026-07-30T00:00:00"/>
    <s v="P-019"/>
    <x v="20"/>
    <s v="BestParts"/>
    <s v="Software"/>
    <s v="31 "/>
    <n v="251.62"/>
    <n v="0"/>
    <n v="7800.22"/>
    <s v="$"/>
    <x v="10"/>
    <x v="9"/>
    <x v="0"/>
    <s v="North"/>
    <s v="Los Angeles"/>
    <s v="Globex Inc"/>
    <s v="106227104"/>
    <s v="jessica.company.com"/>
    <s v="524.800.9076"/>
    <s v="998 Williams Ave"/>
    <s v="58112"/>
    <s v="USA"/>
    <s v="Credit Card"/>
    <s v="Pending"/>
    <s v="Unpaid"/>
    <s v="INV/2026/0268"/>
    <s v="Online"/>
    <s v="4"/>
    <x v="5"/>
    <n v="2026"/>
    <s v="Immediate"/>
    <n v="52"/>
    <n v="0.08"/>
    <n v="624.01760000000002"/>
    <n v="8424.2376000000004"/>
    <s v="47.65$"/>
    <s v="USPS"/>
    <s v="1Z687233972"/>
    <s v="25,02"/>
    <s v="A"/>
    <n v="254"/>
    <n v="4"/>
    <m/>
    <x v="1"/>
    <m/>
    <n v="0.3"/>
    <n v="214.81805879999999"/>
    <s v="   Jessica Anderson"/>
    <s v="   Jessica Anderson"/>
    <m/>
    <n v="7160.60196"/>
    <d v="2028-07-30T00:00:00"/>
    <n v="2148.1805879999997"/>
  </r>
  <r>
    <s v="TR-2025269"/>
    <d v="2025-01-24T00:00:00"/>
    <d v="2025-02-07T00:00:00"/>
    <s v="P-010"/>
    <x v="32"/>
    <s v="TechSupply Co"/>
    <s v="Equipment"/>
    <s v="25"/>
    <n v="1225.1099999999999"/>
    <n v="0.1"/>
    <n v="30627.749999999996"/>
    <s v="$"/>
    <x v="22"/>
    <x v="20"/>
    <x v="3"/>
    <s v="East"/>
    <s v="Houston"/>
    <s v="Wayne Llc"/>
    <s v="466989656"/>
    <s v="michael.company.com"/>
    <s v="(508) 361-6759"/>
    <s v="689 Brown Street"/>
    <s v="32540"/>
    <s v="USA"/>
    <s v="Cash"/>
    <s v="Delivered"/>
    <s v="Paid"/>
    <s v="INV/2025/0269"/>
    <s v="Online"/>
    <s v="1"/>
    <x v="3"/>
    <n v="2025"/>
    <s v="Net 30"/>
    <n v="0"/>
    <n v="0.08"/>
    <n v="2450.2199999999998"/>
    <n v="33077.969999999994"/>
    <s v="11.52$"/>
    <s v="Fed Ex"/>
    <s v="DH572440898"/>
    <s v="23.6 "/>
    <s v="A"/>
    <n v="432"/>
    <n v="5"/>
    <m/>
    <x v="1"/>
    <m/>
    <n v="0.15"/>
    <n v="1323.1188"/>
    <s v="Michael Wilson"/>
    <s v="Michael Wilson"/>
    <m/>
    <n v="26462.375999999997"/>
    <d v="2027-02-07T00:00:00"/>
    <n v="3969.3563999999992"/>
  </r>
  <r>
    <s v="TR-2025270"/>
    <d v="2026-07-06T00:00:00"/>
    <d v="2026-07-15T00:00:00"/>
    <s v="P-032"/>
    <x v="2"/>
    <s v="OfficeHub"/>
    <s v="Software"/>
    <s v="8 "/>
    <n v="1479.77"/>
    <n v="0.1"/>
    <n v="12674.689507494646"/>
    <s v="€"/>
    <x v="11"/>
    <x v="2"/>
    <x v="1"/>
    <s v="North"/>
    <s v="Boston"/>
    <s v="  Acme Inc"/>
    <s v=" 176390816"/>
    <s v="sophia.yahoo.com"/>
    <s v="(776) 908-8550"/>
    <s v="920 Williams St."/>
    <s v="75816"/>
    <s v="USA"/>
    <s v="Paypal"/>
    <s v="Delivered"/>
    <s v="Unpaid"/>
    <s v="INV/2026/0270"/>
    <s v="Web"/>
    <s v="4"/>
    <x v="5"/>
    <n v="2026"/>
    <s v="Net 30"/>
    <n v="0"/>
    <n v="0.08"/>
    <n v="1013.9751605995717"/>
    <n v="13688.664668094218"/>
    <s v="20.53€"/>
    <s v="ups"/>
    <s v="FX797581089"/>
    <s v="18,44"/>
    <s v="B"/>
    <n v="104"/>
    <n v="4.5"/>
    <m/>
    <x v="1"/>
    <m/>
    <n v="0"/>
    <n v="307.99495503211983"/>
    <s v="   Sophia Smith"/>
    <s v="   Sophia Smith"/>
    <m/>
    <n v="10266.498501070662"/>
    <d v="2029-07-15T00:00:00"/>
    <n v="0"/>
  </r>
  <r>
    <s v="TR-2025271"/>
    <d v="2025-01-03T00:00:00"/>
    <d v="2025-01-16T00:00:00"/>
    <s v="P-036"/>
    <x v="57"/>
    <s v="BestParts"/>
    <s v="Equipment"/>
    <s v="16 "/>
    <n v="557.03"/>
    <n v="0"/>
    <n v="8912.48"/>
    <s v="$"/>
    <x v="9"/>
    <x v="9"/>
    <x v="0"/>
    <s v="North"/>
    <s v="Los Angeles"/>
    <s v="Umbrella Inc"/>
    <s v=" 482804305"/>
    <s v="robert.company.com"/>
    <s v="415.480.9290"/>
    <s v="872 Smith Ave"/>
    <s v="20996"/>
    <s v="USA"/>
    <s v="Credit Card"/>
    <s v="Pending"/>
    <s v="Paid"/>
    <s v="INV/2025/0271"/>
    <s v="Online"/>
    <s v="3"/>
    <x v="3"/>
    <n v="2025"/>
    <s v="15"/>
    <n v="63"/>
    <n v="0.08"/>
    <n v="712.99839999999995"/>
    <n v="9625.4784"/>
    <s v="10.98$"/>
    <s v="ups"/>
    <s v="1Z117361357"/>
    <s v="29,24"/>
    <s v="B"/>
    <n v="252"/>
    <n v="4.5"/>
    <m/>
    <x v="1"/>
    <m/>
    <n v="0.3"/>
    <n v="259.88791680000003"/>
    <s v="  Robert Anderson"/>
    <s v="  Robert Anderson"/>
    <m/>
    <n v="8662.9305600000007"/>
    <d v="2027-01-16T00:00:00"/>
    <n v="2598.8791679999999"/>
  </r>
  <r>
    <s v="TR-2025272"/>
    <d v="2026-03-31T00:00:00"/>
    <d v="2026-03-04T00:00:00"/>
    <s v="P-055"/>
    <x v="19"/>
    <s v="BestParts"/>
    <s v="Office"/>
    <s v="39"/>
    <n v="921.78"/>
    <n v="0.1"/>
    <n v="38655.290322580644"/>
    <s v="€"/>
    <x v="9"/>
    <x v="9"/>
    <x v="0"/>
    <s v="West"/>
    <s v="Los Angeles"/>
    <s v="   Globex Llc"/>
    <s v="454762556"/>
    <s v="michael.gmail.com"/>
    <s v="339.608.1800"/>
    <s v="675 Anderson Ave"/>
    <s v="84623"/>
    <s v="USA"/>
    <s v="Wire Transfer"/>
    <s v="Cancelled"/>
    <s v="Paid"/>
    <s v="INV/2026/0272"/>
    <s v="Phone"/>
    <s v="1"/>
    <x v="8"/>
    <n v="2026"/>
    <s v="15"/>
    <n v="0"/>
    <n v="0.08"/>
    <n v="3092.4232258064517"/>
    <n v="41747.713548387095"/>
    <s v="48.76 €"/>
    <s v="ups"/>
    <s v="1Z696460746"/>
    <s v="14.3 "/>
    <s v="B"/>
    <n v="190"/>
    <n v="1"/>
    <m/>
    <x v="1"/>
    <m/>
    <n v="0.3"/>
    <n v="1001.9451251612904"/>
    <s v="Michael Williams   "/>
    <s v="Michael Williams   "/>
    <m/>
    <n v="33398.170838709681"/>
    <d v="2028-03-04T00:00:00"/>
    <n v="10019.451251612903"/>
  </r>
  <r>
    <s v="TR-2025273"/>
    <d v="2025-08-05T00:00:00"/>
    <d v="2025-08-14T00:00:00"/>
    <s v="P-033"/>
    <x v="0"/>
    <s v="Global Distrib"/>
    <s v="Office"/>
    <s v="9 "/>
    <n v="129.06"/>
    <n v="0"/>
    <n v="1161.54"/>
    <s v="$"/>
    <x v="16"/>
    <x v="14"/>
    <x v="1"/>
    <s v="South"/>
    <s v="Miami"/>
    <s v="Initech Inc   "/>
    <s v=" 393237241"/>
    <s v="daniel.yahoo.com"/>
    <s v="(954) 910-6368"/>
    <s v="221 Brown Ave"/>
    <s v="24642"/>
    <s v="USA"/>
    <s v="Paypal"/>
    <s v="Delivered"/>
    <s v="Unpaid"/>
    <s v="INV/2025/0273"/>
    <s v="Store"/>
    <s v="1"/>
    <x v="1"/>
    <n v="2025"/>
    <s v="Net 30"/>
    <n v="69"/>
    <n v="0.08"/>
    <n v="92.923199999999994"/>
    <n v="1254.4631999999999"/>
    <s v="42.57 $"/>
    <s v="ups"/>
    <s v="DH300600180"/>
    <s v="16.84"/>
    <s v="B"/>
    <n v="231"/>
    <n v="2"/>
    <m/>
    <x v="1"/>
    <m/>
    <n v="0.25"/>
    <n v="22.5803376"/>
    <s v=" Daniel Miller"/>
    <s v=" Daniel Miller"/>
    <m/>
    <n v="1129.0168799999999"/>
    <d v="2027-08-14T00:00:00"/>
    <n v="282.25421999999998"/>
  </r>
  <r>
    <s v="TR-2025274"/>
    <d v="2026-06-10T00:00:00"/>
    <d v="2026-06-13T00:00:00"/>
    <s v="P-027"/>
    <x v="44"/>
    <s v="Global Distrib"/>
    <s v="Equipment"/>
    <s v="32"/>
    <n v="180.06"/>
    <n v="0.1"/>
    <n v="5761.92"/>
    <s v="$"/>
    <x v="8"/>
    <x v="8"/>
    <x v="2"/>
    <s v="North"/>
    <s v="Houston"/>
    <s v="Vortex Inc."/>
    <s v=" 576491065"/>
    <s v="sarah.gmail.com"/>
    <s v="(929) 957-9943"/>
    <s v="417 Williams Ave"/>
    <s v="76643"/>
    <s v="USA"/>
    <s v="Credit Card"/>
    <s v="Delivered"/>
    <s v="Paid"/>
    <s v="INV/2026/0274"/>
    <s v="Web"/>
    <s v="3"/>
    <x v="4"/>
    <n v="2026"/>
    <s v="Immediate"/>
    <n v="0"/>
    <n v="0.08"/>
    <n v="460.95359999999999"/>
    <n v="6222.8735999999999"/>
    <s v="11,65$"/>
    <s v="USPS"/>
    <s v="FX116967809"/>
    <s v="14.9"/>
    <s v="B"/>
    <n v="490"/>
    <n v="5"/>
    <m/>
    <x v="1"/>
    <m/>
    <n v="0.25"/>
    <n v="248.91494400000002"/>
    <s v="Sarah Anderson"/>
    <s v="Sarah Anderson"/>
    <m/>
    <n v="4978.2988800000003"/>
    <d v="2028-06-13T00:00:00"/>
    <n v="1244.5747200000001"/>
  </r>
  <r>
    <s v="TR-2025275"/>
    <d v="2026-06-10T00:00:00"/>
    <d v="2026-11-06T00:00:00"/>
    <s v="P-055"/>
    <x v="19"/>
    <s v="BestParts"/>
    <s v="Office"/>
    <s v="10 "/>
    <n v="921.78"/>
    <n v="0.1"/>
    <n v="9217.7999999999993"/>
    <s v="$"/>
    <x v="0"/>
    <x v="0"/>
    <x v="0"/>
    <s v="North"/>
    <s v="Chicago"/>
    <s v="Stark Llc  "/>
    <s v="851653450"/>
    <s v="sarah.yahoo.com"/>
    <s v="(330) 890-5284"/>
    <s v="735 Smith Ave"/>
    <s v="39254"/>
    <s v="USA"/>
    <s v="Wire"/>
    <s v="Delivered"/>
    <s v="Paid"/>
    <s v="INV/2026/0275"/>
    <s v="Store"/>
    <s v="2"/>
    <x v="4"/>
    <n v="2026"/>
    <s v="Net 60"/>
    <n v="0"/>
    <n v="0.08"/>
    <n v="737.42399999999998"/>
    <n v="9955.2239999999983"/>
    <s v="6.72$"/>
    <s v="FedEx"/>
    <s v="DH298477476"/>
    <s v="14,32"/>
    <s v="C"/>
    <n v="290"/>
    <n v="5"/>
    <m/>
    <x v="1"/>
    <m/>
    <n v="0.18"/>
    <n v="238.92537599999994"/>
    <s v="Sarah Anderson"/>
    <s v="Sarah Anderson"/>
    <m/>
    <n v="7964.1791999999987"/>
    <d v="2028-11-06T00:00:00"/>
    <n v="1433.5522559999997"/>
  </r>
  <r>
    <s v="TR-2025276"/>
    <d v="2026-01-11T00:00:00"/>
    <d v="2026-01-18T00:00:00"/>
    <s v="P-011"/>
    <x v="21"/>
    <s v="OfficeHub"/>
    <s v="Equipment"/>
    <s v="15"/>
    <n v="858.95"/>
    <n v="0.1"/>
    <n v="13928.918918918918"/>
    <s v="€"/>
    <x v="9"/>
    <x v="9"/>
    <x v="0"/>
    <s v="South"/>
    <s v="Los Angeles"/>
    <s v="Wayne Inc"/>
    <s v="409679581"/>
    <s v="sophia.company.com"/>
    <s v="707.868.2366"/>
    <s v="546 Miller Blvd"/>
    <m/>
    <s v="USA"/>
    <s v="Wire"/>
    <s v="Delivered"/>
    <s v="Partial"/>
    <s v="INV/2026/0276"/>
    <s v="Online"/>
    <s v="3"/>
    <x v="3"/>
    <n v="2026"/>
    <s v="Net 60"/>
    <n v="0"/>
    <n v="0.08"/>
    <n v="1114.3135135135135"/>
    <n v="15043.232432432433"/>
    <s v="32.05€"/>
    <s v="DHL"/>
    <s v="DH257386306"/>
    <s v="12.34"/>
    <s v="C"/>
    <n v="146"/>
    <n v="1"/>
    <m/>
    <x v="1"/>
    <m/>
    <n v="0.3"/>
    <n v="361.03757837837838"/>
    <s v="Sophia Brown"/>
    <s v="Sophia Brown"/>
    <m/>
    <n v="12034.585945945946"/>
    <d v="2027-01-18T00:00:00"/>
    <n v="3610.3757837837838"/>
  </r>
  <r>
    <s v="TR-2025277"/>
    <d v="2025-12-20T00:00:00"/>
    <d v="2025-12-28T00:00:00"/>
    <s v="P-009"/>
    <x v="11"/>
    <s v="BestParts"/>
    <s v="Office"/>
    <s v="26 "/>
    <n v="813.33"/>
    <n v="0.1"/>
    <n v="21146.58"/>
    <s v="$"/>
    <x v="6"/>
    <x v="6"/>
    <x v="2"/>
    <s v="North"/>
    <s v="Boston"/>
    <s v="Stark Llc   "/>
    <s v="917666940"/>
    <s v="john.yahoo.com"/>
    <s v="425.555.1784"/>
    <s v="591 Williams Blvd"/>
    <s v="40233"/>
    <s v="USA"/>
    <s v="Wire Transfer"/>
    <s v="Delivered"/>
    <s v="Unpaid"/>
    <s v="INV/2025/0277"/>
    <s v="Store"/>
    <s v="1"/>
    <x v="9"/>
    <n v="2025"/>
    <s v="Net 30"/>
    <n v="75"/>
    <n v="0.08"/>
    <n v="1691.7264000000002"/>
    <n v="22838.306400000001"/>
    <s v="28.54$"/>
    <s v="DHL"/>
    <s v="DH271491351"/>
    <s v="23,32"/>
    <s v="B"/>
    <n v="106"/>
    <n v="5"/>
    <m/>
    <x v="1"/>
    <m/>
    <n v="0"/>
    <n v="548.11935360000007"/>
    <s v="John Williams"/>
    <s v="John Williams"/>
    <m/>
    <n v="18270.645120000001"/>
    <d v="2028-12-28T00:00:00"/>
    <n v="0"/>
  </r>
  <r>
    <s v="TR-2025278"/>
    <d v="2026-03-06T00:00:00"/>
    <d v="2026-03-16T00:00:00"/>
    <s v="P-007"/>
    <x v="43"/>
    <s v="OfficeHub"/>
    <s v="Software"/>
    <s v="30"/>
    <n v="79.14"/>
    <n v="0.1"/>
    <n v="2374.1999999999998"/>
    <s v="$"/>
    <x v="15"/>
    <x v="13"/>
    <x v="2"/>
    <s v="West"/>
    <s v="Miami"/>
    <s v="Initech Inc"/>
    <s v=" 903643173"/>
    <s v="N/A"/>
    <s v="(829) 316-5555"/>
    <s v="470 Brown St."/>
    <s v="45613"/>
    <s v="USA"/>
    <s v="Wire"/>
    <s v="Delivered"/>
    <s v="Partial"/>
    <s v="INV/2026/0278"/>
    <s v="Online"/>
    <s v="3"/>
    <x v="8"/>
    <n v="2026"/>
    <s v="15"/>
    <n v="0"/>
    <n v="0.08"/>
    <n v="189.93599999999998"/>
    <n v="2564.136"/>
    <s v="-$"/>
    <s v="DHL"/>
    <s v="FX727050515"/>
    <s v="15.8 "/>
    <s v="B"/>
    <n v="38"/>
    <n v="5"/>
    <m/>
    <x v="1"/>
    <m/>
    <n v="0.3"/>
    <n v="57.693059999999996"/>
    <s v="David Wilson"/>
    <s v="David Wilson"/>
    <m/>
    <n v="1923.1019999999999"/>
    <d v="2028-03-16T00:00:00"/>
    <n v="576.93059999999991"/>
  </r>
  <r>
    <s v="TR-2025279"/>
    <d v="2025-04-01T00:00:00"/>
    <d v="2025-04-10T00:00:00"/>
    <s v="P-033"/>
    <x v="0"/>
    <s v="Global Distrib"/>
    <s v="Office"/>
    <s v="19 "/>
    <n v="129.06"/>
    <n v="0.1"/>
    <n v="2639.5479009687833"/>
    <s v="€"/>
    <x v="12"/>
    <x v="10"/>
    <x v="2"/>
    <s v="West"/>
    <s v="Houston"/>
    <s v=" Vortex Inc"/>
    <s v=" 281224845"/>
    <s v="ryan.gmail.com"/>
    <s v="+1 748 941 4372"/>
    <s v="763 Wilson Ave"/>
    <s v="77894"/>
    <s v="USA"/>
    <s v="Cash"/>
    <s v="Delivered"/>
    <s v="Unpaid"/>
    <s v="INV/2025/0279"/>
    <s v="Online"/>
    <s v="3"/>
    <x v="2"/>
    <n v="2025"/>
    <s v="15"/>
    <n v="20"/>
    <n v="0.08"/>
    <n v="211.16383207750266"/>
    <n v="2850.7117330462861"/>
    <s v=" 21€"/>
    <s v="USPS"/>
    <s v="DH322998341"/>
    <s v="15.9 "/>
    <s v="C"/>
    <n v="0"/>
    <n v="5"/>
    <m/>
    <x v="1"/>
    <m/>
    <n v="0.15"/>
    <n v="114.02846932185146"/>
    <s v="Ryan Anderson   "/>
    <s v="Ryan Anderson   "/>
    <m/>
    <n v="2280.5693864370292"/>
    <d v="2027-04-10T00:00:00"/>
    <n v="342.08540796555434"/>
  </r>
  <r>
    <s v="TR-2025280"/>
    <d v="2025-02-12T00:00:00"/>
    <d v="2025-02-26T00:00:00"/>
    <s v="P-003"/>
    <x v="56"/>
    <s v="TechSupply Co"/>
    <s v="Office"/>
    <s v="38 "/>
    <n v="61.06"/>
    <n v="0"/>
    <n v="2320.2800000000002"/>
    <s v="$"/>
    <x v="19"/>
    <x v="17"/>
    <x v="1"/>
    <s v="West"/>
    <s v="Miami"/>
    <s v="Acme Llc"/>
    <s v=" 511844782"/>
    <s v="robert.yahoo.com"/>
    <s v="549.330.1145"/>
    <s v="504 Jones Ave"/>
    <s v="30337"/>
    <s v="USA"/>
    <s v="Cash"/>
    <s v="Delivered"/>
    <s v="Paid"/>
    <s v="INV/2025/0280"/>
    <s v="Online"/>
    <s v="2"/>
    <x v="6"/>
    <n v="2025"/>
    <s v="Net 60"/>
    <n v="0"/>
    <n v="0.08"/>
    <n v="185.62240000000003"/>
    <n v="2505.9024000000004"/>
    <s v="25.47 $"/>
    <s v="USPS"/>
    <s v="DH464803737"/>
    <s v="14,49"/>
    <s v="B"/>
    <n v="14"/>
    <s v=""/>
    <m/>
    <x v="1"/>
    <m/>
    <n v="0.18"/>
    <n v="112.76560800000003"/>
    <s v="Robert Taylor   "/>
    <s v="Robert Taylor   "/>
    <m/>
    <n v="2255.3121600000004"/>
    <d v="2026-02-26T00:00:00"/>
    <n v="405.95618880000006"/>
  </r>
  <r>
    <s v="TR-2025281"/>
    <d v="2025-11-29T00:00:00"/>
    <d v="2025-06-12T00:00:00"/>
    <s v="P-029"/>
    <x v="38"/>
    <s v="OfficeHub"/>
    <s v="Software"/>
    <s v="29"/>
    <n v="1375.64"/>
    <n v="0.1"/>
    <n v="39893.560000000005"/>
    <s v="$"/>
    <x v="22"/>
    <x v="20"/>
    <x v="3"/>
    <s v="North"/>
    <s v="Houston"/>
    <s v=" Stark Llc"/>
    <s v="471007897"/>
    <s v="sarah.gmail.com"/>
    <s v="673.627.4903"/>
    <s v="288 Johnson Blvd"/>
    <s v="93780"/>
    <s v="USA"/>
    <s v="Wire Transfer"/>
    <s v="Delivered"/>
    <s v="Paid"/>
    <s v="INV/2025/0281"/>
    <s v="Store"/>
    <s v="3"/>
    <x v="10"/>
    <n v="2025"/>
    <s v="Net 60"/>
    <n v="75"/>
    <n v="0.08"/>
    <n v="3191.4848000000006"/>
    <n v="43085.044800000003"/>
    <s v="20.21$"/>
    <s v="Fed Ex"/>
    <s v="DH866014094"/>
    <s v="16.8 "/>
    <s v="B"/>
    <n v="0"/>
    <n v="5"/>
    <m/>
    <x v="1"/>
    <m/>
    <n v="0.15"/>
    <n v="1615.6891800000003"/>
    <s v="Sarah Anderson"/>
    <s v="Sarah Anderson"/>
    <m/>
    <n v="32313.783600000002"/>
    <d v="2027-06-12T00:00:00"/>
    <n v="4847.06754"/>
  </r>
  <r>
    <s v="TR-2025282"/>
    <d v="2026-04-02T00:00:00"/>
    <d v="2026-12-04T00:00:00"/>
    <s v="P-005"/>
    <x v="46"/>
    <s v="BestParts"/>
    <s v="Electronics"/>
    <s v="15"/>
    <n v="1241.1400000000001"/>
    <n v="0.1"/>
    <n v="18617.100000000002"/>
    <s v="$"/>
    <x v="7"/>
    <x v="7"/>
    <x v="2"/>
    <s v="North"/>
    <s v="Miami"/>
    <s v="   Wayne Llc   "/>
    <s v="339407231"/>
    <s v="sarah.company.com"/>
    <s v="(519) 984-6670"/>
    <s v="705 Wilson Street"/>
    <s v="58811"/>
    <s v="USA"/>
    <s v="Wire Transfer"/>
    <s v="Processing"/>
    <s v="Unpaid"/>
    <s v="INV/2026/0282"/>
    <s v="Phone"/>
    <s v="1"/>
    <x v="2"/>
    <n v="2026"/>
    <s v="Immediate"/>
    <n v="70"/>
    <n v="0.08"/>
    <n v="1489.3680000000002"/>
    <n v="20106.468000000001"/>
    <s v=" 2$"/>
    <s v="DHL"/>
    <s v="FX288009654"/>
    <s v="1.79"/>
    <s v="A"/>
    <n v="24"/>
    <n v="5"/>
    <m/>
    <x v="1"/>
    <m/>
    <n v="0.15"/>
    <n v="482.55523200000005"/>
    <s v=" Sarah Smith "/>
    <s v=" Sarah Smith "/>
    <m/>
    <n v="16085.174400000002"/>
    <d v="2027-12-04T00:00:00"/>
    <n v="2412.7761600000003"/>
  </r>
  <r>
    <s v="TR-2025283"/>
    <d v="2025-06-10T00:00:00"/>
    <d v="2025-06-13T00:00:00"/>
    <s v="P-018"/>
    <x v="28"/>
    <s v="Global Distrib"/>
    <s v="Equipment"/>
    <s v="20"/>
    <n v="1470.36"/>
    <n v="0.1"/>
    <n v="29407.199999999997"/>
    <s v="$"/>
    <x v="0"/>
    <x v="0"/>
    <x v="0"/>
    <s v="East"/>
    <s v="Chicago"/>
    <s v="Stark Inc"/>
    <s v=" 509974858"/>
    <s v="laura.company.com"/>
    <s v="250.663.9666"/>
    <s v="132 Williams Ave"/>
    <s v="02150"/>
    <s v="USA"/>
    <s v="Wire Transfer"/>
    <s v="Delivered"/>
    <s v="Paid"/>
    <s v="INV/2025/0283"/>
    <s v="Online"/>
    <s v="1 "/>
    <x v="4"/>
    <n v="2025"/>
    <s v="Net 30"/>
    <n v="14"/>
    <n v="0.08"/>
    <n v="2352.576"/>
    <n v="31759.775999999998"/>
    <s v="20.00 $"/>
    <s v="ups"/>
    <s v="FX446237872"/>
    <s v="12,65"/>
    <s v="A"/>
    <n v="340"/>
    <n v="5"/>
    <m/>
    <x v="1"/>
    <m/>
    <n v="0.3"/>
    <n v="762.23462400000005"/>
    <s v="   Laura Williams"/>
    <s v="   Laura Williams"/>
    <m/>
    <n v="25407.820800000001"/>
    <d v="2026-06-13T00:00:00"/>
    <n v="7622.3462399999999"/>
  </r>
  <r>
    <s v="TR-2025284"/>
    <d v="2025-10-07T00:00:00"/>
    <d v="2025-07-17T00:00:00"/>
    <s v="P-030"/>
    <x v="47"/>
    <s v="BestParts"/>
    <s v="Office"/>
    <s v="4"/>
    <n v="676.54"/>
    <n v="0"/>
    <n v="2897.3875802997854"/>
    <s v="€"/>
    <x v="19"/>
    <x v="17"/>
    <x v="1"/>
    <s v="East"/>
    <s v="Miami"/>
    <s v="Umbrella Inc"/>
    <s v=" 728214802"/>
    <s v="olivia.gmail.com"/>
    <s v="911.852.1818"/>
    <s v="963 Jones Street"/>
    <s v="46845"/>
    <s v="USA"/>
    <s v="Credit Card"/>
    <s v="Delivered"/>
    <s v="Partial"/>
    <s v="INV/2025/0284"/>
    <s v="Online"/>
    <s v="1 "/>
    <x v="5"/>
    <n v="2025"/>
    <s v="Net 30"/>
    <n v="19"/>
    <n v="0.08"/>
    <n v="231.79100642398285"/>
    <n v="3129.1785867237681"/>
    <s v="21.94€"/>
    <s v="FedEx"/>
    <s v="1Z766769491"/>
    <s v="21,88"/>
    <s v="A"/>
    <n v="244"/>
    <n v="5"/>
    <m/>
    <x v="1"/>
    <m/>
    <n v="0.3"/>
    <n v="140.81303640256957"/>
    <s v="Olivia Wilson"/>
    <s v="Olivia Wilson"/>
    <m/>
    <n v="2816.2607280513912"/>
    <d v="2027-07-17T00:00:00"/>
    <n v="844.87821841541734"/>
  </r>
  <r>
    <s v="TR-2025285"/>
    <d v="2026-08-05T00:00:00"/>
    <d v="2026-05-22T00:00:00"/>
    <s v="P-049"/>
    <x v="58"/>
    <s v="Global Distrib"/>
    <s v="Furniture"/>
    <s v="18"/>
    <n v="1111.83"/>
    <n v="0.1"/>
    <n v="20012.939999999999"/>
    <s v="$"/>
    <x v="0"/>
    <x v="0"/>
    <x v="0"/>
    <s v="West"/>
    <s v="Chicago"/>
    <s v="Vortex Llc  "/>
    <s v="183159846"/>
    <s v="sophia.company.com"/>
    <s v="(765) 212-1476"/>
    <s v="166 Wilson St."/>
    <s v="09979"/>
    <s v="USA"/>
    <s v="Cash"/>
    <s v="Processing"/>
    <s v="Unpaid"/>
    <s v="INV/2026/0285"/>
    <s v="Store"/>
    <s v="2"/>
    <x v="7"/>
    <n v="2026"/>
    <s v="Net 30"/>
    <n v="0"/>
    <n v="0.08"/>
    <n v="1601.0352"/>
    <n v="21613.975199999997"/>
    <s v=" 37$"/>
    <s v="FedEx"/>
    <s v="1Z154942105"/>
    <s v="15.2 "/>
    <s v="C"/>
    <n v="334"/>
    <n v="5"/>
    <m/>
    <x v="1"/>
    <m/>
    <n v="0"/>
    <n v="518.73540479999997"/>
    <s v="Sophia Smith"/>
    <s v="Sophia Smith"/>
    <m/>
    <n v="17291.18016"/>
    <d v="2028-05-22T00:00:00"/>
    <n v="0"/>
  </r>
  <r>
    <s v="TR-2025286"/>
    <d v="2026-04-24T00:00:00"/>
    <d v="2026-08-05T00:00:00"/>
    <s v="P-038"/>
    <x v="37"/>
    <s v="TechSupply Co"/>
    <s v="Electronics"/>
    <s v="32 "/>
    <n v="687.68"/>
    <n v="0.05"/>
    <n v="22005.759999999998"/>
    <s v="$"/>
    <x v="16"/>
    <x v="14"/>
    <x v="1"/>
    <s v="East"/>
    <s v="Miami"/>
    <s v="Acme Ltd."/>
    <s v=" 600125642"/>
    <s v="jessica.company.com"/>
    <s v="+1 940 292 1099"/>
    <s v="704 Brown Ave"/>
    <s v="95309"/>
    <s v="USA"/>
    <s v="Wire Transfer"/>
    <s v="Delivered"/>
    <s v="Unpaid"/>
    <s v="INV/2026/0286"/>
    <s v="Store"/>
    <s v="1 "/>
    <x v="2"/>
    <n v="2026"/>
    <s v="Immediate"/>
    <n v="7"/>
    <n v="0.08"/>
    <n v="1760.4607999999998"/>
    <n v="23766.220799999999"/>
    <s v="1,25$"/>
    <s v="ups"/>
    <s v="DH700815740"/>
    <s v="17,6"/>
    <s v="B"/>
    <n v="488"/>
    <n v="5"/>
    <m/>
    <x v="1"/>
    <m/>
    <n v="0.3"/>
    <n v="404.02575359999997"/>
    <s v="  Jessica Smith   "/>
    <s v="  Jessica Smith   "/>
    <m/>
    <n v="20201.287679999998"/>
    <d v="2028-08-05T00:00:00"/>
    <n v="6060.3863039999987"/>
  </r>
  <r>
    <s v="TR-2025287"/>
    <d v="2026-01-08T00:00:00"/>
    <d v="2026-01-20T00:00:00"/>
    <s v="P-020"/>
    <x v="52"/>
    <s v="BestParts"/>
    <s v="Software"/>
    <s v="8 "/>
    <n v="635.44000000000005"/>
    <n v="0"/>
    <n v="5083.5200000000004"/>
    <s v="$"/>
    <x v="20"/>
    <x v="18"/>
    <x v="3"/>
    <s v="North"/>
    <s v="Chicago"/>
    <s v="Stark Ltd."/>
    <s v=" 839228093"/>
    <s v="david.gmail.com"/>
    <s v="+1 234 912 5063"/>
    <s v="845 Taylor St."/>
    <s v="48640"/>
    <s v="USA"/>
    <s v="Wire Transfer"/>
    <s v="Processing"/>
    <s v="Paid"/>
    <s v="INV/2026/0287"/>
    <s v="Store"/>
    <s v="1"/>
    <x v="3"/>
    <n v="2026"/>
    <s v="Net 30"/>
    <n v="18"/>
    <n v="0.08"/>
    <n v="406.68160000000006"/>
    <n v="5490.2016000000003"/>
    <s v="49.32$"/>
    <s v="USPS"/>
    <s v="1Z853692716"/>
    <s v="1.41"/>
    <s v="A"/>
    <n v="284"/>
    <n v="5"/>
    <m/>
    <x v="1"/>
    <m/>
    <n v="0.15"/>
    <n v="93.333427200000003"/>
    <s v="David Davis"/>
    <s v="David Davis"/>
    <m/>
    <n v="4666.6713600000003"/>
    <d v="2028-01-20T00:00:00"/>
    <n v="700.00070400000004"/>
  </r>
  <r>
    <s v="TR-2025288"/>
    <d v="2025-09-20T00:00:00"/>
    <d v="2025-09-22T00:00:00"/>
    <s v="P-028"/>
    <x v="49"/>
    <s v="BestParts"/>
    <s v="Furniture"/>
    <s v="6 "/>
    <n v="198.36"/>
    <n v="0.1"/>
    <n v="1190.1600000000001"/>
    <s v="$"/>
    <x v="12"/>
    <x v="10"/>
    <x v="2"/>
    <s v="West"/>
    <s v="Houston"/>
    <s v="Stark Inc   "/>
    <s v=" 911501444"/>
    <s v="ryan.gmail.com"/>
    <s v="(411) 283-2631"/>
    <s v="23 Anderson Ave"/>
    <s v="15620"/>
    <s v="USA"/>
    <s v="Credit Card"/>
    <s v="Delivered"/>
    <s v="Paid"/>
    <s v="INV/2025/0288"/>
    <s v="Store"/>
    <s v="3"/>
    <x v="0"/>
    <n v="2025"/>
    <s v="15"/>
    <n v="45"/>
    <n v="0.08"/>
    <n v="95.212800000000001"/>
    <n v="1285.3728000000001"/>
    <s v="0.57 $"/>
    <s v="FedEx"/>
    <s v="FX177048198"/>
    <s v="17,36"/>
    <s v="C"/>
    <n v="202"/>
    <n v="5"/>
    <m/>
    <x v="1"/>
    <m/>
    <n v="0.25"/>
    <n v="51.414912000000008"/>
    <s v="  Ryan Anderson   "/>
    <s v="  Ryan Anderson   "/>
    <m/>
    <n v="1028.2982400000001"/>
    <d v="2028-09-22T00:00:00"/>
    <n v="257.07456000000002"/>
  </r>
  <r>
    <s v="TR-2025289"/>
    <d v="2026-06-12T00:00:00"/>
    <d v="2026-06-26T00:00:00"/>
    <s v="P-013"/>
    <x v="35"/>
    <s v="OfficeHub"/>
    <s v="Electronics"/>
    <s v="23 "/>
    <n v="930.42"/>
    <n v="0.1"/>
    <n v="21399.66"/>
    <s v="$"/>
    <x v="18"/>
    <x v="16"/>
    <x v="2"/>
    <s v="West"/>
    <s v="Los Angeles"/>
    <s v="Acme Ltd."/>
    <s v="726297451"/>
    <s v="david.company.com"/>
    <s v="+1 812 615 9640"/>
    <s v="765 Williams St."/>
    <s v="18216"/>
    <s v="USA"/>
    <s v="Credit Card"/>
    <s v="Delivered"/>
    <s v="Paid"/>
    <s v="INV/2026/0289"/>
    <s v="Web"/>
    <s v="4"/>
    <x v="4"/>
    <n v="2026"/>
    <s v="Net 60"/>
    <n v="58"/>
    <n v="0.08"/>
    <n v="1711.9728"/>
    <n v="23111.632799999999"/>
    <s v="22,30$"/>
    <s v="Fed Ex"/>
    <s v="DH196957416"/>
    <s v="25,52"/>
    <s v="A"/>
    <n v="0"/>
    <n v="5"/>
    <m/>
    <x v="1"/>
    <m/>
    <n v="0.18"/>
    <n v="554.6791872"/>
    <s v="David Davis"/>
    <s v="David Davis"/>
    <m/>
    <n v="18489.306240000002"/>
    <d v="2029-06-26T00:00:00"/>
    <n v="3328.0751232000002"/>
  </r>
  <r>
    <s v="TR-2025290"/>
    <d v="2025-05-25T00:00:00"/>
    <d v="2025-06-07T00:00:00"/>
    <s v="P-016"/>
    <x v="31"/>
    <s v="TechSupply Co"/>
    <s v="Office"/>
    <s v="18 "/>
    <n v="127.37"/>
    <n v="0.05"/>
    <n v="2481.2337662337659"/>
    <s v="€"/>
    <x v="3"/>
    <x v="3"/>
    <x v="0"/>
    <s v="East"/>
    <s v="New York"/>
    <s v="Globex Llc  "/>
    <s v="432673933"/>
    <s v="sophia.gmail.com"/>
    <s v="(596) 958-6669"/>
    <s v="833 Davis Street"/>
    <s v="93871"/>
    <s v="USA"/>
    <s v="Credit Card"/>
    <s v="Delivered"/>
    <s v="Paid"/>
    <s v="INV/2025/0290"/>
    <s v="Phone"/>
    <s v="1"/>
    <x v="7"/>
    <n v="2025"/>
    <s v="Net 30"/>
    <n v="40"/>
    <n v="0.08"/>
    <n v="198.49870129870126"/>
    <n v="2679.7324675324671"/>
    <s v=" 36€"/>
    <s v="FedEx"/>
    <s v="1Z211458642"/>
    <s v="11.0 "/>
    <s v="A"/>
    <n v="57"/>
    <n v="2"/>
    <m/>
    <x v="1"/>
    <m/>
    <n v="0.15"/>
    <n v="68.333177922077908"/>
    <s v="Sophia Miller"/>
    <s v="Sophia Miller"/>
    <m/>
    <n v="2277.7725974025971"/>
    <d v="2026-06-07T00:00:00"/>
    <n v="341.66588961038957"/>
  </r>
  <r>
    <s v="TR-2025291"/>
    <d v="2025-09-19T00:00:00"/>
    <d v="2025-01-10T00:00:00"/>
    <s v="P-004"/>
    <x v="6"/>
    <s v="OfficeHub"/>
    <s v="Electronics"/>
    <s v="28 "/>
    <n v="364.79"/>
    <n v="0.1"/>
    <n v="11030.36717062635"/>
    <s v="€"/>
    <x v="15"/>
    <x v="13"/>
    <x v="2"/>
    <s v="North"/>
    <s v="Miami"/>
    <s v="Vortex Inc"/>
    <s v="367695558"/>
    <s v="jessica.company.com"/>
    <s v="(574) 380-6649"/>
    <s v="216 Brown Ave"/>
    <s v="92794"/>
    <s v="USA"/>
    <s v="Wire Transfer"/>
    <s v="Delivered"/>
    <s v="Partial"/>
    <s v="INV/2025/0291"/>
    <s v="Online"/>
    <s v="2"/>
    <x v="0"/>
    <n v="2025"/>
    <s v="15"/>
    <n v="11"/>
    <n v="0.08"/>
    <n v="882.429373650108"/>
    <n v="11912.796544276458"/>
    <s v=" 37€"/>
    <s v="ups"/>
    <s v="FX922493308"/>
    <s v="21.1 "/>
    <s v="A"/>
    <n v="192"/>
    <n v="2"/>
    <m/>
    <x v="1"/>
    <m/>
    <n v="0"/>
    <n v="285.907117062635"/>
    <s v="Jessica Wilson"/>
    <s v="Jessica Wilson"/>
    <m/>
    <n v="9530.2372354211675"/>
    <d v="2027-01-10T00:00:00"/>
    <n v="0"/>
  </r>
  <r>
    <s v="TR-2025292"/>
    <d v="2026-08-23T00:00:00"/>
    <d v="2026-08-30T00:00:00"/>
    <s v="P-023"/>
    <x v="54"/>
    <s v="BestParts"/>
    <s v="Electronics"/>
    <s v="18 "/>
    <n v="1260.75"/>
    <n v="0.05"/>
    <n v="22693.5"/>
    <s v="$"/>
    <x v="23"/>
    <x v="21"/>
    <x v="1"/>
    <s v="South"/>
    <s v="Boston"/>
    <s v="Vortex Llc  "/>
    <s v="112588347"/>
    <s v="emily.yahoo.com"/>
    <s v="(873) 803-3245"/>
    <s v="540 Wilson Street"/>
    <s v="46844"/>
    <s v="USA"/>
    <s v="Wire"/>
    <s v="Cancelled"/>
    <s v="Unpaid"/>
    <s v="INV/2026/0292"/>
    <s v="Online"/>
    <s v="3"/>
    <x v="1"/>
    <n v="2026"/>
    <s v="15"/>
    <n v="7"/>
    <n v="0.08"/>
    <n v="1815.48"/>
    <n v="24508.98"/>
    <s v="1.66$"/>
    <s v="USPS"/>
    <s v="DH562772939"/>
    <s v="13.7 "/>
    <s v="B"/>
    <n v="71"/>
    <n v="4"/>
    <m/>
    <x v="1"/>
    <m/>
    <n v="0.25"/>
    <n v="1041.63165"/>
    <s v="Emily Wilson"/>
    <s v="Emily Wilson"/>
    <m/>
    <n v="20832.632999999998"/>
    <d v="2028-08-30T00:00:00"/>
    <n v="5208.1582499999995"/>
  </r>
  <r>
    <s v="TR-2025293"/>
    <d v="2025-01-27T00:00:00"/>
    <d v="2025-10-02T00:00:00"/>
    <s v="P-004"/>
    <x v="6"/>
    <s v="OfficeHub"/>
    <s v="Electronics"/>
    <s v="3 "/>
    <n v="364.79"/>
    <n v="0.1"/>
    <n v="1094.3700000000001"/>
    <s v="$"/>
    <x v="21"/>
    <x v="19"/>
    <x v="2"/>
    <s v="North"/>
    <s v="Boston"/>
    <s v="Umbrella Llc"/>
    <s v="723780098"/>
    <s v="olivia.company.com"/>
    <s v="+1 697 454 7535"/>
    <s v="893 Taylor Ave"/>
    <s v="77910"/>
    <s v="USA"/>
    <s v="Credit Card"/>
    <s v="Delivered"/>
    <s v="Unpaid"/>
    <s v="INV/2025/0293"/>
    <s v="Phone"/>
    <s v="1"/>
    <x v="3"/>
    <n v="2025"/>
    <s v="15"/>
    <n v="9"/>
    <n v="0.08"/>
    <n v="87.549600000000012"/>
    <n v="1181.9196000000002"/>
    <s v="15,59$"/>
    <s v="USPS"/>
    <s v="FX848279815"/>
    <s v="22.84"/>
    <s v="B"/>
    <n v="237"/>
    <n v="1"/>
    <m/>
    <x v="1"/>
    <m/>
    <n v="0.15"/>
    <n v="18.910713600000005"/>
    <s v="Olivia Davis  "/>
    <s v="Olivia Davis  "/>
    <m/>
    <n v="945.53568000000018"/>
    <d v="2027-10-02T00:00:00"/>
    <n v="141.83035200000003"/>
  </r>
  <r>
    <s v="TR-2025294"/>
    <d v="2026-06-25T00:00:00"/>
    <d v="2026-07-07T00:00:00"/>
    <s v="P-003"/>
    <x v="56"/>
    <s v="TechSupply Co"/>
    <s v="Office"/>
    <s v="27 "/>
    <n v="61.06"/>
    <n v="0"/>
    <n v="1648.6200000000001"/>
    <s v="$"/>
    <x v="12"/>
    <x v="10"/>
    <x v="2"/>
    <s v="South"/>
    <s v="Houston"/>
    <s v=" Acme Inc"/>
    <s v=" 611143720"/>
    <s v="laura.yahoo.com"/>
    <s v="+1 327 215 5975"/>
    <s v="918 Anderson Street"/>
    <s v="33793"/>
    <s v="USA"/>
    <s v="Credit Card"/>
    <s v="Delivered"/>
    <s v="Paid"/>
    <s v="INV/2026/0294"/>
    <s v="Online"/>
    <s v="1"/>
    <x v="4"/>
    <n v="2026"/>
    <s v="Net 60"/>
    <n v="31"/>
    <n v="0.08"/>
    <n v="131.8896"/>
    <n v="1780.5096000000001"/>
    <s v="33.56$"/>
    <s v="USPS"/>
    <s v="1Z623657199"/>
    <s v="7,35"/>
    <s v="A"/>
    <n v="148"/>
    <n v="1"/>
    <m/>
    <x v="1"/>
    <m/>
    <n v="0"/>
    <n v="80.122932000000006"/>
    <s v=" Laura Smith"/>
    <s v=" Laura Smith"/>
    <m/>
    <n v="1602.4586400000001"/>
    <d v="2027-07-07T00:00:00"/>
    <n v="0"/>
  </r>
  <r>
    <s v="TR-2025295"/>
    <d v="2026-05-25T00:00:00"/>
    <d v="2026-02-06T00:00:00"/>
    <s v="P-043"/>
    <x v="40"/>
    <s v="Global Distrib"/>
    <s v="Equipment"/>
    <s v="8 "/>
    <n v="156.69"/>
    <n v="0"/>
    <n v="1253.52"/>
    <s v="$"/>
    <x v="18"/>
    <x v="16"/>
    <x v="2"/>
    <s v="South"/>
    <s v="Los Angeles"/>
    <s v="Globex Llc "/>
    <s v="884438391"/>
    <s v="laura.yahoo.com"/>
    <s v="417.324.9852"/>
    <s v="360 Brown St."/>
    <s v="07436"/>
    <s v="USA"/>
    <s v="Credit Card"/>
    <s v="Processing"/>
    <s v="Paid"/>
    <s v="INV/2026/0295"/>
    <s v="Store"/>
    <s v="2"/>
    <x v="7"/>
    <n v="2026"/>
    <s v="Net 60"/>
    <n v="80"/>
    <n v="0.08"/>
    <n v="100.2816"/>
    <n v="1353.8016"/>
    <s v="43.70$"/>
    <s v="ups"/>
    <s v="FX140522264"/>
    <s v="25.5 "/>
    <s v="A"/>
    <n v="393"/>
    <n v="4"/>
    <m/>
    <x v="1"/>
    <m/>
    <n v="0.18"/>
    <n v="36.552643199999999"/>
    <s v="Laura Wilson"/>
    <s v="Laura Wilson"/>
    <m/>
    <n v="1218.4214400000001"/>
    <d v="2027-02-06T00:00:00"/>
    <n v="219.31585920000001"/>
  </r>
  <r>
    <s v="TR-2025296"/>
    <d v="2026-05-24T00:00:00"/>
    <d v="2026-06-04T00:00:00"/>
    <s v="P-050"/>
    <x v="41"/>
    <s v="BestParts"/>
    <s v="Equipment"/>
    <s v="31 "/>
    <n v="39.53"/>
    <n v="0"/>
    <n v="1326.2229437229437"/>
    <s v="€"/>
    <x v="22"/>
    <x v="20"/>
    <x v="3"/>
    <s v="North"/>
    <s v="Houston"/>
    <s v="Stark Inc"/>
    <s v=" 548904514"/>
    <s v="emma.gmail.com"/>
    <s v="+1 900 426 7958"/>
    <s v="671 Williams Street"/>
    <s v="68002"/>
    <s v="USA"/>
    <s v="Cash"/>
    <s v="Cancelled"/>
    <s v="Partial"/>
    <s v="INV/2026/0296"/>
    <s v="Online"/>
    <s v="4"/>
    <x v="7"/>
    <n v="2026"/>
    <s v="Net 30"/>
    <n v="78"/>
    <n v="0.08"/>
    <n v="106.09783549783549"/>
    <n v="1432.3207792207791"/>
    <s v="37.7€"/>
    <s v="ups"/>
    <s v="DH721143815"/>
    <s v="26,86"/>
    <s v="C"/>
    <n v="49"/>
    <n v="3"/>
    <m/>
    <x v="1"/>
    <m/>
    <n v="0.3"/>
    <n v="64.454435064935055"/>
    <s v="Emma Jones  "/>
    <s v="Emma Jones  "/>
    <m/>
    <n v="1289.0887012987012"/>
    <d v="2027-06-04T00:00:00"/>
    <n v="386.72661038961036"/>
  </r>
  <r>
    <s v="TR-2025297"/>
    <d v="2025-01-08T00:00:00"/>
    <d v="2025-08-15T00:00:00"/>
    <s v="P-052"/>
    <x v="1"/>
    <s v="TechSupply Co"/>
    <s v="Furniture"/>
    <s v="6 "/>
    <n v="1467.86"/>
    <n v="0.1"/>
    <n v="8807.16"/>
    <s v="$"/>
    <x v="7"/>
    <x v="7"/>
    <x v="2"/>
    <s v="South"/>
    <s v="Miami"/>
    <s v="Wayne Ltd."/>
    <s v=" 496976436"/>
    <s v="david.gmail.com"/>
    <s v="924.992.1116"/>
    <s v="98 Taylor St."/>
    <s v="64864"/>
    <s v="USA"/>
    <s v="Credit Card"/>
    <s v="Cancelled"/>
    <s v="Paid"/>
    <s v="INV/2025/0297"/>
    <s v="Web"/>
    <s v="1"/>
    <x v="1"/>
    <n v="2025"/>
    <s v="Net 30"/>
    <n v="0"/>
    <n v="0.08"/>
    <n v="704.57280000000003"/>
    <n v="9511.7327999999998"/>
    <s v="47,62$"/>
    <s v="ups"/>
    <s v="DH669504477"/>
    <s v="1.5 "/>
    <s v="A"/>
    <n v="319"/>
    <n v="2"/>
    <m/>
    <x v="1"/>
    <m/>
    <n v="0.3"/>
    <n v="228.28158719999999"/>
    <s v="David Miller"/>
    <s v="David Miller"/>
    <m/>
    <n v="7609.3862399999998"/>
    <d v="2028-08-15T00:00:00"/>
    <n v="2282.8158719999997"/>
  </r>
  <r>
    <s v="TR-2025298"/>
    <d v="2025-05-27T00:00:00"/>
    <d v="2025-05-31T00:00:00"/>
    <s v="P-001"/>
    <x v="4"/>
    <s v="Global Distrib"/>
    <s v="Software"/>
    <s v="12"/>
    <n v="978.15"/>
    <n v="0.05"/>
    <n v="11737.8"/>
    <s v="$"/>
    <x v="2"/>
    <x v="2"/>
    <x v="1"/>
    <s v="North"/>
    <s v="Boston"/>
    <s v="Wayne Inc"/>
    <s v=" 686301428"/>
    <s v="daniel.gmail.com"/>
    <s v="+1 478 894 2976"/>
    <s v="953 Jones Blvd"/>
    <s v="83667"/>
    <s v="USA"/>
    <s v="Wire Transfer"/>
    <s v="Pending"/>
    <s v="Paid"/>
    <s v="INV/2025/0298"/>
    <s v="Online"/>
    <s v="2"/>
    <x v="7"/>
    <n v="2025"/>
    <s v="Immediate"/>
    <n v="58"/>
    <n v="0.08"/>
    <n v="939.024"/>
    <n v="12676.823999999999"/>
    <s v=" 18$"/>
    <s v="FedEx"/>
    <s v="1Z411828366"/>
    <s v="21.1 "/>
    <s v="C"/>
    <n v="468"/>
    <n v="5"/>
    <m/>
    <x v="1"/>
    <m/>
    <n v="0.18"/>
    <n v="304.24377599999997"/>
    <s v="Daniel Smith"/>
    <s v="Daniel Smith"/>
    <m/>
    <n v="10141.459199999999"/>
    <d v="2027-05-31T00:00:00"/>
    <n v="1825.4626559999999"/>
  </r>
  <r>
    <s v="TR-2025299"/>
    <d v="2025-12-02T00:00:00"/>
    <d v="2025-12-12T00:00:00"/>
    <s v="P-004"/>
    <x v="6"/>
    <s v="OfficeHub"/>
    <s v="Electronics"/>
    <s v="24 "/>
    <n v="364.79"/>
    <n v="0.05"/>
    <n v="8754.9600000000009"/>
    <s v="$"/>
    <x v="15"/>
    <x v="13"/>
    <x v="2"/>
    <s v="North"/>
    <s v="Miami"/>
    <s v="  Initech Llc"/>
    <s v="673589146"/>
    <s v="daniel.gmail.com"/>
    <s v="+1 878 842 8773"/>
    <s v="287 Anderson St."/>
    <s v="08215"/>
    <s v="USA"/>
    <s v="Wire Transfer"/>
    <s v="Cancelled"/>
    <s v="Partial"/>
    <s v="INV/2025/0299"/>
    <s v="Web"/>
    <s v="4"/>
    <x v="9"/>
    <n v="2025"/>
    <s v="Net 60"/>
    <n v="34"/>
    <n v="0.08"/>
    <n v="700.3968000000001"/>
    <n v="9455.3568000000014"/>
    <s v="#N/A$"/>
    <s v="DHL"/>
    <s v="FX863447713"/>
    <s v="7.38"/>
    <s v="B"/>
    <n v="419"/>
    <n v="4.5"/>
    <m/>
    <x v="1"/>
    <m/>
    <n v="0.18"/>
    <n v="241.11159840000002"/>
    <s v="Daniel Smith  "/>
    <s v="Daniel Smith  "/>
    <m/>
    <n v="8037.053280000001"/>
    <d v="2027-12-12T00:00:00"/>
    <n v="1446.6695904000001"/>
  </r>
  <r>
    <s v="TR-2025300"/>
    <d v="2025-02-04T00:00:00"/>
    <d v="2025-06-02T00:00:00"/>
    <s v="P-022"/>
    <x v="33"/>
    <s v="BestParts"/>
    <s v="Furniture"/>
    <s v="33"/>
    <n v="893.58"/>
    <n v="0"/>
    <n v="29488.140000000003"/>
    <s v="$"/>
    <x v="7"/>
    <x v="7"/>
    <x v="2"/>
    <s v="North"/>
    <s v="Miami"/>
    <s v="Wayne Inc   "/>
    <s v=" 616089352"/>
    <s v="chris.company.com"/>
    <s v="+1 884 607 6009"/>
    <s v="187 Williams Street"/>
    <s v="40394"/>
    <s v="USA"/>
    <s v="Credit Card"/>
    <s v="Delivered"/>
    <s v="Paid"/>
    <s v="INV/2025/0300"/>
    <s v="Phone"/>
    <s v="1 "/>
    <x v="6"/>
    <n v="2025"/>
    <s v="Net 30"/>
    <n v="65"/>
    <n v="0.08"/>
    <n v="2359.0512000000003"/>
    <n v="31847.191200000005"/>
    <s v="12.70 $"/>
    <s v="DHL"/>
    <s v="DH511943257"/>
    <s v="26,17"/>
    <s v="A"/>
    <n v="269"/>
    <n v="3"/>
    <m/>
    <x v="1"/>
    <m/>
    <n v="0.25"/>
    <n v="859.87416240000005"/>
    <s v="   Chris Williams"/>
    <s v="   Chris Williams"/>
    <m/>
    <n v="28662.472080000003"/>
    <d v="2026-06-02T00:00:00"/>
    <n v="7165.6180200000008"/>
  </r>
  <r>
    <s v="TR-2025301"/>
    <d v="2025-03-30T00:00:00"/>
    <d v="2025-04-01T00:00:00"/>
    <s v="P-041"/>
    <x v="17"/>
    <s v="TechSupply Co"/>
    <s v="Software"/>
    <s v="23"/>
    <n v="247.64"/>
    <n v="0.1"/>
    <n v="5695.7199999999993"/>
    <s v="$"/>
    <x v="10"/>
    <x v="9"/>
    <x v="0"/>
    <s v="West"/>
    <s v="Los Angeles"/>
    <s v="Umbrella Inc"/>
    <s v=" 837262618"/>
    <s v="sarah.company.com"/>
    <s v="530.450.4801"/>
    <s v="489 Taylor Street"/>
    <s v="73448"/>
    <s v="USA"/>
    <s v="Credit Card"/>
    <s v="Delivered"/>
    <s v="Paid"/>
    <s v="INV/2025/0301"/>
    <s v="Online"/>
    <s v="2"/>
    <x v="8"/>
    <n v="2025"/>
    <s v="Net 60"/>
    <n v="27"/>
    <n v="0.08"/>
    <n v="455.65759999999995"/>
    <n v="6151.3775999999989"/>
    <s v="3,17$"/>
    <s v="ups"/>
    <s v="1Z546928240"/>
    <s v="25.9 "/>
    <s v="B"/>
    <n v="485"/>
    <n v="5"/>
    <m/>
    <x v="1"/>
    <m/>
    <n v="0.3"/>
    <n v="138.40599599999996"/>
    <s v="Sarah Davis "/>
    <s v="Sarah Davis "/>
    <m/>
    <n v="4613.5331999999989"/>
    <d v="2027-04-01T00:00:00"/>
    <n v="1384.0599599999996"/>
  </r>
  <r>
    <s v="TR-2025245"/>
    <d v="2025-10-18T00:00:00"/>
    <d v="2025-10-27T00:00:00"/>
    <s v="P-043"/>
    <x v="40"/>
    <s v="Global Distrib"/>
    <s v="Equipment"/>
    <s v="14 "/>
    <n v="156.69"/>
    <n v="0.1"/>
    <n v="2193.66"/>
    <s v="$"/>
    <x v="3"/>
    <x v="3"/>
    <x v="0"/>
    <s v="South"/>
    <s v="New York"/>
    <s v="Globex Ltd."/>
    <s v="434573960"/>
    <s v="emily.gmail.com"/>
    <s v="(661) 415-1660"/>
    <s v="693 Williams Street"/>
    <s v="13322"/>
    <s v="USA"/>
    <s v="Cash"/>
    <s v="Cancelled"/>
    <s v="Paid"/>
    <s v="INV/2025/0245"/>
    <s v="Store"/>
    <s v="4"/>
    <x v="11"/>
    <n v="2025"/>
    <s v="Net 60"/>
    <n v="41"/>
    <n v="0.08"/>
    <n v="175.49279999999999"/>
    <n v="2369.1527999999998"/>
    <s v="24.61$"/>
    <s v="ups"/>
    <s v="FX834049237"/>
    <s v="9.8 "/>
    <s v="A"/>
    <n v="390"/>
    <n v="1"/>
    <m/>
    <x v="1"/>
    <m/>
    <n v="0.15"/>
    <n v="56.859667199999997"/>
    <s v="Emily Taylor"/>
    <s v="Emily Taylor"/>
    <m/>
    <n v="1895.32224"/>
    <d v="2026-10-27T00:00:00"/>
    <n v="284.29833600000001"/>
  </r>
  <r>
    <s v="TR-2025302"/>
    <d v="2025-01-25T00:00:00"/>
    <d v="2025-04-02T00:00:00"/>
    <s v="P-014"/>
    <x v="15"/>
    <s v="OfficeHub"/>
    <s v="Software"/>
    <s v="15"/>
    <n v="1166.96"/>
    <n v="0.1"/>
    <n v="18923.675675675677"/>
    <s v="€"/>
    <x v="17"/>
    <x v="15"/>
    <x v="3"/>
    <s v="South"/>
    <s v="New York"/>
    <s v=" Acme Inc   "/>
    <s v="733528382"/>
    <s v="sarah.company.com"/>
    <s v="420.227.8388"/>
    <s v="791 Brown Blvd"/>
    <s v="05494"/>
    <s v="USA"/>
    <s v="Wire Transfer"/>
    <s v="Processing"/>
    <s v="Partial"/>
    <s v="INV/2025/0302"/>
    <s v="Online"/>
    <s v="2"/>
    <x v="3"/>
    <n v="2025"/>
    <s v="Net 30"/>
    <n v="80"/>
    <n v="0.08"/>
    <n v="1513.8940540540541"/>
    <n v="20437.56972972973"/>
    <s v="3.47€"/>
    <s v="USPS"/>
    <s v="1Z627675825"/>
    <s v="21.0 "/>
    <s v="C"/>
    <n v="93"/>
    <n v="4.5"/>
    <m/>
    <x v="1"/>
    <m/>
    <n v="0.18"/>
    <n v="459.84531891891891"/>
    <s v=" Sarah Johnson "/>
    <s v=" Sarah Johnson "/>
    <m/>
    <n v="15328.177297297298"/>
    <d v="2028-04-02T00:00:00"/>
    <n v="2759.0719135135137"/>
  </r>
  <r>
    <s v="TR-2025303"/>
    <d v="2026-07-21T00:00:00"/>
    <d v="2026-07-26T00:00:00"/>
    <s v="P-006"/>
    <x v="36"/>
    <s v="TechSupply Co"/>
    <s v="Equipment"/>
    <s v="33"/>
    <n v="1421.82"/>
    <n v="0.1"/>
    <n v="50235.610278372587"/>
    <s v="€"/>
    <x v="19"/>
    <x v="17"/>
    <x v="1"/>
    <s v="North"/>
    <s v="Miami"/>
    <s v="Stark Inc.   "/>
    <s v=" 847586024"/>
    <s v="john.gmail.com"/>
    <s v="+1 781 636 8929"/>
    <s v="626 Williams St."/>
    <s v="69819"/>
    <s v="USA"/>
    <s v="Wire Transfer"/>
    <s v="Pending"/>
    <s v="Unpaid"/>
    <s v="INV/2026/0303"/>
    <s v="Web"/>
    <s v="1"/>
    <x v="5"/>
    <n v="2026"/>
    <s v="Immediate"/>
    <n v="58"/>
    <n v="0.08"/>
    <n v="4018.848822269807"/>
    <n v="54254.459100642394"/>
    <s v="8.74 €"/>
    <s v="Fed Ex"/>
    <s v="FX463683210"/>
    <s v="14.51"/>
    <s v="C"/>
    <n v="262"/>
    <n v="1"/>
    <m/>
    <x v="1"/>
    <m/>
    <n v="0.18"/>
    <n v="2170.1783640256958"/>
    <s v="John Johnson"/>
    <s v="John Johnson"/>
    <m/>
    <n v="43403.567280513918"/>
    <d v="2027-07-26T00:00:00"/>
    <n v="7812.6421104925048"/>
  </r>
  <r>
    <s v="TR-2025304"/>
    <d v="2025-05-23T00:00:00"/>
    <d v="2025-05-24T00:00:00"/>
    <s v="P-045"/>
    <x v="34"/>
    <s v="TechSupply Co"/>
    <s v="Software"/>
    <s v="34 "/>
    <n v="227.08"/>
    <n v="0"/>
    <n v="7720.72"/>
    <s v="$"/>
    <x v="19"/>
    <x v="17"/>
    <x v="1"/>
    <s v="South"/>
    <s v="Miami"/>
    <s v="Umbrella Llc  "/>
    <s v="315804885"/>
    <s v="olivia.yahoo.com"/>
    <s v="252.415.8354"/>
    <s v="963 Williams Blvd"/>
    <s v="23443"/>
    <s v="USA"/>
    <s v="Wire"/>
    <s v="Delivered"/>
    <s v="Unpaid"/>
    <s v="INV/2025/0304"/>
    <s v="Online"/>
    <s v="4"/>
    <x v="7"/>
    <n v="2025"/>
    <s v="Net 30"/>
    <n v="76"/>
    <n v="0.08"/>
    <n v="617.6576"/>
    <n v="8338.3775999999998"/>
    <s v="35.45$"/>
    <s v="DHL"/>
    <s v="DH576026993"/>
    <s v="11"/>
    <s v="C"/>
    <n v="334"/>
    <n v="5"/>
    <m/>
    <x v="1"/>
    <m/>
    <n v="0.25"/>
    <n v="354.38104799999996"/>
    <s v=" Olivia Taylor"/>
    <s v=" Olivia Taylor"/>
    <m/>
    <n v="7087.6209599999993"/>
    <d v="2028-05-24T00:00:00"/>
    <n v="1771.9052399999998"/>
  </r>
  <r>
    <s v="TR-2025305"/>
    <d v="2026-06-03T00:00:00"/>
    <d v="2026-08-06T00:00:00"/>
    <s v="P-038"/>
    <x v="37"/>
    <s v="TechSupply Co"/>
    <s v="Electronics"/>
    <s v="3 "/>
    <n v="687.68"/>
    <n v="0.05"/>
    <n v="2063.04"/>
    <s v="$"/>
    <x v="22"/>
    <x v="20"/>
    <x v="3"/>
    <s v="East"/>
    <s v="Houston"/>
    <s v="Acme Llc"/>
    <s v=" 224975322"/>
    <s v="john.yahoo.com"/>
    <s v="(609) 585-5922"/>
    <s v="965 Smith Blvd"/>
    <s v="74151"/>
    <s v="USA"/>
    <s v="Wire Transfer"/>
    <s v="Pending"/>
    <s v="Partial"/>
    <s v="INV/2026/0305"/>
    <s v="Store"/>
    <s v="1"/>
    <x v="4"/>
    <n v="2026"/>
    <s v="15"/>
    <n v="87"/>
    <n v="0.08"/>
    <n v="165.04320000000001"/>
    <n v="2228.0832"/>
    <s v="24.6$"/>
    <s v="DHL"/>
    <s v="FX287036854"/>
    <s v="3,97"/>
    <s v="B"/>
    <n v="374"/>
    <n v="3"/>
    <m/>
    <x v="1"/>
    <m/>
    <n v="0.18"/>
    <n v="94.693535999999995"/>
    <s v="John Williams   "/>
    <s v="John Williams   "/>
    <m/>
    <n v="1893.8707199999999"/>
    <d v="2028-08-06T00:00:00"/>
    <n v="340.89672959999996"/>
  </r>
  <r>
    <s v="TR-2025306"/>
    <d v="2026-06-03T00:00:00"/>
    <d v="2026-09-06T00:00:00"/>
    <s v="P-023"/>
    <x v="54"/>
    <s v="BestParts"/>
    <s v="Electronics"/>
    <s v="9 "/>
    <n v="1260.75"/>
    <n v="0.05"/>
    <n v="11346.75"/>
    <s v="$"/>
    <x v="17"/>
    <x v="15"/>
    <x v="3"/>
    <s v="West"/>
    <s v="New York"/>
    <s v="Initech Inc."/>
    <s v="168987698"/>
    <s v="jessica.gmail.com"/>
    <s v="+1 486 605 6054"/>
    <s v="382 Williams Blvd"/>
    <s v="41010"/>
    <s v="USA"/>
    <s v="Credit Card"/>
    <s v="Pending"/>
    <s v="Paid"/>
    <s v="INV/2026/0306"/>
    <s v="Online"/>
    <s v="4"/>
    <x v="4"/>
    <n v="2026"/>
    <s v="15"/>
    <n v="80"/>
    <n v="0.08"/>
    <n v="907.74"/>
    <n v="12254.49"/>
    <s v="7.09 $"/>
    <s v="USPS"/>
    <s v="DH841763622"/>
    <s v="1.23"/>
    <s v="A"/>
    <n v="303"/>
    <n v="5"/>
    <m/>
    <x v="1"/>
    <m/>
    <n v="0.15"/>
    <n v="312.48949499999998"/>
    <s v="Jessica Brown  "/>
    <s v="Jessica Brown  "/>
    <m/>
    <n v="10416.316499999999"/>
    <d v="2028-09-06T00:00:00"/>
    <n v="1562.4474749999997"/>
  </r>
  <r>
    <s v="TR-2025307"/>
    <d v="2025-06-19T00:00:00"/>
    <d v="2025-06-29T00:00:00"/>
    <s v="P-009"/>
    <x v="11"/>
    <s v="BestParts"/>
    <s v="Office"/>
    <s v="29"/>
    <n v="813.33"/>
    <n v="0.1"/>
    <n v="23586.57"/>
    <s v="$"/>
    <x v="17"/>
    <x v="15"/>
    <x v="3"/>
    <s v="South"/>
    <s v="New York"/>
    <s v="Stark Ltd."/>
    <s v="621026622"/>
    <s v="emily.gmail.com"/>
    <s v="579.693.6126"/>
    <s v="717 Williams St."/>
    <s v="07359"/>
    <s v="USA"/>
    <s v="Credit Card"/>
    <s v="Delivered"/>
    <s v="Paid"/>
    <s v="INV/2025/0307"/>
    <s v="Online"/>
    <s v="2"/>
    <x v="4"/>
    <n v="2025"/>
    <s v="Net 30"/>
    <n v="79"/>
    <n v="0.08"/>
    <n v="1886.9256"/>
    <n v="25473.495599999998"/>
    <s v="40,79$"/>
    <s v="ups"/>
    <s v="FX371270970"/>
    <s v="7.27"/>
    <s v="C"/>
    <n v="109"/>
    <n v="5"/>
    <m/>
    <x v="1"/>
    <m/>
    <n v="0.3"/>
    <n v="611.36389440000005"/>
    <s v="Emily Jones"/>
    <s v="Emily Jones"/>
    <m/>
    <n v="20378.796480000001"/>
    <d v="2028-06-29T00:00:00"/>
    <n v="6113.6389440000003"/>
  </r>
  <r>
    <s v="TR-2025308"/>
    <d v="2026-02-11T00:00:00"/>
    <d v="2026-02-21T00:00:00"/>
    <s v="P-055"/>
    <x v="19"/>
    <s v="BestParts"/>
    <s v="Office"/>
    <s v="36 "/>
    <n v="921.78"/>
    <n v="0.1"/>
    <n v="33184.080000000002"/>
    <s v="$"/>
    <x v="24"/>
    <x v="22"/>
    <x v="2"/>
    <s v="North"/>
    <s v="Seattle"/>
    <s v="Globex Ltd."/>
    <s v="384045979"/>
    <s v="sophia.company.com"/>
    <s v="(224) 276-2266"/>
    <s v="401 Brown Ave"/>
    <s v="36379"/>
    <s v="USA"/>
    <s v="Cash"/>
    <s v="Delivered"/>
    <s v="Paid"/>
    <s v="INV/2026/0308"/>
    <s v="Store"/>
    <s v="1"/>
    <x v="6"/>
    <n v="2026"/>
    <s v="Immediate"/>
    <n v="0"/>
    <n v="0.08"/>
    <n v="2654.7264"/>
    <n v="35838.806400000001"/>
    <s v="17.89$"/>
    <s v="USPS"/>
    <s v="FX204302061"/>
    <s v="26.9 "/>
    <s v="C"/>
    <n v="60"/>
    <n v="3"/>
    <m/>
    <x v="1"/>
    <m/>
    <n v="0.18"/>
    <n v="860.13135360000001"/>
    <s v="Sophia Davis"/>
    <s v="Sophia Davis"/>
    <m/>
    <n v="28671.045120000002"/>
    <d v="2028-02-21T00:00:00"/>
    <n v="5160.7881216000005"/>
  </r>
  <r>
    <s v="TR-2025309"/>
    <d v="2026-06-03T00:00:00"/>
    <d v="2026-06-06T00:00:00"/>
    <s v="P-053"/>
    <x v="5"/>
    <s v="Global Distrib"/>
    <s v="Equipment"/>
    <s v="40 "/>
    <n v="553.22"/>
    <n v="0.1"/>
    <n v="22128.800000000003"/>
    <s v="$"/>
    <x v="5"/>
    <x v="5"/>
    <x v="2"/>
    <s v="West"/>
    <s v="New York"/>
    <s v="Initech Inc "/>
    <s v="203070226"/>
    <s v="david.company.com"/>
    <s v="(747) 670-5672"/>
    <s v="535 Jones Ave"/>
    <s v="51826"/>
    <s v="USA"/>
    <s v="Wire Transfer"/>
    <s v="Delivered"/>
    <s v="Unpaid"/>
    <s v="INV/2026/0309"/>
    <s v="Online"/>
    <s v="1"/>
    <x v="4"/>
    <n v="2026"/>
    <s v="Immediate"/>
    <n v="79"/>
    <n v="0.08"/>
    <n v="1770.3040000000003"/>
    <n v="23899.104000000003"/>
    <s v="29,57$"/>
    <s v="ups"/>
    <s v="FX173356408"/>
    <s v="2.92"/>
    <s v="A"/>
    <n v="153"/>
    <n v="1"/>
    <m/>
    <x v="1"/>
    <m/>
    <n v="0.25"/>
    <n v="955.96416000000011"/>
    <s v="David Brown"/>
    <s v="David Brown"/>
    <m/>
    <n v="19119.283200000002"/>
    <d v="2028-06-06T00:00:00"/>
    <n v="4779.8208000000004"/>
  </r>
  <r>
    <s v="TR-2025310"/>
    <d v="2025-03-12T00:00:00"/>
    <d v="2025-03-24T00:00:00"/>
    <s v="P-019"/>
    <x v="20"/>
    <s v="BestParts"/>
    <s v="Software"/>
    <s v="12"/>
    <n v="251.62"/>
    <n v="0.1"/>
    <n v="3019.44"/>
    <s v="$"/>
    <x v="15"/>
    <x v="13"/>
    <x v="2"/>
    <s v="West"/>
    <s v="Miami"/>
    <s v="Stark Inc."/>
    <s v="347225419"/>
    <s v="daniel.company.com"/>
    <s v="464.633.6840"/>
    <s v="262 Taylor Ave"/>
    <s v="97302"/>
    <s v="USA"/>
    <s v="Paypal"/>
    <s v="Processing"/>
    <s v="Paid"/>
    <s v="INV/2025/0310"/>
    <s v="Web"/>
    <s v="1 "/>
    <x v="8"/>
    <n v="2025"/>
    <s v="Net 60"/>
    <n v="9"/>
    <n v="0.08"/>
    <n v="241.55520000000001"/>
    <n v="3260.9952000000003"/>
    <s v="42.64$"/>
    <s v="DHL"/>
    <s v="1Z807174585"/>
    <s v="6,82"/>
    <s v="A"/>
    <n v="117"/>
    <n v="4"/>
    <m/>
    <x v="1"/>
    <m/>
    <n v="0.25"/>
    <n v="73.372391999999991"/>
    <s v=" Daniel Jones "/>
    <s v=" Daniel Jones "/>
    <m/>
    <n v="2445.7464"/>
    <d v="2027-03-24T00:00:00"/>
    <n v="611.4366"/>
  </r>
  <r>
    <s v="TR-2025311"/>
    <d v="2025-02-08T00:00:00"/>
    <d v="2025-11-02T00:00:00"/>
    <s v="P-006"/>
    <x v="36"/>
    <s v="TechSupply Co"/>
    <s v="Equipment"/>
    <s v="14 "/>
    <n v="1421.82"/>
    <n v="0.1"/>
    <n v="19905.48"/>
    <s v="$"/>
    <x v="6"/>
    <x v="6"/>
    <x v="2"/>
    <s v="West"/>
    <s v="Boston"/>
    <s v="Initech Llc"/>
    <s v="891637245"/>
    <s v="robert.gmail.com"/>
    <s v="+1 588 405 8590"/>
    <s v="170 Wilson Street"/>
    <s v="27723"/>
    <s v="USA"/>
    <s v="Credit Card"/>
    <s v="Delivered"/>
    <s v="Paid"/>
    <s v="INV/2025/0311"/>
    <s v="Online"/>
    <s v="2"/>
    <x v="6"/>
    <n v="2025"/>
    <s v="Net 30"/>
    <n v="60"/>
    <n v="0.08"/>
    <n v="1592.4384"/>
    <n v="21497.918399999999"/>
    <s v="13,63$"/>
    <s v="USPS"/>
    <s v="1Z598689555"/>
    <s v="18.1 "/>
    <s v="B"/>
    <n v="443"/>
    <n v="1"/>
    <m/>
    <x v="1"/>
    <m/>
    <n v="0.15"/>
    <n v="515.95004159999996"/>
    <s v="Robert Anderson   "/>
    <s v="Robert Anderson   "/>
    <m/>
    <n v="17198.334719999999"/>
    <d v="2026-11-02T00:00:00"/>
    <n v="2579.7502079999999"/>
  </r>
  <r>
    <s v="TR-2025312"/>
    <d v="2026-05-06T00:00:00"/>
    <d v="2026-10-05T00:00:00"/>
    <s v="P-028"/>
    <x v="49"/>
    <s v="BestParts"/>
    <s v="Furniture"/>
    <s v="6 "/>
    <n v="198.36"/>
    <n v="0.1"/>
    <n v="1190.1600000000001"/>
    <s v="$"/>
    <x v="19"/>
    <x v="17"/>
    <x v="1"/>
    <s v="West"/>
    <s v="Miami"/>
    <s v="Acme Ltd."/>
    <s v="694704798"/>
    <s v="emily.gmail.com"/>
    <s v="901.204.5141"/>
    <s v="857 Williams Ave"/>
    <s v="71491"/>
    <s v="USA"/>
    <s v="Credit Card"/>
    <s v="Delivered"/>
    <s v="Paid"/>
    <s v="INV/2026/0312"/>
    <s v="Phone"/>
    <s v="4"/>
    <x v="7"/>
    <n v="2026"/>
    <s v="Net 30"/>
    <n v="62"/>
    <n v="0.08"/>
    <n v="95.212800000000001"/>
    <n v="1285.3728000000001"/>
    <s v="25,49$"/>
    <s v="DHL"/>
    <s v="DH406592140"/>
    <s v="20,15"/>
    <s v="B"/>
    <n v="427"/>
    <n v="5"/>
    <m/>
    <x v="1"/>
    <m/>
    <n v="0.25"/>
    <n v="51.414912000000008"/>
    <s v="Emily Johnson"/>
    <s v="Emily Johnson"/>
    <m/>
    <n v="1028.2982400000001"/>
    <d v="2029-10-05T00:00:00"/>
    <n v="257.07456000000002"/>
  </r>
  <r>
    <s v="TR-2025313"/>
    <d v="2025-02-23T00:00:00"/>
    <d v="2025-02-24T00:00:00"/>
    <s v="P-025"/>
    <x v="48"/>
    <s v="TechSupply Co"/>
    <s v="Software"/>
    <s v="16 "/>
    <n v="430.47"/>
    <n v="0.1"/>
    <n v="6887.52"/>
    <s v="$"/>
    <x v="19"/>
    <x v="17"/>
    <x v="1"/>
    <s v="North"/>
    <s v="Miami"/>
    <s v="  Stark Inc"/>
    <s v="217414786"/>
    <s v="sophia.gmail.com"/>
    <s v="(385) 807-5918"/>
    <s v="636 Brown Ave"/>
    <s v="11799"/>
    <s v="USA"/>
    <s v="Paypal"/>
    <s v="Pending"/>
    <s v="Unpaid"/>
    <s v="INV/2025/0313"/>
    <s v="Store"/>
    <s v="3"/>
    <x v="6"/>
    <n v="2025"/>
    <s v="15"/>
    <n v="65"/>
    <n v="0.08"/>
    <n v="551.00160000000005"/>
    <n v="7438.5216"/>
    <s v="25,55$"/>
    <s v="FedEx"/>
    <s v="1Z381911561"/>
    <s v="22,49"/>
    <s v="B"/>
    <n v="407"/>
    <n v="4.5"/>
    <m/>
    <x v="1"/>
    <m/>
    <n v="0.25"/>
    <n v="278.94456000000002"/>
    <s v="Sophia Taylor"/>
    <s v="Sophia Taylor"/>
    <m/>
    <n v="5578.8912"/>
    <d v="2026-02-24T00:00:00"/>
    <n v="1394.7228"/>
  </r>
  <r>
    <s v="TR-2025314"/>
    <d v="2025-06-28T00:00:00"/>
    <d v="2025-06-30T00:00:00"/>
    <s v="P-025"/>
    <x v="48"/>
    <s v="TechSupply Co"/>
    <s v="Software"/>
    <s v="21 "/>
    <n v="430.47"/>
    <n v="0.1"/>
    <n v="9762.2786177105827"/>
    <s v="€"/>
    <x v="1"/>
    <x v="1"/>
    <x v="1"/>
    <s v="West"/>
    <s v="Seattle"/>
    <s v=" Umbrella Inc"/>
    <s v=" 201700433"/>
    <s v="emma.gmail.com"/>
    <s v="356.725.7942"/>
    <s v="928 Williams Blvd"/>
    <s v="57812"/>
    <s v="USA"/>
    <s v="Credit Card"/>
    <s v="Processing"/>
    <s v="Unpaid"/>
    <s v="INV/2025/0314"/>
    <s v="Store"/>
    <s v="2"/>
    <x v="4"/>
    <n v="2025"/>
    <s v="15"/>
    <n v="83"/>
    <n v="0.08"/>
    <n v="780.98228941684658"/>
    <n v="10543.260907127429"/>
    <s v="28€"/>
    <s v="USPS"/>
    <s v="1Z867298624"/>
    <s v="12.6 "/>
    <s v="A"/>
    <n v="208"/>
    <n v="5"/>
    <m/>
    <x v="1"/>
    <m/>
    <n v="0.18"/>
    <n v="158.14891360691146"/>
    <s v="   Emma Anderson"/>
    <s v="   Emma Anderson"/>
    <m/>
    <n v="7907.4456803455723"/>
    <d v="2026-06-30T00:00:00"/>
    <n v="1423.340222462203"/>
  </r>
  <r>
    <s v="TR-2025315"/>
    <d v="2026-05-02T00:00:00"/>
    <d v="2026-05-11T00:00:00"/>
    <s v="P-051"/>
    <x v="24"/>
    <s v="TechSupply Co"/>
    <s v="Office"/>
    <s v="3"/>
    <n v="1036.6500000000001"/>
    <n v="0.05"/>
    <n v="3109.9500000000003"/>
    <s v="$"/>
    <x v="5"/>
    <x v="5"/>
    <x v="2"/>
    <s v="South"/>
    <s v="New York"/>
    <s v="Globex Llc   "/>
    <s v=" 676954297"/>
    <s v="sarah.yahoo.com"/>
    <s v="(873) 709-9403"/>
    <s v="961 Johnson Street"/>
    <s v="49274"/>
    <s v="USA"/>
    <s v="Wire"/>
    <s v="Delivered"/>
    <s v="Partial"/>
    <s v="INV/2026/0315"/>
    <s v="Online"/>
    <s v="4"/>
    <x v="7"/>
    <n v="2026"/>
    <s v="Net 60"/>
    <n v="43"/>
    <n v="0.08"/>
    <n v="248.79600000000002"/>
    <n v="3358.7460000000001"/>
    <s v="5,85$"/>
    <s v="Fed Ex"/>
    <s v="DH773058896"/>
    <s v="16.22"/>
    <s v="B"/>
    <n v="300"/>
    <n v="5"/>
    <m/>
    <x v="1"/>
    <m/>
    <n v="0.3"/>
    <n v="142.74670499999999"/>
    <s v="Sarah Johnson"/>
    <s v="Sarah Johnson"/>
    <m/>
    <n v="2854.9340999999999"/>
    <d v="2028-05-11T00:00:00"/>
    <n v="856.48023000000001"/>
  </r>
  <r>
    <s v="TR-2025316"/>
    <d v="2025-03-23T00:00:00"/>
    <d v="2025-03-31T00:00:00"/>
    <s v="P-054"/>
    <x v="16"/>
    <s v="OfficeHub"/>
    <s v="Office"/>
    <s v="21"/>
    <n v="801.23"/>
    <n v="0"/>
    <n v="16825.830000000002"/>
    <s v="$"/>
    <x v="24"/>
    <x v="22"/>
    <x v="2"/>
    <s v="North"/>
    <s v="Seattle"/>
    <s v=" Globex Inc"/>
    <s v=" 954858532"/>
    <s v="daniel.company.com"/>
    <s v="902.339.1005"/>
    <s v="611 Williams Ave"/>
    <s v="59909"/>
    <s v="USA"/>
    <s v="Wire Transfer"/>
    <s v="Delivered"/>
    <s v="Paid"/>
    <s v="INV/2025/0316"/>
    <s v="Online"/>
    <s v="1 "/>
    <x v="8"/>
    <n v="2025"/>
    <s v="Net 30"/>
    <n v="28"/>
    <n v="0.08"/>
    <n v="1346.0664000000002"/>
    <n v="18171.896400000001"/>
    <s v="10.48$"/>
    <s v="USPS"/>
    <s v="FX741862376"/>
    <s v="3.35"/>
    <s v="A"/>
    <n v="432"/>
    <n v="4"/>
    <m/>
    <x v="1"/>
    <m/>
    <n v="0.3"/>
    <n v="490.64120280000003"/>
    <s v="   Daniel Johnson"/>
    <s v="   Daniel Johnson"/>
    <m/>
    <n v="16354.706760000001"/>
    <d v="2027-03-31T00:00:00"/>
    <n v="4906.4120279999997"/>
  </r>
  <r>
    <s v="TR-2025317"/>
    <d v="2025-08-27T00:00:00"/>
    <d v="2025-09-07T00:00:00"/>
    <s v="P-021"/>
    <x v="27"/>
    <s v="OfficeHub"/>
    <s v="Equipment"/>
    <s v="8"/>
    <n v="1184.7"/>
    <n v="0"/>
    <n v="10279.392624728851"/>
    <s v="€"/>
    <x v="19"/>
    <x v="17"/>
    <x v="1"/>
    <s v="West"/>
    <s v="Miami"/>
    <s v="Acme Ltd.   "/>
    <s v="350082355"/>
    <s v="michael.gmail.com"/>
    <s v="(560) 551-9014"/>
    <s v="471 Anderson Blvd"/>
    <s v="94080"/>
    <s v="USA"/>
    <s v="Paypal"/>
    <s v="Delivered"/>
    <s v="Paid"/>
    <s v="INV/2025/0317"/>
    <s v="Store"/>
    <s v="1"/>
    <x v="1"/>
    <n v="2025"/>
    <s v="Net 30"/>
    <n v="51"/>
    <n v="0.08"/>
    <n v="822.35140997830808"/>
    <n v="11101.744034707159"/>
    <s v=" 24€"/>
    <s v="ups"/>
    <s v="FX163136056"/>
    <s v="22,58"/>
    <s v="B"/>
    <n v="105"/>
    <n v="5"/>
    <m/>
    <x v="1"/>
    <m/>
    <n v="0"/>
    <n v="499.57848156182217"/>
    <s v="Michael Taylor"/>
    <s v="Michael Taylor"/>
    <m/>
    <n v="9991.5696312364435"/>
    <d v="2027-09-07T00:00:00"/>
    <n v="0"/>
  </r>
  <r>
    <s v="TR-2025318"/>
    <d v="2025-12-16T00:00:00"/>
    <d v="2025-12-21T00:00:00"/>
    <s v="P-001"/>
    <x v="4"/>
    <s v="Global Distrib"/>
    <s v="Software"/>
    <s v="21"/>
    <n v="978.15"/>
    <n v="0.1"/>
    <n v="20541.149999999998"/>
    <s v="$"/>
    <x v="16"/>
    <x v="14"/>
    <x v="1"/>
    <s v="North"/>
    <s v="Miami"/>
    <s v="Globex Inc.  "/>
    <s v="711689846"/>
    <s v="emily.company.com"/>
    <s v="+1 853 641 8283"/>
    <s v="444 Wilson Ave"/>
    <s v="47016"/>
    <s v="USA"/>
    <s v="Credit Card"/>
    <s v="Cancelled"/>
    <s v="Partial"/>
    <s v="INV/2025/0318"/>
    <s v="Online"/>
    <s v="4"/>
    <x v="9"/>
    <n v="2025"/>
    <s v="Immediate"/>
    <n v="0"/>
    <n v="0.08"/>
    <n v="1643.2919999999999"/>
    <n v="22184.441999999999"/>
    <s v="41.29$"/>
    <s v="USPS"/>
    <s v="FX410438395"/>
    <s v="2.4 "/>
    <s v="A"/>
    <n v="359"/>
    <n v="4"/>
    <m/>
    <x v="1"/>
    <m/>
    <n v="0.3"/>
    <n v="332.76663000000002"/>
    <s v="Emily Miller "/>
    <s v="Emily Miller "/>
    <m/>
    <n v="16638.3315"/>
    <d v="2027-12-21T00:00:00"/>
    <n v="4991.4994500000003"/>
  </r>
  <r>
    <s v="TR-2025319"/>
    <d v="2025-02-19T00:00:00"/>
    <d v="2025-02-25T00:00:00"/>
    <s v="P-031"/>
    <x v="59"/>
    <s v="TechSupply Co"/>
    <s v="Office"/>
    <s v="23"/>
    <n v="1229.82"/>
    <n v="0.1"/>
    <n v="30612.402597402594"/>
    <s v="€"/>
    <x v="0"/>
    <x v="0"/>
    <x v="0"/>
    <s v="East"/>
    <s v="Chicago"/>
    <s v=" Initech Inc"/>
    <s v="681781819"/>
    <s v="laura.company.com"/>
    <s v="+1 484 985 5296"/>
    <s v="181 Wilson St."/>
    <s v="82782"/>
    <s v="USA"/>
    <s v="Credit Card"/>
    <s v="Cancelled"/>
    <s v="Unpaid"/>
    <s v="INV/2025/0319"/>
    <s v="Online"/>
    <s v="1"/>
    <x v="6"/>
    <n v="2025"/>
    <s v="Immediate"/>
    <n v="71"/>
    <n v="0.08"/>
    <n v="2448.9922077922074"/>
    <n v="33061.394805194803"/>
    <s v="10.88€"/>
    <s v="ups"/>
    <s v="DH129720197"/>
    <s v="27.4 "/>
    <s v="A"/>
    <n v="213"/>
    <n v="5"/>
    <m/>
    <x v="1"/>
    <m/>
    <n v="0.15"/>
    <n v="793.47347532467529"/>
    <s v="Laura Johnson  "/>
    <s v="Laura Johnson  "/>
    <m/>
    <n v="26449.115844155844"/>
    <d v="2028-02-25T00:00:00"/>
    <n v="3967.3673766233765"/>
  </r>
  <r>
    <s v="TR-2025320"/>
    <d v="2026-02-26T00:00:00"/>
    <d v="2026-03-09T00:00:00"/>
    <s v="P-019"/>
    <x v="20"/>
    <s v="BestParts"/>
    <s v="Software"/>
    <s v="11"/>
    <n v="251.62"/>
    <n v="0.1"/>
    <n v="2767.82"/>
    <s v="$"/>
    <x v="14"/>
    <x v="12"/>
    <x v="3"/>
    <s v="South"/>
    <s v="Houston"/>
    <s v="  Vortex Inc  "/>
    <s v="699116111"/>
    <s v="ryan.gmail.com"/>
    <s v="733.454.3230"/>
    <s v="596 Jones Street"/>
    <s v="#N/A"/>
    <s v="USA"/>
    <s v="Credit Card"/>
    <s v="Processing"/>
    <s v="Partial"/>
    <s v="INV/2026/0320"/>
    <s v="Online"/>
    <s v="1"/>
    <x v="6"/>
    <n v="2026"/>
    <s v="Immediate"/>
    <n v="43"/>
    <n v="0.08"/>
    <n v="221.42560000000003"/>
    <n v="2989.2456000000002"/>
    <s v="40,36$"/>
    <s v="USPS"/>
    <s v="DH568481027"/>
    <s v="16.66"/>
    <s v="A"/>
    <n v="74"/>
    <m/>
    <m/>
    <x v="1"/>
    <m/>
    <n v="0"/>
    <n v="44.838684000000001"/>
    <s v="Ryan Williams"/>
    <s v="Ryan Williams"/>
    <m/>
    <n v="2241.9342000000001"/>
    <d v="2028-03-09T00:00:0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01AA7-152F-4D46-9222-65CDA9F3E90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27" firstHeaderRow="1" firstDataRow="1" firstDataCol="1"/>
  <pivotFields count="55">
    <pivotField showAll="0"/>
    <pivotField numFmtId="164" showAll="0"/>
    <pivotField showAll="0"/>
    <pivotField showAll="0"/>
    <pivotField showAll="0">
      <items count="61">
        <item x="59"/>
        <item x="2"/>
        <item x="24"/>
        <item x="19"/>
        <item x="37"/>
        <item x="7"/>
        <item x="46"/>
        <item x="14"/>
        <item x="22"/>
        <item x="48"/>
        <item x="9"/>
        <item x="11"/>
        <item x="33"/>
        <item x="29"/>
        <item x="13"/>
        <item x="50"/>
        <item x="4"/>
        <item x="52"/>
        <item x="44"/>
        <item x="32"/>
        <item x="39"/>
        <item x="43"/>
        <item x="54"/>
        <item x="53"/>
        <item x="40"/>
        <item x="23"/>
        <item x="34"/>
        <item x="26"/>
        <item x="38"/>
        <item x="55"/>
        <item x="31"/>
        <item x="25"/>
        <item x="12"/>
        <item x="56"/>
        <item x="1"/>
        <item x="10"/>
        <item x="49"/>
        <item x="28"/>
        <item x="15"/>
        <item x="42"/>
        <item x="3"/>
        <item x="47"/>
        <item x="41"/>
        <item x="5"/>
        <item x="35"/>
        <item x="20"/>
        <item x="51"/>
        <item x="27"/>
        <item x="8"/>
        <item x="45"/>
        <item x="17"/>
        <item x="36"/>
        <item x="16"/>
        <item x="57"/>
        <item x="21"/>
        <item x="58"/>
        <item x="18"/>
        <item x="30"/>
        <item x="6"/>
        <item x="0"/>
        <item t="default"/>
      </items>
    </pivotField>
    <pivotField showAll="0"/>
    <pivotField showAll="0"/>
    <pivotField showAll="0"/>
    <pivotField numFmtId="165" showAll="0"/>
    <pivotField numFmtId="10" showAll="0"/>
    <pivotField numFmtId="165" showAll="0"/>
    <pivotField showAll="0"/>
    <pivotField axis="axisRow" showAll="0">
      <items count="26">
        <item x="10"/>
        <item x="9"/>
        <item x="19"/>
        <item x="12"/>
        <item x="13"/>
        <item x="22"/>
        <item x="24"/>
        <item x="5"/>
        <item x="7"/>
        <item x="4"/>
        <item x="21"/>
        <item x="16"/>
        <item x="8"/>
        <item x="3"/>
        <item x="6"/>
        <item x="0"/>
        <item x="15"/>
        <item x="14"/>
        <item x="18"/>
        <item x="17"/>
        <item x="11"/>
        <item x="2"/>
        <item x="1"/>
        <item x="20"/>
        <item x="23"/>
        <item t="default"/>
      </items>
    </pivotField>
    <pivotField showAll="0">
      <items count="24">
        <item x="0"/>
        <item x="21"/>
        <item x="2"/>
        <item x="20"/>
        <item x="22"/>
        <item x="12"/>
        <item x="14"/>
        <item x="1"/>
        <item x="17"/>
        <item x="11"/>
        <item x="19"/>
        <item x="5"/>
        <item x="4"/>
        <item x="7"/>
        <item x="13"/>
        <item x="18"/>
        <item x="15"/>
        <item x="8"/>
        <item x="6"/>
        <item x="9"/>
        <item x="3"/>
        <item x="10"/>
        <item x="16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numFmtId="10" showAll="0"/>
    <pivotField dataField="1" numFmtId="165" showAll="0"/>
    <pivotField showAll="0"/>
    <pivotField showAll="0"/>
    <pivotField showAll="0"/>
    <pivotField numFmtId="165" showAll="0"/>
    <pivotField showAll="0"/>
    <pivotField numFmtId="165" showAll="0"/>
  </pivotFields>
  <rowFields count="1">
    <field x="1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Rep Commission" fld="48" baseField="0" baseItem="0" numFmtId="165"/>
  </dataFields>
  <chartFormats count="2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B1AEFB-F011-40C7-8663-B8B0DEC0F1F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6" firstHeaderRow="1" firstDataRow="1" firstDataCol="1"/>
  <pivotFields count="55"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65" showAll="0"/>
    <pivotField numFmtId="10" showAll="0"/>
    <pivotField numFmtId="165"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numFmtId="165" showAll="0"/>
    <pivotField showAll="0"/>
    <pivotField showAll="0"/>
    <pivotField showAll="0"/>
    <pivotField numFmtId="165" showAll="0"/>
    <pivotField showAll="0"/>
    <pivotField dataField="1" numFmtId="165"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54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35A95C-2117-4471-80C8-9C217AF63AD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14" firstHeaderRow="1" firstDataRow="1" firstDataCol="1"/>
  <pivotFields count="55"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65" showAll="0"/>
    <pivotField numFmtId="10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3"/>
        <item x="6"/>
        <item x="8"/>
        <item x="2"/>
        <item x="7"/>
        <item x="4"/>
        <item x="5"/>
        <item x="1"/>
        <item x="0"/>
        <item x="11"/>
        <item x="10"/>
        <item x="9"/>
        <item t="default"/>
      </items>
    </pivotField>
    <pivotField showAll="0"/>
    <pivotField showAll="0"/>
    <pivotField showAll="0"/>
    <pivotField numFmtId="10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numFmtId="165" showAll="0"/>
    <pivotField showAll="0"/>
    <pivotField showAll="0"/>
    <pivotField showAll="0"/>
    <pivotField numFmtId="165" showAll="0"/>
    <pivotField showAll="0"/>
    <pivotField dataField="1" numFmtId="165" showAll="0"/>
  </pivotFields>
  <rowFields count="1">
    <field x="3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54" baseField="0" baseItem="0" numFmtId="165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54"/>
  <sheetViews>
    <sheetView topLeftCell="V4" zoomScaleNormal="100" workbookViewId="0">
      <selection activeCell="D3" sqref="D3"/>
    </sheetView>
  </sheetViews>
  <sheetFormatPr defaultRowHeight="15" x14ac:dyDescent="0.25"/>
  <sheetData>
    <row r="1" spans="1:50" x14ac:dyDescent="0.25">
      <c r="A1" s="1" t="s">
        <v>0</v>
      </c>
    </row>
    <row r="4" spans="1:50" x14ac:dyDescent="0.2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  <c r="Z4" t="s">
        <v>26</v>
      </c>
      <c r="AA4" t="s">
        <v>27</v>
      </c>
      <c r="AB4" t="s">
        <v>28</v>
      </c>
      <c r="AC4" t="s">
        <v>29</v>
      </c>
      <c r="AD4" t="s">
        <v>30</v>
      </c>
      <c r="AE4" t="s">
        <v>31</v>
      </c>
      <c r="AF4" t="s">
        <v>32</v>
      </c>
      <c r="AG4" t="s">
        <v>33</v>
      </c>
      <c r="AH4" t="s">
        <v>34</v>
      </c>
      <c r="AI4" t="s">
        <v>35</v>
      </c>
      <c r="AJ4" t="s">
        <v>36</v>
      </c>
      <c r="AK4" t="s">
        <v>37</v>
      </c>
      <c r="AL4" t="s">
        <v>38</v>
      </c>
      <c r="AM4" t="s">
        <v>39</v>
      </c>
      <c r="AN4" t="s">
        <v>40</v>
      </c>
      <c r="AO4" t="s">
        <v>41</v>
      </c>
      <c r="AP4" t="s">
        <v>42</v>
      </c>
      <c r="AQ4" t="s">
        <v>43</v>
      </c>
      <c r="AR4" t="s">
        <v>44</v>
      </c>
      <c r="AS4" t="s">
        <v>45</v>
      </c>
      <c r="AT4" t="s">
        <v>46</v>
      </c>
      <c r="AU4" t="s">
        <v>47</v>
      </c>
      <c r="AV4" t="s">
        <v>48</v>
      </c>
      <c r="AW4" t="s">
        <v>49</v>
      </c>
      <c r="AX4" t="s">
        <v>50</v>
      </c>
    </row>
    <row r="5" spans="1:50" x14ac:dyDescent="0.25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7</v>
      </c>
      <c r="H5" t="s">
        <v>57</v>
      </c>
      <c r="I5" t="s">
        <v>58</v>
      </c>
      <c r="J5">
        <v>903.42</v>
      </c>
      <c r="K5" t="s">
        <v>59</v>
      </c>
      <c r="L5" t="s">
        <v>60</v>
      </c>
      <c r="M5" t="s">
        <v>61</v>
      </c>
      <c r="N5" t="s">
        <v>62</v>
      </c>
      <c r="O5" t="s">
        <v>63</v>
      </c>
      <c r="P5" t="s">
        <v>64</v>
      </c>
      <c r="Q5" t="s">
        <v>65</v>
      </c>
      <c r="R5" t="s">
        <v>66</v>
      </c>
      <c r="S5" t="s">
        <v>67</v>
      </c>
      <c r="T5" t="s">
        <v>68</v>
      </c>
      <c r="U5" t="s">
        <v>69</v>
      </c>
      <c r="V5" t="s">
        <v>70</v>
      </c>
      <c r="W5" t="s">
        <v>71</v>
      </c>
      <c r="X5" t="s">
        <v>72</v>
      </c>
      <c r="Y5" t="s">
        <v>73</v>
      </c>
      <c r="Z5" t="s">
        <v>74</v>
      </c>
      <c r="AA5" t="s">
        <v>75</v>
      </c>
      <c r="AB5" t="s">
        <v>76</v>
      </c>
      <c r="AC5">
        <v>9</v>
      </c>
      <c r="AD5">
        <v>2025</v>
      </c>
      <c r="AE5" t="s">
        <v>77</v>
      </c>
      <c r="AG5">
        <v>0.08</v>
      </c>
      <c r="AJ5" t="s">
        <v>78</v>
      </c>
      <c r="AK5" t="s">
        <v>79</v>
      </c>
      <c r="AL5" t="s">
        <v>80</v>
      </c>
      <c r="AM5" t="s">
        <v>81</v>
      </c>
      <c r="AN5" t="s">
        <v>82</v>
      </c>
      <c r="AO5">
        <v>76</v>
      </c>
      <c r="AP5">
        <v>3</v>
      </c>
      <c r="AR5">
        <v>1</v>
      </c>
      <c r="AS5" t="s">
        <v>83</v>
      </c>
      <c r="AU5">
        <v>27.1</v>
      </c>
      <c r="AV5" t="s">
        <v>84</v>
      </c>
      <c r="AW5" t="s">
        <v>84</v>
      </c>
      <c r="AX5" t="s">
        <v>85</v>
      </c>
    </row>
    <row r="6" spans="1:50" x14ac:dyDescent="0.25">
      <c r="A6" t="s">
        <v>86</v>
      </c>
      <c r="B6" t="s">
        <v>87</v>
      </c>
      <c r="C6" t="s">
        <v>88</v>
      </c>
      <c r="D6" t="s">
        <v>89</v>
      </c>
      <c r="F6" t="s">
        <v>90</v>
      </c>
      <c r="G6">
        <v>2</v>
      </c>
      <c r="H6">
        <v>1467.86</v>
      </c>
      <c r="I6">
        <v>0.1</v>
      </c>
      <c r="J6" t="s">
        <v>91</v>
      </c>
      <c r="K6" t="s">
        <v>92</v>
      </c>
      <c r="L6" t="s">
        <v>93</v>
      </c>
      <c r="M6" t="s">
        <v>94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101</v>
      </c>
      <c r="U6" t="s">
        <v>102</v>
      </c>
      <c r="V6" t="s">
        <v>103</v>
      </c>
      <c r="W6" t="s">
        <v>104</v>
      </c>
      <c r="X6" t="s">
        <v>105</v>
      </c>
      <c r="Y6" t="s">
        <v>106</v>
      </c>
      <c r="Z6" t="s">
        <v>107</v>
      </c>
      <c r="AA6" t="s">
        <v>19</v>
      </c>
      <c r="AB6" t="s">
        <v>108</v>
      </c>
      <c r="AC6" t="s">
        <v>109</v>
      </c>
      <c r="AD6">
        <v>2025</v>
      </c>
      <c r="AE6" t="s">
        <v>110</v>
      </c>
      <c r="AF6">
        <v>10</v>
      </c>
      <c r="AG6" t="s">
        <v>111</v>
      </c>
      <c r="AJ6" t="s">
        <v>112</v>
      </c>
      <c r="AK6" t="s">
        <v>113</v>
      </c>
      <c r="AL6" t="s">
        <v>114</v>
      </c>
      <c r="AM6" t="s">
        <v>115</v>
      </c>
      <c r="AN6" t="s">
        <v>116</v>
      </c>
      <c r="AO6">
        <v>72</v>
      </c>
      <c r="AP6">
        <v>5</v>
      </c>
      <c r="AQ6" t="s">
        <v>117</v>
      </c>
      <c r="AR6" t="s">
        <v>118</v>
      </c>
      <c r="AS6" t="s">
        <v>83</v>
      </c>
      <c r="AT6" t="s">
        <v>119</v>
      </c>
      <c r="AU6" t="s">
        <v>120</v>
      </c>
      <c r="AV6" t="s">
        <v>121</v>
      </c>
      <c r="AW6" t="s">
        <v>122</v>
      </c>
    </row>
    <row r="7" spans="1:50" x14ac:dyDescent="0.25">
      <c r="A7" t="s">
        <v>123</v>
      </c>
      <c r="B7" t="s">
        <v>124</v>
      </c>
      <c r="C7" t="s">
        <v>125</v>
      </c>
      <c r="D7" t="s">
        <v>126</v>
      </c>
      <c r="E7" t="s">
        <v>127</v>
      </c>
      <c r="F7" t="s">
        <v>128</v>
      </c>
      <c r="G7" t="s">
        <v>129</v>
      </c>
      <c r="H7" t="s">
        <v>130</v>
      </c>
      <c r="J7" t="s">
        <v>131</v>
      </c>
      <c r="K7" t="s">
        <v>132</v>
      </c>
      <c r="L7" t="s">
        <v>133</v>
      </c>
      <c r="M7" t="s">
        <v>134</v>
      </c>
      <c r="N7" t="s">
        <v>135</v>
      </c>
      <c r="O7" t="s">
        <v>136</v>
      </c>
      <c r="P7" t="s">
        <v>137</v>
      </c>
      <c r="Q7" t="s">
        <v>138</v>
      </c>
      <c r="R7" t="s">
        <v>139</v>
      </c>
      <c r="S7" t="s">
        <v>140</v>
      </c>
      <c r="T7" t="s">
        <v>141</v>
      </c>
      <c r="U7" t="s">
        <v>142</v>
      </c>
      <c r="V7" t="s">
        <v>70</v>
      </c>
      <c r="W7" t="s">
        <v>71</v>
      </c>
      <c r="X7" t="s">
        <v>105</v>
      </c>
      <c r="Y7" t="s">
        <v>106</v>
      </c>
      <c r="Z7" t="s">
        <v>143</v>
      </c>
      <c r="AA7" t="s">
        <v>144</v>
      </c>
      <c r="AB7" t="s">
        <v>76</v>
      </c>
      <c r="AC7" t="s">
        <v>145</v>
      </c>
      <c r="AD7" t="s">
        <v>146</v>
      </c>
      <c r="AE7" t="s">
        <v>110</v>
      </c>
      <c r="AF7">
        <v>51</v>
      </c>
      <c r="AG7">
        <v>0.08</v>
      </c>
      <c r="AJ7">
        <v>24.16</v>
      </c>
      <c r="AK7" t="s">
        <v>147</v>
      </c>
      <c r="AL7" t="s">
        <v>148</v>
      </c>
      <c r="AM7" t="s">
        <v>149</v>
      </c>
      <c r="AN7" t="s">
        <v>150</v>
      </c>
      <c r="AO7">
        <v>231</v>
      </c>
      <c r="AQ7" t="s">
        <v>151</v>
      </c>
      <c r="AR7" t="s">
        <v>118</v>
      </c>
      <c r="AS7" t="s">
        <v>83</v>
      </c>
      <c r="AT7" t="s">
        <v>152</v>
      </c>
      <c r="AU7" t="s">
        <v>91</v>
      </c>
      <c r="AV7" t="s">
        <v>153</v>
      </c>
      <c r="AW7" t="s">
        <v>122</v>
      </c>
    </row>
    <row r="8" spans="1:50" x14ac:dyDescent="0.25">
      <c r="A8" t="s">
        <v>154</v>
      </c>
      <c r="B8" t="s">
        <v>155</v>
      </c>
      <c r="C8" t="s">
        <v>156</v>
      </c>
      <c r="D8" t="s">
        <v>157</v>
      </c>
      <c r="E8" t="s">
        <v>158</v>
      </c>
      <c r="F8" t="s">
        <v>159</v>
      </c>
      <c r="G8" t="s">
        <v>160</v>
      </c>
      <c r="H8" t="s">
        <v>161</v>
      </c>
      <c r="I8" t="s">
        <v>162</v>
      </c>
      <c r="J8" t="s">
        <v>163</v>
      </c>
      <c r="K8" t="s">
        <v>132</v>
      </c>
      <c r="L8" t="s">
        <v>164</v>
      </c>
      <c r="M8" t="s">
        <v>165</v>
      </c>
      <c r="N8" t="s">
        <v>166</v>
      </c>
      <c r="O8" t="s">
        <v>136</v>
      </c>
      <c r="P8" t="s">
        <v>167</v>
      </c>
      <c r="Q8" t="s">
        <v>168</v>
      </c>
      <c r="R8" t="s">
        <v>169</v>
      </c>
      <c r="S8" t="s">
        <v>170</v>
      </c>
      <c r="T8" t="s">
        <v>171</v>
      </c>
      <c r="U8" t="s">
        <v>172</v>
      </c>
      <c r="V8" t="s">
        <v>173</v>
      </c>
      <c r="W8" t="s">
        <v>174</v>
      </c>
      <c r="X8" t="s">
        <v>175</v>
      </c>
      <c r="Y8" t="s">
        <v>176</v>
      </c>
      <c r="Z8" t="s">
        <v>177</v>
      </c>
      <c r="AA8" t="s">
        <v>178</v>
      </c>
      <c r="AB8" t="s">
        <v>179</v>
      </c>
      <c r="AC8" t="s">
        <v>180</v>
      </c>
      <c r="AD8" t="s">
        <v>146</v>
      </c>
      <c r="AE8" t="s">
        <v>181</v>
      </c>
      <c r="AF8" t="s">
        <v>142</v>
      </c>
      <c r="AG8">
        <v>0.08</v>
      </c>
      <c r="AJ8" t="s">
        <v>182</v>
      </c>
      <c r="AK8" t="s">
        <v>183</v>
      </c>
      <c r="AL8" t="s">
        <v>184</v>
      </c>
      <c r="AM8" t="s">
        <v>185</v>
      </c>
      <c r="AN8" t="s">
        <v>186</v>
      </c>
      <c r="AO8" t="s">
        <v>163</v>
      </c>
      <c r="AP8" t="s">
        <v>187</v>
      </c>
      <c r="AR8" t="s">
        <v>188</v>
      </c>
      <c r="AV8" t="s">
        <v>189</v>
      </c>
      <c r="AW8" t="s">
        <v>190</v>
      </c>
      <c r="AX8" t="s">
        <v>191</v>
      </c>
    </row>
    <row r="9" spans="1:50" x14ac:dyDescent="0.25">
      <c r="A9" t="s">
        <v>192</v>
      </c>
      <c r="B9" t="s">
        <v>193</v>
      </c>
      <c r="C9" t="s">
        <v>194</v>
      </c>
      <c r="D9" t="s">
        <v>195</v>
      </c>
      <c r="E9" t="s">
        <v>196</v>
      </c>
      <c r="F9" t="s">
        <v>163</v>
      </c>
      <c r="G9">
        <v>14</v>
      </c>
      <c r="H9" t="s">
        <v>142</v>
      </c>
      <c r="I9">
        <v>0.1</v>
      </c>
      <c r="K9" t="s">
        <v>92</v>
      </c>
      <c r="L9" t="s">
        <v>197</v>
      </c>
      <c r="N9" t="s">
        <v>135</v>
      </c>
      <c r="O9" t="s">
        <v>198</v>
      </c>
      <c r="P9" t="s">
        <v>199</v>
      </c>
      <c r="Q9" t="s">
        <v>200</v>
      </c>
      <c r="R9" t="s">
        <v>201</v>
      </c>
      <c r="S9" t="s">
        <v>202</v>
      </c>
      <c r="T9" t="s">
        <v>203</v>
      </c>
      <c r="U9" t="s">
        <v>204</v>
      </c>
      <c r="V9" t="s">
        <v>205</v>
      </c>
      <c r="W9" t="s">
        <v>206</v>
      </c>
      <c r="X9" t="s">
        <v>207</v>
      </c>
      <c r="Y9" t="s">
        <v>73</v>
      </c>
      <c r="Z9" t="s">
        <v>208</v>
      </c>
      <c r="AA9" t="s">
        <v>19</v>
      </c>
      <c r="AB9" t="s">
        <v>179</v>
      </c>
      <c r="AC9" t="s">
        <v>209</v>
      </c>
      <c r="AD9" t="s">
        <v>210</v>
      </c>
      <c r="AE9" t="s">
        <v>77</v>
      </c>
      <c r="AF9">
        <v>24</v>
      </c>
      <c r="AG9" t="s">
        <v>211</v>
      </c>
      <c r="AJ9" t="s">
        <v>212</v>
      </c>
      <c r="AK9" t="s">
        <v>183</v>
      </c>
      <c r="AL9" t="s">
        <v>213</v>
      </c>
      <c r="AM9">
        <v>11.33</v>
      </c>
      <c r="AN9" t="s">
        <v>186</v>
      </c>
      <c r="AO9">
        <v>99</v>
      </c>
      <c r="AP9" t="s">
        <v>214</v>
      </c>
      <c r="AQ9" t="s">
        <v>117</v>
      </c>
      <c r="AR9" t="s">
        <v>188</v>
      </c>
      <c r="AS9" t="s">
        <v>215</v>
      </c>
      <c r="AT9" t="s">
        <v>119</v>
      </c>
      <c r="AU9" t="s">
        <v>91</v>
      </c>
      <c r="AV9" t="s">
        <v>216</v>
      </c>
      <c r="AW9" t="s">
        <v>216</v>
      </c>
    </row>
    <row r="10" spans="1:50" x14ac:dyDescent="0.25">
      <c r="A10" t="s">
        <v>217</v>
      </c>
      <c r="B10" t="s">
        <v>218</v>
      </c>
      <c r="C10" t="s">
        <v>219</v>
      </c>
      <c r="D10" t="s">
        <v>220</v>
      </c>
      <c r="E10" t="s">
        <v>221</v>
      </c>
      <c r="F10" t="s">
        <v>222</v>
      </c>
      <c r="G10" t="s">
        <v>223</v>
      </c>
      <c r="H10" t="s">
        <v>224</v>
      </c>
      <c r="I10" t="s">
        <v>58</v>
      </c>
      <c r="J10" t="s">
        <v>134</v>
      </c>
      <c r="K10" t="s">
        <v>92</v>
      </c>
      <c r="L10" t="s">
        <v>225</v>
      </c>
      <c r="M10" t="s">
        <v>163</v>
      </c>
      <c r="N10" t="s">
        <v>95</v>
      </c>
      <c r="O10" t="s">
        <v>226</v>
      </c>
      <c r="P10" t="s">
        <v>227</v>
      </c>
      <c r="Q10" t="s">
        <v>228</v>
      </c>
      <c r="R10" t="s">
        <v>229</v>
      </c>
      <c r="S10" t="s">
        <v>230</v>
      </c>
      <c r="T10" t="s">
        <v>231</v>
      </c>
      <c r="U10" t="s">
        <v>232</v>
      </c>
      <c r="V10" t="s">
        <v>70</v>
      </c>
      <c r="W10" t="s">
        <v>206</v>
      </c>
      <c r="X10" t="s">
        <v>233</v>
      </c>
      <c r="Y10" t="s">
        <v>234</v>
      </c>
      <c r="Z10" t="s">
        <v>235</v>
      </c>
      <c r="AA10" t="s">
        <v>236</v>
      </c>
      <c r="AB10" t="s">
        <v>179</v>
      </c>
      <c r="AC10">
        <v>4</v>
      </c>
      <c r="AD10" t="s">
        <v>237</v>
      </c>
      <c r="AE10" t="s">
        <v>181</v>
      </c>
      <c r="AF10" t="s">
        <v>91</v>
      </c>
      <c r="AG10" t="s">
        <v>238</v>
      </c>
      <c r="AJ10" t="s">
        <v>239</v>
      </c>
      <c r="AK10" t="s">
        <v>240</v>
      </c>
      <c r="AL10" t="s">
        <v>241</v>
      </c>
      <c r="AM10">
        <v>29.73</v>
      </c>
      <c r="AN10" t="s">
        <v>82</v>
      </c>
      <c r="AO10">
        <v>468</v>
      </c>
      <c r="AP10">
        <v>5</v>
      </c>
      <c r="AQ10" t="s">
        <v>242</v>
      </c>
      <c r="AR10" t="s">
        <v>243</v>
      </c>
      <c r="AT10" t="s">
        <v>152</v>
      </c>
      <c r="AU10" t="s">
        <v>244</v>
      </c>
      <c r="AV10" t="s">
        <v>245</v>
      </c>
      <c r="AW10" t="s">
        <v>122</v>
      </c>
      <c r="AX10" t="s">
        <v>246</v>
      </c>
    </row>
    <row r="11" spans="1:50" x14ac:dyDescent="0.25">
      <c r="A11" t="s">
        <v>247</v>
      </c>
      <c r="B11" t="s">
        <v>248</v>
      </c>
      <c r="C11" t="s">
        <v>249</v>
      </c>
      <c r="D11" t="s">
        <v>250</v>
      </c>
      <c r="E11" t="s">
        <v>251</v>
      </c>
      <c r="F11" t="s">
        <v>142</v>
      </c>
      <c r="G11" t="s">
        <v>252</v>
      </c>
      <c r="H11">
        <v>364.79</v>
      </c>
      <c r="I11" t="s">
        <v>253</v>
      </c>
      <c r="J11" t="s">
        <v>134</v>
      </c>
      <c r="K11" t="s">
        <v>92</v>
      </c>
      <c r="L11" t="s">
        <v>254</v>
      </c>
      <c r="M11" t="s">
        <v>255</v>
      </c>
      <c r="N11" t="s">
        <v>135</v>
      </c>
      <c r="O11" t="s">
        <v>63</v>
      </c>
      <c r="P11" t="s">
        <v>256</v>
      </c>
      <c r="Q11" t="s">
        <v>257</v>
      </c>
      <c r="R11" t="s">
        <v>258</v>
      </c>
      <c r="S11" t="s">
        <v>259</v>
      </c>
      <c r="T11" t="s">
        <v>260</v>
      </c>
      <c r="U11" t="s">
        <v>261</v>
      </c>
      <c r="V11" t="s">
        <v>173</v>
      </c>
      <c r="W11" t="s">
        <v>71</v>
      </c>
      <c r="X11" t="s">
        <v>233</v>
      </c>
      <c r="Y11" t="s">
        <v>73</v>
      </c>
      <c r="Z11" t="s">
        <v>262</v>
      </c>
      <c r="AA11" t="s">
        <v>75</v>
      </c>
      <c r="AB11" t="s">
        <v>263</v>
      </c>
      <c r="AC11" t="s">
        <v>264</v>
      </c>
      <c r="AD11">
        <v>2026</v>
      </c>
      <c r="AE11" t="s">
        <v>181</v>
      </c>
      <c r="AF11">
        <v>34</v>
      </c>
      <c r="AG11" t="s">
        <v>111</v>
      </c>
      <c r="AJ11">
        <v>40.909999999999997</v>
      </c>
      <c r="AK11" t="s">
        <v>79</v>
      </c>
      <c r="AL11" t="s">
        <v>265</v>
      </c>
      <c r="AM11" t="s">
        <v>266</v>
      </c>
      <c r="AN11" t="s">
        <v>267</v>
      </c>
      <c r="AO11">
        <v>56</v>
      </c>
      <c r="AP11" t="s">
        <v>187</v>
      </c>
      <c r="AR11" t="s">
        <v>118</v>
      </c>
      <c r="AS11" t="s">
        <v>215</v>
      </c>
      <c r="AT11" t="s">
        <v>119</v>
      </c>
      <c r="AU11" t="s">
        <v>268</v>
      </c>
      <c r="AV11" t="s">
        <v>269</v>
      </c>
      <c r="AX11" t="s">
        <v>270</v>
      </c>
    </row>
    <row r="12" spans="1:50" x14ac:dyDescent="0.25">
      <c r="A12" t="s">
        <v>271</v>
      </c>
      <c r="B12" t="s">
        <v>272</v>
      </c>
      <c r="C12" t="s">
        <v>273</v>
      </c>
      <c r="D12" t="s">
        <v>274</v>
      </c>
      <c r="E12" t="s">
        <v>275</v>
      </c>
      <c r="F12" t="s">
        <v>276</v>
      </c>
      <c r="G12" t="s">
        <v>277</v>
      </c>
      <c r="H12" t="s">
        <v>278</v>
      </c>
      <c r="I12" t="s">
        <v>162</v>
      </c>
      <c r="J12" t="s">
        <v>279</v>
      </c>
      <c r="K12" t="s">
        <v>280</v>
      </c>
      <c r="L12" t="s">
        <v>281</v>
      </c>
      <c r="M12" t="s">
        <v>282</v>
      </c>
      <c r="N12" t="s">
        <v>95</v>
      </c>
      <c r="O12" t="s">
        <v>283</v>
      </c>
      <c r="P12" t="s">
        <v>284</v>
      </c>
      <c r="Q12" t="s">
        <v>285</v>
      </c>
      <c r="R12" t="s">
        <v>286</v>
      </c>
      <c r="S12" t="s">
        <v>287</v>
      </c>
      <c r="T12" t="s">
        <v>288</v>
      </c>
      <c r="U12" t="s">
        <v>289</v>
      </c>
      <c r="V12" t="s">
        <v>290</v>
      </c>
      <c r="W12" t="s">
        <v>174</v>
      </c>
      <c r="X12" t="s">
        <v>207</v>
      </c>
      <c r="Y12" t="s">
        <v>106</v>
      </c>
      <c r="Z12" t="s">
        <v>291</v>
      </c>
      <c r="AA12" t="s">
        <v>178</v>
      </c>
      <c r="AB12" t="s">
        <v>76</v>
      </c>
      <c r="AC12" t="s">
        <v>180</v>
      </c>
      <c r="AD12">
        <v>2025</v>
      </c>
      <c r="AE12" t="s">
        <v>181</v>
      </c>
      <c r="AF12" t="s">
        <v>134</v>
      </c>
      <c r="AG12" t="s">
        <v>211</v>
      </c>
      <c r="AJ12" t="s">
        <v>292</v>
      </c>
      <c r="AK12" t="s">
        <v>183</v>
      </c>
      <c r="AL12" t="s">
        <v>293</v>
      </c>
      <c r="AM12">
        <v>4.46</v>
      </c>
      <c r="AN12" t="s">
        <v>116</v>
      </c>
      <c r="AO12">
        <v>196</v>
      </c>
      <c r="AP12">
        <v>4</v>
      </c>
      <c r="AQ12" t="s">
        <v>117</v>
      </c>
      <c r="AR12" t="s">
        <v>118</v>
      </c>
      <c r="AU12" t="s">
        <v>163</v>
      </c>
      <c r="AV12" t="s">
        <v>294</v>
      </c>
      <c r="AW12" t="s">
        <v>122</v>
      </c>
      <c r="AX12" t="s">
        <v>191</v>
      </c>
    </row>
    <row r="13" spans="1:50" x14ac:dyDescent="0.25">
      <c r="A13" t="s">
        <v>295</v>
      </c>
      <c r="B13" t="s">
        <v>296</v>
      </c>
      <c r="C13" t="s">
        <v>297</v>
      </c>
      <c r="D13" t="s">
        <v>298</v>
      </c>
      <c r="E13" t="s">
        <v>142</v>
      </c>
      <c r="F13" t="s">
        <v>299</v>
      </c>
      <c r="G13" t="s">
        <v>300</v>
      </c>
      <c r="H13" t="s">
        <v>301</v>
      </c>
      <c r="I13" t="s">
        <v>162</v>
      </c>
      <c r="J13">
        <v>3039.86</v>
      </c>
      <c r="K13" t="s">
        <v>132</v>
      </c>
      <c r="L13" t="s">
        <v>302</v>
      </c>
      <c r="M13" t="s">
        <v>303</v>
      </c>
      <c r="N13" t="s">
        <v>166</v>
      </c>
      <c r="O13" t="s">
        <v>304</v>
      </c>
      <c r="P13" t="s">
        <v>305</v>
      </c>
      <c r="Q13" t="s">
        <v>306</v>
      </c>
      <c r="R13" t="s">
        <v>307</v>
      </c>
      <c r="S13" t="s">
        <v>308</v>
      </c>
      <c r="T13" t="s">
        <v>309</v>
      </c>
      <c r="U13" t="s">
        <v>310</v>
      </c>
      <c r="V13" t="s">
        <v>205</v>
      </c>
      <c r="W13" t="s">
        <v>311</v>
      </c>
      <c r="X13" t="s">
        <v>72</v>
      </c>
      <c r="Y13" t="s">
        <v>73</v>
      </c>
      <c r="Z13" t="s">
        <v>312</v>
      </c>
      <c r="AA13" t="s">
        <v>75</v>
      </c>
      <c r="AB13" t="s">
        <v>263</v>
      </c>
      <c r="AC13" t="s">
        <v>313</v>
      </c>
      <c r="AD13" t="s">
        <v>314</v>
      </c>
      <c r="AE13" t="s">
        <v>181</v>
      </c>
      <c r="AF13">
        <v>3</v>
      </c>
      <c r="AG13" t="s">
        <v>111</v>
      </c>
      <c r="AJ13" t="s">
        <v>315</v>
      </c>
      <c r="AK13" t="s">
        <v>147</v>
      </c>
      <c r="AL13" t="s">
        <v>316</v>
      </c>
      <c r="AM13" t="s">
        <v>317</v>
      </c>
      <c r="AN13" t="s">
        <v>186</v>
      </c>
      <c r="AO13">
        <v>81</v>
      </c>
      <c r="AP13">
        <v>5</v>
      </c>
      <c r="AQ13" t="s">
        <v>318</v>
      </c>
      <c r="AR13" t="s">
        <v>319</v>
      </c>
      <c r="AT13">
        <v>0.3</v>
      </c>
      <c r="AU13" t="s">
        <v>320</v>
      </c>
      <c r="AV13" t="s">
        <v>321</v>
      </c>
      <c r="AW13" t="s">
        <v>122</v>
      </c>
      <c r="AX13" t="s">
        <v>270</v>
      </c>
    </row>
    <row r="14" spans="1:50" x14ac:dyDescent="0.25">
      <c r="A14" t="s">
        <v>322</v>
      </c>
      <c r="B14" t="s">
        <v>323</v>
      </c>
      <c r="C14" t="s">
        <v>324</v>
      </c>
      <c r="D14" t="s">
        <v>325</v>
      </c>
      <c r="E14" t="s">
        <v>326</v>
      </c>
      <c r="F14" t="s">
        <v>327</v>
      </c>
      <c r="G14" t="s">
        <v>328</v>
      </c>
      <c r="H14">
        <v>95.7</v>
      </c>
      <c r="I14">
        <v>0.1</v>
      </c>
      <c r="J14" t="s">
        <v>329</v>
      </c>
      <c r="K14" t="s">
        <v>330</v>
      </c>
      <c r="L14" t="s">
        <v>331</v>
      </c>
      <c r="N14" t="s">
        <v>62</v>
      </c>
      <c r="O14" t="s">
        <v>332</v>
      </c>
      <c r="P14" t="s">
        <v>333</v>
      </c>
      <c r="Q14" t="s">
        <v>334</v>
      </c>
      <c r="R14" t="s">
        <v>134</v>
      </c>
      <c r="S14" t="s">
        <v>335</v>
      </c>
      <c r="T14" t="s">
        <v>336</v>
      </c>
      <c r="U14" t="s">
        <v>91</v>
      </c>
      <c r="V14" t="s">
        <v>205</v>
      </c>
      <c r="W14" t="s">
        <v>174</v>
      </c>
      <c r="X14" t="s">
        <v>72</v>
      </c>
      <c r="Y14" t="s">
        <v>337</v>
      </c>
      <c r="Z14" t="s">
        <v>338</v>
      </c>
      <c r="AA14" t="s">
        <v>178</v>
      </c>
      <c r="AB14" t="s">
        <v>179</v>
      </c>
      <c r="AC14" t="s">
        <v>313</v>
      </c>
      <c r="AD14" t="s">
        <v>314</v>
      </c>
      <c r="AE14" t="s">
        <v>110</v>
      </c>
      <c r="AF14" t="s">
        <v>91</v>
      </c>
      <c r="AG14" t="s">
        <v>211</v>
      </c>
      <c r="AJ14" t="s">
        <v>339</v>
      </c>
      <c r="AK14" t="s">
        <v>147</v>
      </c>
      <c r="AL14" t="s">
        <v>340</v>
      </c>
      <c r="AM14" t="s">
        <v>341</v>
      </c>
      <c r="AN14" t="s">
        <v>186</v>
      </c>
      <c r="AO14">
        <v>205</v>
      </c>
      <c r="AP14">
        <v>1</v>
      </c>
      <c r="AR14">
        <v>0</v>
      </c>
      <c r="AS14" t="s">
        <v>83</v>
      </c>
      <c r="AT14">
        <v>0.3</v>
      </c>
      <c r="AU14" t="s">
        <v>342</v>
      </c>
      <c r="AV14" t="s">
        <v>343</v>
      </c>
      <c r="AW14" t="s">
        <v>122</v>
      </c>
      <c r="AX14" t="s">
        <v>191</v>
      </c>
    </row>
    <row r="15" spans="1:50" x14ac:dyDescent="0.25">
      <c r="A15" t="s">
        <v>344</v>
      </c>
      <c r="B15" t="s">
        <v>345</v>
      </c>
      <c r="C15" t="s">
        <v>142</v>
      </c>
      <c r="D15" t="s">
        <v>346</v>
      </c>
      <c r="E15" t="s">
        <v>347</v>
      </c>
      <c r="F15" t="s">
        <v>90</v>
      </c>
      <c r="G15">
        <v>35</v>
      </c>
      <c r="H15" t="s">
        <v>348</v>
      </c>
      <c r="I15">
        <v>0</v>
      </c>
      <c r="J15" t="s">
        <v>349</v>
      </c>
      <c r="K15" t="s">
        <v>330</v>
      </c>
      <c r="L15" t="s">
        <v>350</v>
      </c>
      <c r="M15" t="s">
        <v>163</v>
      </c>
      <c r="N15" t="s">
        <v>135</v>
      </c>
      <c r="O15" t="s">
        <v>283</v>
      </c>
      <c r="P15" t="s">
        <v>351</v>
      </c>
      <c r="Q15" t="s">
        <v>352</v>
      </c>
      <c r="R15" t="s">
        <v>99</v>
      </c>
      <c r="S15" t="s">
        <v>353</v>
      </c>
      <c r="T15" t="s">
        <v>354</v>
      </c>
      <c r="U15" t="s">
        <v>355</v>
      </c>
      <c r="V15" t="s">
        <v>70</v>
      </c>
      <c r="W15" t="s">
        <v>311</v>
      </c>
      <c r="X15" t="s">
        <v>233</v>
      </c>
      <c r="Y15" t="s">
        <v>234</v>
      </c>
      <c r="Z15" t="s">
        <v>356</v>
      </c>
      <c r="AA15" t="s">
        <v>144</v>
      </c>
      <c r="AB15" t="s">
        <v>179</v>
      </c>
      <c r="AC15" t="s">
        <v>357</v>
      </c>
      <c r="AD15" t="s">
        <v>237</v>
      </c>
      <c r="AE15" t="s">
        <v>181</v>
      </c>
      <c r="AF15">
        <v>48</v>
      </c>
      <c r="AG15" t="s">
        <v>211</v>
      </c>
      <c r="AJ15" t="s">
        <v>358</v>
      </c>
      <c r="AK15" t="s">
        <v>240</v>
      </c>
      <c r="AL15" t="s">
        <v>359</v>
      </c>
      <c r="AM15" t="s">
        <v>360</v>
      </c>
      <c r="AN15" t="s">
        <v>267</v>
      </c>
      <c r="AO15">
        <v>299</v>
      </c>
      <c r="AP15">
        <v>3</v>
      </c>
      <c r="AQ15" t="s">
        <v>242</v>
      </c>
      <c r="AR15" t="s">
        <v>243</v>
      </c>
      <c r="AT15" t="s">
        <v>361</v>
      </c>
      <c r="AU15" t="s">
        <v>362</v>
      </c>
      <c r="AV15" t="s">
        <v>363</v>
      </c>
      <c r="AW15" t="s">
        <v>364</v>
      </c>
    </row>
    <row r="16" spans="1:50" x14ac:dyDescent="0.25">
      <c r="A16" t="s">
        <v>365</v>
      </c>
      <c r="B16" t="s">
        <v>366</v>
      </c>
      <c r="C16" t="s">
        <v>367</v>
      </c>
      <c r="D16" t="s">
        <v>368</v>
      </c>
      <c r="E16" t="s">
        <v>369</v>
      </c>
      <c r="F16" t="s">
        <v>91</v>
      </c>
      <c r="G16" t="s">
        <v>370</v>
      </c>
      <c r="H16" t="s">
        <v>371</v>
      </c>
      <c r="I16" t="s">
        <v>162</v>
      </c>
      <c r="J16" t="s">
        <v>372</v>
      </c>
      <c r="K16" t="s">
        <v>59</v>
      </c>
      <c r="L16" t="s">
        <v>373</v>
      </c>
      <c r="M16" t="s">
        <v>374</v>
      </c>
      <c r="N16" t="s">
        <v>95</v>
      </c>
      <c r="O16" t="s">
        <v>375</v>
      </c>
      <c r="P16" t="s">
        <v>376</v>
      </c>
      <c r="Q16" t="s">
        <v>377</v>
      </c>
      <c r="R16" t="s">
        <v>378</v>
      </c>
      <c r="S16" t="s">
        <v>379</v>
      </c>
      <c r="T16" t="s">
        <v>380</v>
      </c>
      <c r="U16" t="s">
        <v>381</v>
      </c>
      <c r="V16" t="s">
        <v>70</v>
      </c>
      <c r="W16" t="s">
        <v>206</v>
      </c>
      <c r="X16" t="s">
        <v>207</v>
      </c>
      <c r="Y16" t="s">
        <v>176</v>
      </c>
      <c r="Z16" t="s">
        <v>382</v>
      </c>
      <c r="AA16" t="s">
        <v>236</v>
      </c>
      <c r="AB16" t="s">
        <v>76</v>
      </c>
      <c r="AC16">
        <v>2</v>
      </c>
      <c r="AD16">
        <v>2025</v>
      </c>
      <c r="AE16" t="s">
        <v>110</v>
      </c>
      <c r="AF16" t="s">
        <v>134</v>
      </c>
      <c r="AG16" t="s">
        <v>211</v>
      </c>
      <c r="AJ16" t="s">
        <v>383</v>
      </c>
      <c r="AK16" t="s">
        <v>79</v>
      </c>
      <c r="AL16" t="s">
        <v>384</v>
      </c>
      <c r="AM16">
        <v>24.48</v>
      </c>
      <c r="AN16" t="s">
        <v>116</v>
      </c>
      <c r="AO16">
        <v>480</v>
      </c>
      <c r="AP16">
        <v>2</v>
      </c>
      <c r="AQ16" t="s">
        <v>151</v>
      </c>
      <c r="AR16">
        <v>1</v>
      </c>
      <c r="AS16" t="s">
        <v>83</v>
      </c>
      <c r="AT16" t="s">
        <v>361</v>
      </c>
      <c r="AU16">
        <v>122</v>
      </c>
      <c r="AV16" t="s">
        <v>385</v>
      </c>
      <c r="AW16" t="s">
        <v>386</v>
      </c>
      <c r="AX16" t="s">
        <v>246</v>
      </c>
    </row>
    <row r="17" spans="1:50" x14ac:dyDescent="0.25">
      <c r="A17" t="s">
        <v>387</v>
      </c>
      <c r="B17" t="s">
        <v>388</v>
      </c>
      <c r="C17" t="s">
        <v>389</v>
      </c>
      <c r="D17" t="s">
        <v>390</v>
      </c>
      <c r="E17" t="s">
        <v>391</v>
      </c>
      <c r="F17" t="s">
        <v>222</v>
      </c>
      <c r="G17" t="s">
        <v>392</v>
      </c>
      <c r="H17" t="s">
        <v>393</v>
      </c>
      <c r="I17">
        <v>0</v>
      </c>
      <c r="J17" t="s">
        <v>394</v>
      </c>
      <c r="K17" t="s">
        <v>92</v>
      </c>
      <c r="L17" t="s">
        <v>395</v>
      </c>
      <c r="M17" t="s">
        <v>163</v>
      </c>
      <c r="N17" t="s">
        <v>396</v>
      </c>
      <c r="O17" t="s">
        <v>397</v>
      </c>
      <c r="P17" t="s">
        <v>398</v>
      </c>
      <c r="Q17" t="s">
        <v>399</v>
      </c>
      <c r="R17" t="s">
        <v>400</v>
      </c>
      <c r="S17" t="s">
        <v>401</v>
      </c>
      <c r="T17" t="s">
        <v>402</v>
      </c>
      <c r="U17" t="s">
        <v>403</v>
      </c>
      <c r="V17" t="s">
        <v>290</v>
      </c>
      <c r="W17" t="s">
        <v>71</v>
      </c>
      <c r="X17" t="s">
        <v>233</v>
      </c>
      <c r="Y17" t="s">
        <v>337</v>
      </c>
      <c r="Z17" t="s">
        <v>404</v>
      </c>
      <c r="AA17" t="s">
        <v>144</v>
      </c>
      <c r="AB17" t="s">
        <v>405</v>
      </c>
      <c r="AC17" t="s">
        <v>180</v>
      </c>
      <c r="AD17">
        <v>2025</v>
      </c>
      <c r="AE17" t="s">
        <v>406</v>
      </c>
      <c r="AF17">
        <v>81</v>
      </c>
      <c r="AG17">
        <v>0.08</v>
      </c>
      <c r="AJ17" t="s">
        <v>315</v>
      </c>
      <c r="AK17" t="s">
        <v>240</v>
      </c>
      <c r="AL17" t="s">
        <v>407</v>
      </c>
      <c r="AM17" t="s">
        <v>408</v>
      </c>
      <c r="AN17" t="s">
        <v>82</v>
      </c>
      <c r="AO17">
        <v>11</v>
      </c>
      <c r="AP17" t="s">
        <v>187</v>
      </c>
      <c r="AR17">
        <v>0</v>
      </c>
      <c r="AU17">
        <v>311.52</v>
      </c>
      <c r="AV17" t="s">
        <v>409</v>
      </c>
      <c r="AW17" t="s">
        <v>122</v>
      </c>
      <c r="AX17" t="s">
        <v>191</v>
      </c>
    </row>
    <row r="18" spans="1:50" x14ac:dyDescent="0.25">
      <c r="A18" t="s">
        <v>410</v>
      </c>
      <c r="B18" t="s">
        <v>411</v>
      </c>
      <c r="C18" t="s">
        <v>412</v>
      </c>
      <c r="D18" t="s">
        <v>413</v>
      </c>
      <c r="E18" t="s">
        <v>414</v>
      </c>
      <c r="F18" t="s">
        <v>327</v>
      </c>
      <c r="G18">
        <v>21</v>
      </c>
      <c r="H18" t="s">
        <v>415</v>
      </c>
      <c r="I18" t="s">
        <v>58</v>
      </c>
      <c r="J18" t="s">
        <v>134</v>
      </c>
      <c r="K18" t="s">
        <v>92</v>
      </c>
      <c r="L18" t="s">
        <v>416</v>
      </c>
      <c r="M18" t="s">
        <v>163</v>
      </c>
      <c r="N18" t="s">
        <v>417</v>
      </c>
      <c r="O18" t="s">
        <v>226</v>
      </c>
      <c r="P18" t="s">
        <v>418</v>
      </c>
      <c r="Q18" t="s">
        <v>419</v>
      </c>
      <c r="R18" t="s">
        <v>420</v>
      </c>
      <c r="S18" t="s">
        <v>421</v>
      </c>
      <c r="T18" t="s">
        <v>422</v>
      </c>
      <c r="U18" t="s">
        <v>423</v>
      </c>
      <c r="V18" t="s">
        <v>290</v>
      </c>
      <c r="W18" t="s">
        <v>311</v>
      </c>
      <c r="X18" t="s">
        <v>424</v>
      </c>
      <c r="Y18" t="s">
        <v>118</v>
      </c>
      <c r="Z18" t="s">
        <v>425</v>
      </c>
      <c r="AA18" t="s">
        <v>144</v>
      </c>
      <c r="AB18" t="s">
        <v>263</v>
      </c>
      <c r="AC18" t="s">
        <v>145</v>
      </c>
      <c r="AD18">
        <v>2026</v>
      </c>
      <c r="AE18" t="s">
        <v>181</v>
      </c>
      <c r="AF18">
        <v>38</v>
      </c>
      <c r="AG18" t="s">
        <v>238</v>
      </c>
      <c r="AJ18" t="s">
        <v>426</v>
      </c>
      <c r="AK18" t="s">
        <v>147</v>
      </c>
      <c r="AL18" t="s">
        <v>427</v>
      </c>
      <c r="AM18" t="s">
        <v>428</v>
      </c>
      <c r="AN18" t="s">
        <v>267</v>
      </c>
      <c r="AO18">
        <v>369</v>
      </c>
      <c r="AP18">
        <v>3</v>
      </c>
      <c r="AQ18" t="s">
        <v>117</v>
      </c>
      <c r="AR18">
        <v>0</v>
      </c>
      <c r="AS18" t="s">
        <v>429</v>
      </c>
      <c r="AU18" t="s">
        <v>430</v>
      </c>
      <c r="AV18" t="s">
        <v>431</v>
      </c>
      <c r="AW18" t="s">
        <v>122</v>
      </c>
      <c r="AX18" t="s">
        <v>270</v>
      </c>
    </row>
    <row r="19" spans="1:50" x14ac:dyDescent="0.25">
      <c r="A19" t="s">
        <v>432</v>
      </c>
      <c r="B19" t="s">
        <v>433</v>
      </c>
      <c r="C19" t="s">
        <v>434</v>
      </c>
      <c r="D19" t="s">
        <v>435</v>
      </c>
      <c r="E19" t="s">
        <v>91</v>
      </c>
      <c r="F19" t="s">
        <v>436</v>
      </c>
      <c r="G19" t="s">
        <v>437</v>
      </c>
      <c r="H19" t="s">
        <v>438</v>
      </c>
      <c r="I19">
        <v>0</v>
      </c>
      <c r="K19" t="s">
        <v>92</v>
      </c>
      <c r="L19" t="s">
        <v>439</v>
      </c>
      <c r="M19" t="s">
        <v>440</v>
      </c>
      <c r="N19" t="s">
        <v>135</v>
      </c>
      <c r="O19" t="s">
        <v>136</v>
      </c>
      <c r="P19" t="s">
        <v>441</v>
      </c>
      <c r="Q19" t="s">
        <v>442</v>
      </c>
      <c r="R19" t="s">
        <v>201</v>
      </c>
      <c r="S19" t="s">
        <v>443</v>
      </c>
      <c r="T19" t="s">
        <v>444</v>
      </c>
      <c r="U19" t="s">
        <v>445</v>
      </c>
      <c r="V19" t="s">
        <v>70</v>
      </c>
      <c r="W19" t="s">
        <v>206</v>
      </c>
      <c r="X19" t="s">
        <v>105</v>
      </c>
      <c r="Y19" t="s">
        <v>176</v>
      </c>
      <c r="Z19" t="s">
        <v>446</v>
      </c>
      <c r="AA19" t="s">
        <v>75</v>
      </c>
      <c r="AB19" t="s">
        <v>405</v>
      </c>
      <c r="AC19" t="s">
        <v>447</v>
      </c>
      <c r="AD19">
        <v>2025</v>
      </c>
      <c r="AE19" t="s">
        <v>77</v>
      </c>
      <c r="AF19">
        <v>31</v>
      </c>
      <c r="AG19" t="s">
        <v>111</v>
      </c>
      <c r="AJ19" t="s">
        <v>448</v>
      </c>
      <c r="AK19" t="s">
        <v>79</v>
      </c>
      <c r="AL19" t="s">
        <v>449</v>
      </c>
      <c r="AM19" t="s">
        <v>450</v>
      </c>
      <c r="AN19" t="s">
        <v>116</v>
      </c>
      <c r="AO19">
        <v>92</v>
      </c>
      <c r="AP19">
        <v>1</v>
      </c>
      <c r="AT19">
        <v>0.3</v>
      </c>
      <c r="AU19" t="s">
        <v>451</v>
      </c>
      <c r="AV19" t="s">
        <v>452</v>
      </c>
      <c r="AW19" t="s">
        <v>452</v>
      </c>
      <c r="AX19" t="s">
        <v>191</v>
      </c>
    </row>
    <row r="20" spans="1:50" x14ac:dyDescent="0.25">
      <c r="A20" t="s">
        <v>453</v>
      </c>
      <c r="B20" t="s">
        <v>454</v>
      </c>
      <c r="C20" t="s">
        <v>455</v>
      </c>
      <c r="D20" t="s">
        <v>456</v>
      </c>
      <c r="E20" t="s">
        <v>457</v>
      </c>
      <c r="F20" t="s">
        <v>222</v>
      </c>
      <c r="G20" t="s">
        <v>458</v>
      </c>
      <c r="H20" t="s">
        <v>438</v>
      </c>
      <c r="I20" t="s">
        <v>162</v>
      </c>
      <c r="J20" t="s">
        <v>459</v>
      </c>
      <c r="K20" t="s">
        <v>59</v>
      </c>
      <c r="L20" t="s">
        <v>460</v>
      </c>
      <c r="M20" t="s">
        <v>142</v>
      </c>
      <c r="N20" t="s">
        <v>166</v>
      </c>
      <c r="O20" t="s">
        <v>461</v>
      </c>
      <c r="P20" t="s">
        <v>462</v>
      </c>
      <c r="Q20" t="s">
        <v>463</v>
      </c>
      <c r="R20" t="s">
        <v>464</v>
      </c>
      <c r="S20" t="s">
        <v>465</v>
      </c>
      <c r="T20" t="s">
        <v>466</v>
      </c>
      <c r="U20" t="s">
        <v>467</v>
      </c>
      <c r="V20" t="s">
        <v>173</v>
      </c>
      <c r="W20" t="s">
        <v>206</v>
      </c>
      <c r="X20" t="s">
        <v>207</v>
      </c>
      <c r="Y20" t="s">
        <v>118</v>
      </c>
      <c r="Z20" t="s">
        <v>468</v>
      </c>
      <c r="AA20" t="s">
        <v>75</v>
      </c>
      <c r="AB20" t="s">
        <v>76</v>
      </c>
      <c r="AC20">
        <v>5</v>
      </c>
      <c r="AD20" t="s">
        <v>237</v>
      </c>
      <c r="AE20" t="s">
        <v>110</v>
      </c>
      <c r="AG20">
        <v>0.08</v>
      </c>
      <c r="AJ20" t="s">
        <v>469</v>
      </c>
      <c r="AK20" t="s">
        <v>240</v>
      </c>
      <c r="AL20" t="s">
        <v>470</v>
      </c>
      <c r="AM20" t="s">
        <v>471</v>
      </c>
      <c r="AN20" t="s">
        <v>267</v>
      </c>
      <c r="AO20">
        <v>356</v>
      </c>
      <c r="AR20" t="s">
        <v>243</v>
      </c>
      <c r="AS20" t="s">
        <v>429</v>
      </c>
      <c r="AT20" t="s">
        <v>119</v>
      </c>
      <c r="AU20" t="s">
        <v>472</v>
      </c>
      <c r="AV20" t="s">
        <v>473</v>
      </c>
      <c r="AW20" t="s">
        <v>474</v>
      </c>
      <c r="AX20" t="s">
        <v>246</v>
      </c>
    </row>
    <row r="21" spans="1:50" x14ac:dyDescent="0.25">
      <c r="A21" t="s">
        <v>475</v>
      </c>
      <c r="B21" t="s">
        <v>476</v>
      </c>
      <c r="C21" t="s">
        <v>477</v>
      </c>
      <c r="D21" t="s">
        <v>478</v>
      </c>
      <c r="E21" t="s">
        <v>479</v>
      </c>
      <c r="F21" t="s">
        <v>299</v>
      </c>
      <c r="G21" t="s">
        <v>480</v>
      </c>
      <c r="H21">
        <v>1166.96</v>
      </c>
      <c r="I21">
        <v>0.1</v>
      </c>
      <c r="J21">
        <v>1166.96</v>
      </c>
      <c r="K21" t="s">
        <v>132</v>
      </c>
      <c r="L21" t="s">
        <v>481</v>
      </c>
      <c r="N21" t="s">
        <v>95</v>
      </c>
      <c r="O21" t="s">
        <v>226</v>
      </c>
      <c r="P21" t="s">
        <v>482</v>
      </c>
      <c r="Q21" t="s">
        <v>483</v>
      </c>
      <c r="R21" t="s">
        <v>484</v>
      </c>
      <c r="S21" t="s">
        <v>485</v>
      </c>
      <c r="T21" t="s">
        <v>486</v>
      </c>
      <c r="U21" t="s">
        <v>487</v>
      </c>
      <c r="V21" t="s">
        <v>290</v>
      </c>
      <c r="W21" t="s">
        <v>206</v>
      </c>
      <c r="X21" t="s">
        <v>105</v>
      </c>
      <c r="Y21" t="s">
        <v>106</v>
      </c>
      <c r="Z21" t="s">
        <v>488</v>
      </c>
      <c r="AA21" t="s">
        <v>144</v>
      </c>
      <c r="AB21" t="s">
        <v>263</v>
      </c>
      <c r="AC21" t="s">
        <v>180</v>
      </c>
      <c r="AD21" t="s">
        <v>237</v>
      </c>
      <c r="AE21" t="s">
        <v>110</v>
      </c>
      <c r="AF21">
        <v>7</v>
      </c>
      <c r="AG21">
        <v>0.08</v>
      </c>
      <c r="AJ21">
        <v>43.48</v>
      </c>
      <c r="AK21" t="s">
        <v>147</v>
      </c>
      <c r="AL21" t="s">
        <v>489</v>
      </c>
      <c r="AM21" t="s">
        <v>490</v>
      </c>
      <c r="AN21" t="s">
        <v>82</v>
      </c>
      <c r="AO21">
        <v>350</v>
      </c>
      <c r="AP21">
        <v>4</v>
      </c>
      <c r="AQ21" t="s">
        <v>318</v>
      </c>
      <c r="AR21" t="s">
        <v>319</v>
      </c>
      <c r="AS21" t="s">
        <v>215</v>
      </c>
      <c r="AT21" t="s">
        <v>361</v>
      </c>
      <c r="AU21" t="s">
        <v>163</v>
      </c>
      <c r="AV21" t="s">
        <v>491</v>
      </c>
      <c r="AW21" t="s">
        <v>492</v>
      </c>
      <c r="AX21" t="s">
        <v>270</v>
      </c>
    </row>
    <row r="22" spans="1:50" x14ac:dyDescent="0.25">
      <c r="A22" t="s">
        <v>493</v>
      </c>
      <c r="B22" t="s">
        <v>494</v>
      </c>
      <c r="C22" t="s">
        <v>495</v>
      </c>
      <c r="D22" t="s">
        <v>496</v>
      </c>
      <c r="E22" t="s">
        <v>497</v>
      </c>
      <c r="F22" t="s">
        <v>56</v>
      </c>
      <c r="G22" t="s">
        <v>498</v>
      </c>
      <c r="H22" t="s">
        <v>499</v>
      </c>
      <c r="I22" t="s">
        <v>162</v>
      </c>
      <c r="J22" t="s">
        <v>500</v>
      </c>
      <c r="K22" t="s">
        <v>280</v>
      </c>
      <c r="L22" t="s">
        <v>501</v>
      </c>
      <c r="M22" t="s">
        <v>142</v>
      </c>
      <c r="N22" t="s">
        <v>62</v>
      </c>
      <c r="O22" t="s">
        <v>502</v>
      </c>
      <c r="P22" t="s">
        <v>503</v>
      </c>
      <c r="Q22" t="s">
        <v>504</v>
      </c>
      <c r="R22" t="s">
        <v>505</v>
      </c>
      <c r="S22" t="s">
        <v>506</v>
      </c>
      <c r="T22" t="s">
        <v>507</v>
      </c>
      <c r="U22" t="s">
        <v>508</v>
      </c>
      <c r="V22" t="s">
        <v>173</v>
      </c>
      <c r="W22" t="s">
        <v>104</v>
      </c>
      <c r="X22" t="s">
        <v>175</v>
      </c>
      <c r="Y22" t="s">
        <v>176</v>
      </c>
      <c r="Z22" t="s">
        <v>509</v>
      </c>
      <c r="AA22" t="s">
        <v>178</v>
      </c>
      <c r="AB22" t="s">
        <v>108</v>
      </c>
      <c r="AC22">
        <v>8</v>
      </c>
      <c r="AD22">
        <v>2026</v>
      </c>
      <c r="AE22" t="s">
        <v>181</v>
      </c>
      <c r="AF22">
        <v>72</v>
      </c>
      <c r="AG22" t="s">
        <v>238</v>
      </c>
      <c r="AJ22" t="s">
        <v>510</v>
      </c>
      <c r="AK22" t="s">
        <v>240</v>
      </c>
      <c r="AL22" t="s">
        <v>511</v>
      </c>
      <c r="AM22">
        <v>17.829999999999998</v>
      </c>
      <c r="AN22" t="s">
        <v>186</v>
      </c>
      <c r="AO22">
        <v>102</v>
      </c>
      <c r="AP22" t="s">
        <v>187</v>
      </c>
      <c r="AR22" t="s">
        <v>243</v>
      </c>
      <c r="AT22" t="s">
        <v>361</v>
      </c>
      <c r="AU22" t="s">
        <v>512</v>
      </c>
      <c r="AV22" t="s">
        <v>513</v>
      </c>
      <c r="AW22" t="s">
        <v>513</v>
      </c>
      <c r="AX22" t="s">
        <v>85</v>
      </c>
    </row>
    <row r="23" spans="1:50" x14ac:dyDescent="0.25">
      <c r="A23" t="s">
        <v>514</v>
      </c>
      <c r="B23" t="s">
        <v>515</v>
      </c>
      <c r="C23" t="s">
        <v>516</v>
      </c>
      <c r="D23" t="s">
        <v>517</v>
      </c>
      <c r="E23" t="s">
        <v>518</v>
      </c>
      <c r="F23" t="s">
        <v>276</v>
      </c>
      <c r="G23">
        <v>6</v>
      </c>
      <c r="H23" t="s">
        <v>519</v>
      </c>
      <c r="I23">
        <v>0.1</v>
      </c>
      <c r="J23" t="s">
        <v>520</v>
      </c>
      <c r="K23" t="s">
        <v>132</v>
      </c>
      <c r="L23" t="s">
        <v>439</v>
      </c>
      <c r="M23" t="s">
        <v>521</v>
      </c>
      <c r="N23" t="s">
        <v>62</v>
      </c>
      <c r="O23" t="s">
        <v>375</v>
      </c>
      <c r="P23" t="s">
        <v>522</v>
      </c>
      <c r="Q23" t="s">
        <v>523</v>
      </c>
      <c r="R23" t="s">
        <v>420</v>
      </c>
      <c r="S23" t="s">
        <v>524</v>
      </c>
      <c r="T23" t="s">
        <v>525</v>
      </c>
      <c r="U23" t="s">
        <v>526</v>
      </c>
      <c r="V23" t="s">
        <v>70</v>
      </c>
      <c r="W23" t="s">
        <v>206</v>
      </c>
      <c r="X23" t="s">
        <v>207</v>
      </c>
      <c r="Y23" t="s">
        <v>106</v>
      </c>
      <c r="Z23" t="s">
        <v>527</v>
      </c>
      <c r="AA23" t="s">
        <v>75</v>
      </c>
      <c r="AB23" t="s">
        <v>528</v>
      </c>
      <c r="AC23">
        <v>5</v>
      </c>
      <c r="AD23" t="s">
        <v>237</v>
      </c>
      <c r="AE23" t="s">
        <v>110</v>
      </c>
      <c r="AF23">
        <v>41</v>
      </c>
      <c r="AG23" t="s">
        <v>211</v>
      </c>
      <c r="AJ23" t="s">
        <v>529</v>
      </c>
      <c r="AK23" t="s">
        <v>147</v>
      </c>
      <c r="AL23" t="s">
        <v>530</v>
      </c>
      <c r="AM23" t="s">
        <v>531</v>
      </c>
      <c r="AN23" t="s">
        <v>150</v>
      </c>
      <c r="AO23">
        <v>136</v>
      </c>
      <c r="AP23">
        <v>4</v>
      </c>
      <c r="AQ23" t="s">
        <v>242</v>
      </c>
      <c r="AR23" t="s">
        <v>243</v>
      </c>
      <c r="AS23" t="s">
        <v>215</v>
      </c>
      <c r="AT23" t="s">
        <v>119</v>
      </c>
      <c r="AU23" t="s">
        <v>134</v>
      </c>
      <c r="AV23" t="s">
        <v>532</v>
      </c>
      <c r="AW23" t="s">
        <v>533</v>
      </c>
      <c r="AX23" t="s">
        <v>191</v>
      </c>
    </row>
    <row r="24" spans="1:50" x14ac:dyDescent="0.25">
      <c r="A24" t="s">
        <v>534</v>
      </c>
      <c r="B24" t="s">
        <v>535</v>
      </c>
      <c r="C24" t="s">
        <v>536</v>
      </c>
      <c r="D24" t="s">
        <v>537</v>
      </c>
      <c r="E24" t="s">
        <v>91</v>
      </c>
      <c r="F24" t="s">
        <v>538</v>
      </c>
      <c r="G24" t="s">
        <v>539</v>
      </c>
      <c r="H24" t="s">
        <v>142</v>
      </c>
      <c r="I24">
        <v>0.1</v>
      </c>
      <c r="J24" t="s">
        <v>540</v>
      </c>
      <c r="K24" t="s">
        <v>280</v>
      </c>
      <c r="L24" t="s">
        <v>541</v>
      </c>
      <c r="M24" t="s">
        <v>542</v>
      </c>
      <c r="N24" t="s">
        <v>135</v>
      </c>
      <c r="O24" t="s">
        <v>543</v>
      </c>
      <c r="P24" t="s">
        <v>544</v>
      </c>
      <c r="Q24" t="s">
        <v>545</v>
      </c>
      <c r="R24" t="s">
        <v>505</v>
      </c>
      <c r="S24" t="s">
        <v>546</v>
      </c>
      <c r="T24" t="s">
        <v>547</v>
      </c>
      <c r="U24" t="s">
        <v>548</v>
      </c>
      <c r="V24" t="s">
        <v>290</v>
      </c>
      <c r="W24" t="s">
        <v>174</v>
      </c>
      <c r="X24" t="s">
        <v>207</v>
      </c>
      <c r="Y24" t="s">
        <v>106</v>
      </c>
      <c r="Z24" t="s">
        <v>549</v>
      </c>
      <c r="AA24" t="s">
        <v>19</v>
      </c>
      <c r="AB24" t="s">
        <v>179</v>
      </c>
      <c r="AC24" t="s">
        <v>109</v>
      </c>
      <c r="AD24" t="s">
        <v>237</v>
      </c>
      <c r="AE24" t="s">
        <v>181</v>
      </c>
      <c r="AF24">
        <v>23</v>
      </c>
      <c r="AG24">
        <v>0.08</v>
      </c>
      <c r="AJ24">
        <v>1.83</v>
      </c>
      <c r="AK24" t="s">
        <v>79</v>
      </c>
      <c r="AL24" t="s">
        <v>550</v>
      </c>
      <c r="AM24">
        <v>15.64</v>
      </c>
      <c r="AN24" t="s">
        <v>186</v>
      </c>
      <c r="AO24">
        <v>365</v>
      </c>
      <c r="AP24" t="s">
        <v>214</v>
      </c>
      <c r="AQ24" t="s">
        <v>318</v>
      </c>
      <c r="AR24">
        <v>0</v>
      </c>
      <c r="AS24" t="s">
        <v>429</v>
      </c>
      <c r="AT24" t="s">
        <v>119</v>
      </c>
      <c r="AU24" t="s">
        <v>551</v>
      </c>
      <c r="AV24" t="s">
        <v>552</v>
      </c>
      <c r="AW24" t="s">
        <v>553</v>
      </c>
      <c r="AX24" t="s">
        <v>85</v>
      </c>
    </row>
    <row r="26" spans="1:50" x14ac:dyDescent="0.25">
      <c r="A26" t="s">
        <v>554</v>
      </c>
      <c r="B26" t="s">
        <v>555</v>
      </c>
      <c r="C26" t="s">
        <v>556</v>
      </c>
      <c r="D26" t="s">
        <v>89</v>
      </c>
      <c r="E26" t="s">
        <v>557</v>
      </c>
      <c r="F26" t="s">
        <v>90</v>
      </c>
      <c r="G26" t="s">
        <v>558</v>
      </c>
      <c r="H26" t="s">
        <v>559</v>
      </c>
      <c r="I26" t="s">
        <v>58</v>
      </c>
      <c r="J26" t="s">
        <v>91</v>
      </c>
      <c r="K26" t="s">
        <v>280</v>
      </c>
      <c r="L26" t="s">
        <v>560</v>
      </c>
      <c r="M26" t="s">
        <v>163</v>
      </c>
      <c r="N26" t="s">
        <v>135</v>
      </c>
      <c r="O26" t="s">
        <v>561</v>
      </c>
      <c r="P26" t="s">
        <v>562</v>
      </c>
      <c r="Q26" t="s">
        <v>563</v>
      </c>
      <c r="R26" t="s">
        <v>564</v>
      </c>
      <c r="S26" t="s">
        <v>565</v>
      </c>
      <c r="T26" t="s">
        <v>566</v>
      </c>
      <c r="U26" t="s">
        <v>567</v>
      </c>
      <c r="V26" t="s">
        <v>103</v>
      </c>
      <c r="W26" t="s">
        <v>104</v>
      </c>
      <c r="X26" t="s">
        <v>105</v>
      </c>
      <c r="Y26" t="s">
        <v>176</v>
      </c>
      <c r="Z26" t="s">
        <v>568</v>
      </c>
      <c r="AA26" t="s">
        <v>75</v>
      </c>
      <c r="AB26" t="s">
        <v>76</v>
      </c>
      <c r="AC26" t="s">
        <v>569</v>
      </c>
      <c r="AD26">
        <v>2025</v>
      </c>
      <c r="AE26" t="s">
        <v>110</v>
      </c>
      <c r="AF26">
        <v>31</v>
      </c>
      <c r="AG26" t="s">
        <v>111</v>
      </c>
      <c r="AJ26" t="s">
        <v>570</v>
      </c>
      <c r="AK26" t="s">
        <v>571</v>
      </c>
      <c r="AL26" t="s">
        <v>572</v>
      </c>
      <c r="AM26" t="s">
        <v>573</v>
      </c>
      <c r="AN26" t="s">
        <v>82</v>
      </c>
      <c r="AP26">
        <v>1</v>
      </c>
      <c r="AQ26" t="s">
        <v>318</v>
      </c>
      <c r="AR26">
        <v>0</v>
      </c>
      <c r="AS26" t="s">
        <v>83</v>
      </c>
      <c r="AT26">
        <v>0.3</v>
      </c>
      <c r="AU26">
        <v>704.57</v>
      </c>
      <c r="AV26" t="s">
        <v>574</v>
      </c>
    </row>
    <row r="27" spans="1:50" x14ac:dyDescent="0.25">
      <c r="A27" t="s">
        <v>575</v>
      </c>
      <c r="B27" t="s">
        <v>576</v>
      </c>
      <c r="C27" t="s">
        <v>577</v>
      </c>
      <c r="D27" t="s">
        <v>578</v>
      </c>
      <c r="F27" t="s">
        <v>56</v>
      </c>
      <c r="G27" t="s">
        <v>579</v>
      </c>
      <c r="H27" t="s">
        <v>580</v>
      </c>
      <c r="I27">
        <v>0</v>
      </c>
      <c r="J27" t="s">
        <v>163</v>
      </c>
      <c r="K27" t="s">
        <v>330</v>
      </c>
      <c r="L27" t="s">
        <v>581</v>
      </c>
      <c r="M27" t="s">
        <v>582</v>
      </c>
      <c r="N27" t="s">
        <v>62</v>
      </c>
      <c r="O27" t="s">
        <v>502</v>
      </c>
      <c r="P27" t="s">
        <v>583</v>
      </c>
      <c r="Q27" t="s">
        <v>584</v>
      </c>
      <c r="R27" t="s">
        <v>400</v>
      </c>
      <c r="S27" t="s">
        <v>585</v>
      </c>
      <c r="T27" t="s">
        <v>586</v>
      </c>
      <c r="U27" t="s">
        <v>587</v>
      </c>
      <c r="V27" t="s">
        <v>103</v>
      </c>
      <c r="W27" t="s">
        <v>104</v>
      </c>
      <c r="X27" t="s">
        <v>105</v>
      </c>
      <c r="Y27" t="s">
        <v>118</v>
      </c>
      <c r="Z27" t="s">
        <v>588</v>
      </c>
      <c r="AA27" t="s">
        <v>75</v>
      </c>
      <c r="AB27" t="s">
        <v>263</v>
      </c>
      <c r="AC27" t="s">
        <v>589</v>
      </c>
      <c r="AD27" t="s">
        <v>146</v>
      </c>
      <c r="AE27" t="s">
        <v>110</v>
      </c>
      <c r="AF27">
        <v>13</v>
      </c>
      <c r="AG27" t="s">
        <v>238</v>
      </c>
      <c r="AJ27">
        <v>20.84</v>
      </c>
      <c r="AK27" t="s">
        <v>183</v>
      </c>
      <c r="AL27" t="s">
        <v>590</v>
      </c>
      <c r="AM27">
        <v>18.36</v>
      </c>
      <c r="AN27" t="s">
        <v>82</v>
      </c>
      <c r="AO27">
        <v>137</v>
      </c>
      <c r="AP27">
        <v>3</v>
      </c>
      <c r="AQ27" t="s">
        <v>151</v>
      </c>
      <c r="AR27">
        <v>1</v>
      </c>
      <c r="AT27" t="s">
        <v>361</v>
      </c>
      <c r="AU27" t="s">
        <v>212</v>
      </c>
      <c r="AV27" t="s">
        <v>431</v>
      </c>
      <c r="AW27" t="s">
        <v>122</v>
      </c>
      <c r="AX27" t="s">
        <v>246</v>
      </c>
    </row>
    <row r="28" spans="1:50" x14ac:dyDescent="0.25">
      <c r="A28" t="s">
        <v>591</v>
      </c>
      <c r="B28" t="s">
        <v>592</v>
      </c>
      <c r="C28" t="s">
        <v>593</v>
      </c>
      <c r="D28" t="s">
        <v>594</v>
      </c>
      <c r="E28" t="s">
        <v>595</v>
      </c>
      <c r="F28" t="s">
        <v>596</v>
      </c>
      <c r="G28" t="s">
        <v>597</v>
      </c>
      <c r="H28" t="s">
        <v>598</v>
      </c>
      <c r="I28">
        <v>0.1</v>
      </c>
      <c r="J28" t="s">
        <v>599</v>
      </c>
      <c r="K28" t="s">
        <v>59</v>
      </c>
      <c r="L28" t="s">
        <v>600</v>
      </c>
      <c r="M28" t="s">
        <v>163</v>
      </c>
      <c r="N28" t="s">
        <v>95</v>
      </c>
      <c r="O28" t="s">
        <v>226</v>
      </c>
      <c r="P28" t="s">
        <v>601</v>
      </c>
      <c r="Q28" t="s">
        <v>602</v>
      </c>
      <c r="R28" t="s">
        <v>139</v>
      </c>
      <c r="S28" t="s">
        <v>603</v>
      </c>
      <c r="T28" t="s">
        <v>604</v>
      </c>
      <c r="U28" t="s">
        <v>605</v>
      </c>
      <c r="V28" t="s">
        <v>103</v>
      </c>
      <c r="W28" t="s">
        <v>71</v>
      </c>
      <c r="X28" t="s">
        <v>207</v>
      </c>
      <c r="Y28" t="s">
        <v>106</v>
      </c>
      <c r="Z28" t="s">
        <v>606</v>
      </c>
      <c r="AA28" t="s">
        <v>144</v>
      </c>
      <c r="AB28" t="s">
        <v>263</v>
      </c>
      <c r="AC28" t="s">
        <v>145</v>
      </c>
      <c r="AD28" t="s">
        <v>314</v>
      </c>
      <c r="AE28" t="s">
        <v>181</v>
      </c>
      <c r="AF28">
        <v>24</v>
      </c>
      <c r="AG28" t="s">
        <v>211</v>
      </c>
      <c r="AJ28" t="s">
        <v>607</v>
      </c>
      <c r="AK28" t="s">
        <v>79</v>
      </c>
      <c r="AL28" t="s">
        <v>608</v>
      </c>
      <c r="AM28" t="s">
        <v>609</v>
      </c>
      <c r="AN28" t="s">
        <v>186</v>
      </c>
      <c r="AO28">
        <v>500</v>
      </c>
      <c r="AP28">
        <v>5</v>
      </c>
      <c r="AQ28" t="s">
        <v>610</v>
      </c>
      <c r="AR28" t="s">
        <v>118</v>
      </c>
      <c r="AT28">
        <v>0.3</v>
      </c>
      <c r="AU28">
        <v>801.95</v>
      </c>
      <c r="AV28" t="s">
        <v>611</v>
      </c>
      <c r="AW28" t="s">
        <v>122</v>
      </c>
      <c r="AX28" t="s">
        <v>85</v>
      </c>
    </row>
    <row r="29" spans="1:50" x14ac:dyDescent="0.25">
      <c r="A29" t="s">
        <v>612</v>
      </c>
      <c r="B29" t="s">
        <v>613</v>
      </c>
      <c r="C29" t="s">
        <v>614</v>
      </c>
      <c r="D29" t="s">
        <v>615</v>
      </c>
      <c r="E29" t="s">
        <v>616</v>
      </c>
      <c r="G29">
        <v>13</v>
      </c>
      <c r="H29" t="s">
        <v>617</v>
      </c>
      <c r="I29" t="s">
        <v>162</v>
      </c>
      <c r="J29" t="s">
        <v>618</v>
      </c>
      <c r="K29" t="s">
        <v>330</v>
      </c>
      <c r="L29" t="s">
        <v>619</v>
      </c>
      <c r="M29" t="s">
        <v>620</v>
      </c>
      <c r="N29" t="s">
        <v>417</v>
      </c>
      <c r="O29" t="s">
        <v>621</v>
      </c>
      <c r="P29" t="s">
        <v>622</v>
      </c>
      <c r="Q29" t="s">
        <v>623</v>
      </c>
      <c r="R29" t="s">
        <v>624</v>
      </c>
      <c r="S29" t="s">
        <v>625</v>
      </c>
      <c r="T29" t="s">
        <v>626</v>
      </c>
      <c r="U29" t="s">
        <v>627</v>
      </c>
      <c r="V29" t="s">
        <v>103</v>
      </c>
      <c r="W29" t="s">
        <v>206</v>
      </c>
      <c r="X29" t="s">
        <v>207</v>
      </c>
      <c r="Y29" t="s">
        <v>73</v>
      </c>
      <c r="Z29" t="s">
        <v>628</v>
      </c>
      <c r="AA29" t="s">
        <v>236</v>
      </c>
      <c r="AB29" t="s">
        <v>405</v>
      </c>
      <c r="AC29" t="s">
        <v>109</v>
      </c>
      <c r="AD29">
        <v>2025</v>
      </c>
      <c r="AE29" t="s">
        <v>77</v>
      </c>
      <c r="AF29">
        <v>6</v>
      </c>
      <c r="AG29" t="s">
        <v>238</v>
      </c>
      <c r="AJ29" t="s">
        <v>629</v>
      </c>
      <c r="AK29" t="s">
        <v>147</v>
      </c>
      <c r="AL29" t="s">
        <v>630</v>
      </c>
      <c r="AM29" t="s">
        <v>631</v>
      </c>
      <c r="AN29" t="s">
        <v>186</v>
      </c>
      <c r="AO29">
        <v>491</v>
      </c>
      <c r="AP29">
        <v>2</v>
      </c>
      <c r="AQ29" t="s">
        <v>242</v>
      </c>
      <c r="AR29">
        <v>0</v>
      </c>
      <c r="AS29" t="s">
        <v>429</v>
      </c>
      <c r="AT29" t="s">
        <v>119</v>
      </c>
      <c r="AU29" t="s">
        <v>632</v>
      </c>
      <c r="AV29" t="s">
        <v>633</v>
      </c>
      <c r="AW29" t="s">
        <v>634</v>
      </c>
      <c r="AX29" t="s">
        <v>191</v>
      </c>
    </row>
    <row r="30" spans="1:50" x14ac:dyDescent="0.25">
      <c r="A30" t="s">
        <v>635</v>
      </c>
      <c r="B30" t="s">
        <v>636</v>
      </c>
      <c r="C30" t="s">
        <v>637</v>
      </c>
      <c r="D30" t="s">
        <v>638</v>
      </c>
      <c r="E30" t="s">
        <v>639</v>
      </c>
      <c r="F30" t="s">
        <v>222</v>
      </c>
      <c r="G30" t="s">
        <v>640</v>
      </c>
      <c r="H30" t="s">
        <v>641</v>
      </c>
      <c r="I30">
        <v>0.1</v>
      </c>
      <c r="J30" t="s">
        <v>134</v>
      </c>
      <c r="K30" t="s">
        <v>92</v>
      </c>
      <c r="L30" t="s">
        <v>642</v>
      </c>
      <c r="M30" t="s">
        <v>163</v>
      </c>
      <c r="N30" t="s">
        <v>166</v>
      </c>
      <c r="O30" t="s">
        <v>643</v>
      </c>
      <c r="P30" t="s">
        <v>644</v>
      </c>
      <c r="Q30" t="s">
        <v>645</v>
      </c>
      <c r="R30" t="s">
        <v>646</v>
      </c>
      <c r="S30" t="s">
        <v>647</v>
      </c>
      <c r="T30" t="s">
        <v>648</v>
      </c>
      <c r="U30" t="s">
        <v>649</v>
      </c>
      <c r="V30" t="s">
        <v>70</v>
      </c>
      <c r="W30" t="s">
        <v>71</v>
      </c>
      <c r="X30" t="s">
        <v>207</v>
      </c>
      <c r="Y30" t="s">
        <v>118</v>
      </c>
      <c r="Z30" t="s">
        <v>650</v>
      </c>
      <c r="AA30" t="s">
        <v>178</v>
      </c>
      <c r="AB30" t="s">
        <v>108</v>
      </c>
      <c r="AC30" t="s">
        <v>651</v>
      </c>
      <c r="AD30" t="s">
        <v>146</v>
      </c>
      <c r="AE30" t="s">
        <v>77</v>
      </c>
      <c r="AF30">
        <v>3</v>
      </c>
      <c r="AG30" t="s">
        <v>238</v>
      </c>
      <c r="AJ30" t="s">
        <v>652</v>
      </c>
      <c r="AK30" t="s">
        <v>183</v>
      </c>
      <c r="AL30" t="s">
        <v>653</v>
      </c>
      <c r="AM30">
        <v>25.54</v>
      </c>
      <c r="AN30" t="s">
        <v>116</v>
      </c>
      <c r="AO30">
        <v>287</v>
      </c>
      <c r="AP30">
        <v>4.5</v>
      </c>
      <c r="AQ30" t="s">
        <v>318</v>
      </c>
      <c r="AR30" t="s">
        <v>188</v>
      </c>
      <c r="AT30" t="s">
        <v>361</v>
      </c>
      <c r="AU30">
        <v>25.77</v>
      </c>
      <c r="AV30" t="s">
        <v>654</v>
      </c>
      <c r="AX30" t="s">
        <v>246</v>
      </c>
    </row>
    <row r="31" spans="1:50" x14ac:dyDescent="0.25">
      <c r="A31" t="s">
        <v>655</v>
      </c>
      <c r="B31" t="s">
        <v>656</v>
      </c>
      <c r="C31" t="s">
        <v>657</v>
      </c>
      <c r="D31" t="s">
        <v>658</v>
      </c>
      <c r="E31" t="s">
        <v>659</v>
      </c>
      <c r="F31" t="s">
        <v>660</v>
      </c>
      <c r="G31">
        <v>12</v>
      </c>
      <c r="H31" t="s">
        <v>134</v>
      </c>
      <c r="I31" t="s">
        <v>253</v>
      </c>
      <c r="J31" t="s">
        <v>661</v>
      </c>
      <c r="K31" t="s">
        <v>92</v>
      </c>
      <c r="L31" t="s">
        <v>662</v>
      </c>
      <c r="M31" t="s">
        <v>663</v>
      </c>
      <c r="N31" t="s">
        <v>417</v>
      </c>
      <c r="O31" t="s">
        <v>397</v>
      </c>
      <c r="P31" t="s">
        <v>333</v>
      </c>
      <c r="Q31" t="s">
        <v>664</v>
      </c>
      <c r="R31" t="s">
        <v>665</v>
      </c>
      <c r="S31" t="s">
        <v>666</v>
      </c>
      <c r="T31" t="s">
        <v>667</v>
      </c>
      <c r="U31" t="s">
        <v>668</v>
      </c>
      <c r="V31" t="s">
        <v>173</v>
      </c>
      <c r="W31" t="s">
        <v>206</v>
      </c>
      <c r="X31" t="s">
        <v>424</v>
      </c>
      <c r="Y31" t="s">
        <v>118</v>
      </c>
      <c r="Z31" t="s">
        <v>669</v>
      </c>
      <c r="AA31" t="s">
        <v>19</v>
      </c>
      <c r="AB31" t="s">
        <v>528</v>
      </c>
      <c r="AC31" t="s">
        <v>569</v>
      </c>
      <c r="AD31">
        <v>2025</v>
      </c>
      <c r="AE31" t="s">
        <v>110</v>
      </c>
      <c r="AF31" t="s">
        <v>163</v>
      </c>
      <c r="AG31" t="s">
        <v>211</v>
      </c>
      <c r="AJ31">
        <v>46.51</v>
      </c>
      <c r="AK31" t="s">
        <v>183</v>
      </c>
      <c r="AL31" t="s">
        <v>670</v>
      </c>
      <c r="AM31" t="s">
        <v>671</v>
      </c>
      <c r="AN31" t="s">
        <v>267</v>
      </c>
      <c r="AO31">
        <v>433</v>
      </c>
      <c r="AP31">
        <v>3</v>
      </c>
      <c r="AQ31" t="s">
        <v>151</v>
      </c>
      <c r="AR31">
        <v>1</v>
      </c>
      <c r="AT31" t="s">
        <v>361</v>
      </c>
      <c r="AU31">
        <v>331.84</v>
      </c>
      <c r="AV31" t="s">
        <v>672</v>
      </c>
      <c r="AW31" t="s">
        <v>122</v>
      </c>
      <c r="AX31" t="s">
        <v>85</v>
      </c>
    </row>
    <row r="32" spans="1:50" x14ac:dyDescent="0.25">
      <c r="A32" t="s">
        <v>673</v>
      </c>
      <c r="B32" t="s">
        <v>674</v>
      </c>
      <c r="C32" t="s">
        <v>675</v>
      </c>
      <c r="D32" t="s">
        <v>676</v>
      </c>
      <c r="E32" t="s">
        <v>163</v>
      </c>
      <c r="F32" t="s">
        <v>134</v>
      </c>
      <c r="G32" t="s">
        <v>677</v>
      </c>
      <c r="H32" t="s">
        <v>678</v>
      </c>
      <c r="I32" t="s">
        <v>58</v>
      </c>
      <c r="J32" t="s">
        <v>679</v>
      </c>
      <c r="K32" t="s">
        <v>92</v>
      </c>
      <c r="L32" t="s">
        <v>680</v>
      </c>
      <c r="M32" t="s">
        <v>681</v>
      </c>
      <c r="N32" t="s">
        <v>95</v>
      </c>
      <c r="O32" t="s">
        <v>332</v>
      </c>
      <c r="P32" t="s">
        <v>682</v>
      </c>
      <c r="Q32" t="s">
        <v>683</v>
      </c>
      <c r="R32" t="s">
        <v>684</v>
      </c>
      <c r="S32" t="s">
        <v>685</v>
      </c>
      <c r="T32" t="s">
        <v>686</v>
      </c>
      <c r="U32" t="s">
        <v>687</v>
      </c>
      <c r="V32" t="s">
        <v>205</v>
      </c>
      <c r="W32" t="s">
        <v>311</v>
      </c>
      <c r="X32" t="s">
        <v>72</v>
      </c>
      <c r="Y32" t="s">
        <v>337</v>
      </c>
      <c r="Z32" t="s">
        <v>688</v>
      </c>
      <c r="AA32" t="s">
        <v>75</v>
      </c>
      <c r="AB32" t="s">
        <v>528</v>
      </c>
      <c r="AC32" t="s">
        <v>589</v>
      </c>
      <c r="AD32" t="s">
        <v>237</v>
      </c>
      <c r="AE32" t="s">
        <v>77</v>
      </c>
      <c r="AF32">
        <v>24</v>
      </c>
      <c r="AG32">
        <v>0.08</v>
      </c>
      <c r="AJ32" t="s">
        <v>689</v>
      </c>
      <c r="AK32" t="s">
        <v>183</v>
      </c>
      <c r="AL32" t="s">
        <v>690</v>
      </c>
      <c r="AM32">
        <v>19.61</v>
      </c>
      <c r="AN32" t="s">
        <v>116</v>
      </c>
      <c r="AO32">
        <v>12</v>
      </c>
      <c r="AP32">
        <v>3</v>
      </c>
      <c r="AQ32" t="s">
        <v>117</v>
      </c>
      <c r="AR32" t="s">
        <v>188</v>
      </c>
      <c r="AT32" t="s">
        <v>119</v>
      </c>
      <c r="AU32" t="s">
        <v>691</v>
      </c>
      <c r="AV32" t="s">
        <v>692</v>
      </c>
      <c r="AX32" t="s">
        <v>246</v>
      </c>
    </row>
    <row r="33" spans="1:50" x14ac:dyDescent="0.25">
      <c r="A33" t="s">
        <v>693</v>
      </c>
      <c r="B33" t="s">
        <v>694</v>
      </c>
      <c r="C33" t="s">
        <v>142</v>
      </c>
      <c r="D33" t="s">
        <v>695</v>
      </c>
      <c r="E33" t="s">
        <v>134</v>
      </c>
      <c r="F33" t="s">
        <v>696</v>
      </c>
      <c r="G33">
        <v>15</v>
      </c>
      <c r="H33" t="s">
        <v>697</v>
      </c>
      <c r="I33">
        <v>0.1</v>
      </c>
      <c r="J33" t="s">
        <v>698</v>
      </c>
      <c r="K33" t="s">
        <v>132</v>
      </c>
      <c r="L33" t="s">
        <v>699</v>
      </c>
      <c r="M33" t="s">
        <v>91</v>
      </c>
      <c r="N33" t="s">
        <v>95</v>
      </c>
      <c r="O33" t="s">
        <v>461</v>
      </c>
      <c r="P33" t="s">
        <v>700</v>
      </c>
      <c r="Q33" t="s">
        <v>701</v>
      </c>
      <c r="R33" t="s">
        <v>702</v>
      </c>
      <c r="S33" t="s">
        <v>703</v>
      </c>
      <c r="T33" t="s">
        <v>704</v>
      </c>
      <c r="U33" t="s">
        <v>705</v>
      </c>
      <c r="V33" t="s">
        <v>103</v>
      </c>
      <c r="W33" t="s">
        <v>311</v>
      </c>
      <c r="X33" t="s">
        <v>175</v>
      </c>
      <c r="Y33" t="s">
        <v>176</v>
      </c>
      <c r="Z33" t="s">
        <v>706</v>
      </c>
      <c r="AA33" t="s">
        <v>236</v>
      </c>
      <c r="AB33" t="s">
        <v>405</v>
      </c>
      <c r="AC33">
        <v>12</v>
      </c>
      <c r="AD33" t="s">
        <v>314</v>
      </c>
      <c r="AE33" t="s">
        <v>110</v>
      </c>
      <c r="AF33">
        <v>66</v>
      </c>
      <c r="AG33" t="s">
        <v>238</v>
      </c>
      <c r="AJ33" t="s">
        <v>707</v>
      </c>
      <c r="AK33" t="s">
        <v>240</v>
      </c>
      <c r="AL33" t="s">
        <v>708</v>
      </c>
      <c r="AM33" t="s">
        <v>709</v>
      </c>
      <c r="AN33" t="s">
        <v>186</v>
      </c>
      <c r="AO33">
        <v>246</v>
      </c>
      <c r="AP33">
        <v>3</v>
      </c>
      <c r="AQ33" t="s">
        <v>117</v>
      </c>
      <c r="AR33">
        <v>1</v>
      </c>
      <c r="AS33" t="s">
        <v>215</v>
      </c>
      <c r="AT33" t="s">
        <v>119</v>
      </c>
      <c r="AU33" t="s">
        <v>134</v>
      </c>
      <c r="AV33" t="s">
        <v>710</v>
      </c>
      <c r="AW33" t="s">
        <v>122</v>
      </c>
      <c r="AX33" t="s">
        <v>85</v>
      </c>
    </row>
    <row r="34" spans="1:50" x14ac:dyDescent="0.25">
      <c r="A34" t="s">
        <v>711</v>
      </c>
      <c r="B34" t="s">
        <v>712</v>
      </c>
      <c r="C34" t="s">
        <v>713</v>
      </c>
      <c r="D34" t="s">
        <v>714</v>
      </c>
      <c r="E34" t="s">
        <v>91</v>
      </c>
      <c r="F34" t="s">
        <v>715</v>
      </c>
      <c r="G34">
        <v>24</v>
      </c>
      <c r="H34" t="s">
        <v>716</v>
      </c>
      <c r="I34" t="s">
        <v>58</v>
      </c>
      <c r="J34" t="s">
        <v>717</v>
      </c>
      <c r="K34" t="s">
        <v>330</v>
      </c>
      <c r="L34" t="s">
        <v>718</v>
      </c>
      <c r="M34" t="s">
        <v>719</v>
      </c>
      <c r="N34" t="s">
        <v>396</v>
      </c>
      <c r="O34" t="s">
        <v>136</v>
      </c>
      <c r="P34" t="s">
        <v>720</v>
      </c>
      <c r="Q34" t="s">
        <v>721</v>
      </c>
      <c r="R34" t="s">
        <v>722</v>
      </c>
      <c r="S34" t="s">
        <v>723</v>
      </c>
      <c r="T34" t="s">
        <v>724</v>
      </c>
      <c r="U34" t="s">
        <v>725</v>
      </c>
      <c r="V34" t="s">
        <v>173</v>
      </c>
      <c r="W34" t="s">
        <v>726</v>
      </c>
      <c r="X34" t="s">
        <v>233</v>
      </c>
      <c r="Y34" t="s">
        <v>176</v>
      </c>
      <c r="Z34" t="s">
        <v>727</v>
      </c>
      <c r="AA34" t="s">
        <v>75</v>
      </c>
      <c r="AB34" t="s">
        <v>528</v>
      </c>
      <c r="AC34" t="s">
        <v>728</v>
      </c>
      <c r="AD34">
        <v>2026</v>
      </c>
      <c r="AE34" t="s">
        <v>110</v>
      </c>
      <c r="AF34">
        <v>43</v>
      </c>
      <c r="AG34" t="s">
        <v>111</v>
      </c>
      <c r="AJ34" t="s">
        <v>729</v>
      </c>
      <c r="AK34" t="s">
        <v>79</v>
      </c>
      <c r="AL34" t="s">
        <v>730</v>
      </c>
      <c r="AM34" t="s">
        <v>731</v>
      </c>
      <c r="AN34" t="s">
        <v>186</v>
      </c>
      <c r="AO34">
        <v>51</v>
      </c>
      <c r="AP34" t="s">
        <v>214</v>
      </c>
      <c r="AQ34" t="s">
        <v>318</v>
      </c>
      <c r="AT34" t="s">
        <v>361</v>
      </c>
      <c r="AU34" t="s">
        <v>91</v>
      </c>
      <c r="AV34" t="s">
        <v>732</v>
      </c>
      <c r="AW34" t="s">
        <v>733</v>
      </c>
    </row>
    <row r="35" spans="1:50" x14ac:dyDescent="0.25">
      <c r="A35" t="s">
        <v>734</v>
      </c>
      <c r="B35" t="s">
        <v>735</v>
      </c>
      <c r="C35" t="s">
        <v>736</v>
      </c>
      <c r="D35" t="s">
        <v>737</v>
      </c>
      <c r="E35" t="s">
        <v>738</v>
      </c>
      <c r="F35" t="s">
        <v>739</v>
      </c>
      <c r="G35" t="s">
        <v>370</v>
      </c>
      <c r="I35" t="s">
        <v>58</v>
      </c>
      <c r="J35" t="s">
        <v>740</v>
      </c>
      <c r="K35" t="s">
        <v>330</v>
      </c>
      <c r="L35" t="s">
        <v>741</v>
      </c>
      <c r="M35" t="s">
        <v>742</v>
      </c>
      <c r="N35" t="s">
        <v>135</v>
      </c>
      <c r="O35" t="s">
        <v>561</v>
      </c>
      <c r="P35" t="s">
        <v>351</v>
      </c>
      <c r="Q35" t="s">
        <v>743</v>
      </c>
      <c r="R35" t="s">
        <v>229</v>
      </c>
      <c r="S35" t="s">
        <v>744</v>
      </c>
      <c r="T35" t="s">
        <v>745</v>
      </c>
      <c r="U35" t="s">
        <v>746</v>
      </c>
      <c r="V35" t="s">
        <v>70</v>
      </c>
      <c r="W35" t="s">
        <v>206</v>
      </c>
      <c r="X35" t="s">
        <v>72</v>
      </c>
      <c r="Y35" t="s">
        <v>73</v>
      </c>
      <c r="Z35" t="s">
        <v>747</v>
      </c>
      <c r="AA35" t="s">
        <v>236</v>
      </c>
      <c r="AB35" t="s">
        <v>528</v>
      </c>
      <c r="AC35" t="s">
        <v>569</v>
      </c>
      <c r="AD35">
        <v>2026</v>
      </c>
      <c r="AE35" t="s">
        <v>110</v>
      </c>
      <c r="AF35">
        <v>49</v>
      </c>
      <c r="AG35">
        <v>0.08</v>
      </c>
      <c r="AJ35" t="s">
        <v>748</v>
      </c>
      <c r="AK35" t="s">
        <v>147</v>
      </c>
      <c r="AL35" t="s">
        <v>749</v>
      </c>
      <c r="AM35">
        <v>27.46</v>
      </c>
      <c r="AN35" t="s">
        <v>82</v>
      </c>
      <c r="AO35">
        <v>324</v>
      </c>
      <c r="AP35">
        <v>2</v>
      </c>
      <c r="AQ35" t="s">
        <v>117</v>
      </c>
      <c r="AR35">
        <v>1</v>
      </c>
      <c r="AS35" t="s">
        <v>215</v>
      </c>
      <c r="AT35" t="s">
        <v>152</v>
      </c>
      <c r="AU35" t="s">
        <v>750</v>
      </c>
      <c r="AV35" t="s">
        <v>751</v>
      </c>
      <c r="AW35" t="s">
        <v>122</v>
      </c>
      <c r="AX35" t="s">
        <v>270</v>
      </c>
    </row>
    <row r="36" spans="1:50" x14ac:dyDescent="0.25">
      <c r="A36" t="s">
        <v>752</v>
      </c>
      <c r="B36" t="s">
        <v>753</v>
      </c>
      <c r="C36" t="s">
        <v>754</v>
      </c>
      <c r="D36" t="s">
        <v>755</v>
      </c>
      <c r="E36" t="s">
        <v>756</v>
      </c>
      <c r="F36" t="s">
        <v>299</v>
      </c>
      <c r="G36">
        <v>4</v>
      </c>
      <c r="H36" t="s">
        <v>757</v>
      </c>
      <c r="I36">
        <v>0.1</v>
      </c>
      <c r="J36" t="s">
        <v>758</v>
      </c>
      <c r="K36" t="s">
        <v>330</v>
      </c>
      <c r="L36" t="s">
        <v>759</v>
      </c>
      <c r="M36" t="s">
        <v>91</v>
      </c>
      <c r="N36" t="s">
        <v>166</v>
      </c>
      <c r="O36" t="s">
        <v>760</v>
      </c>
      <c r="P36" t="s">
        <v>333</v>
      </c>
      <c r="Q36" t="s">
        <v>761</v>
      </c>
      <c r="R36" t="s">
        <v>286</v>
      </c>
      <c r="S36" t="s">
        <v>762</v>
      </c>
      <c r="T36" t="s">
        <v>763</v>
      </c>
      <c r="U36" t="s">
        <v>764</v>
      </c>
      <c r="V36" t="s">
        <v>205</v>
      </c>
      <c r="W36" t="s">
        <v>726</v>
      </c>
      <c r="X36" t="s">
        <v>424</v>
      </c>
      <c r="Y36" t="s">
        <v>73</v>
      </c>
      <c r="Z36" t="s">
        <v>765</v>
      </c>
      <c r="AA36" t="s">
        <v>236</v>
      </c>
      <c r="AB36" t="s">
        <v>179</v>
      </c>
      <c r="AC36" t="s">
        <v>766</v>
      </c>
      <c r="AD36">
        <v>2026</v>
      </c>
      <c r="AE36" t="s">
        <v>181</v>
      </c>
      <c r="AG36">
        <v>0.08</v>
      </c>
      <c r="AJ36" t="s">
        <v>767</v>
      </c>
      <c r="AK36" t="s">
        <v>79</v>
      </c>
      <c r="AL36" t="s">
        <v>768</v>
      </c>
      <c r="AM36" t="s">
        <v>769</v>
      </c>
      <c r="AN36" t="s">
        <v>116</v>
      </c>
      <c r="AO36">
        <v>332</v>
      </c>
      <c r="AP36" t="s">
        <v>214</v>
      </c>
      <c r="AQ36" t="s">
        <v>242</v>
      </c>
      <c r="AR36" t="s">
        <v>243</v>
      </c>
      <c r="AS36" t="s">
        <v>429</v>
      </c>
      <c r="AT36" t="s">
        <v>361</v>
      </c>
      <c r="AU36" t="s">
        <v>770</v>
      </c>
      <c r="AV36" t="s">
        <v>771</v>
      </c>
      <c r="AX36" t="s">
        <v>246</v>
      </c>
    </row>
    <row r="37" spans="1:50" x14ac:dyDescent="0.25">
      <c r="A37" t="s">
        <v>772</v>
      </c>
      <c r="B37" t="s">
        <v>773</v>
      </c>
      <c r="C37" t="s">
        <v>774</v>
      </c>
      <c r="D37" t="s">
        <v>755</v>
      </c>
      <c r="E37" t="s">
        <v>775</v>
      </c>
      <c r="F37" t="s">
        <v>299</v>
      </c>
      <c r="G37" t="s">
        <v>776</v>
      </c>
      <c r="H37">
        <v>1111.1099999999999</v>
      </c>
      <c r="J37" t="s">
        <v>142</v>
      </c>
      <c r="K37" t="s">
        <v>59</v>
      </c>
      <c r="L37" t="s">
        <v>741</v>
      </c>
      <c r="M37" t="s">
        <v>742</v>
      </c>
      <c r="N37" t="s">
        <v>396</v>
      </c>
      <c r="O37" t="s">
        <v>777</v>
      </c>
      <c r="P37" t="s">
        <v>778</v>
      </c>
      <c r="Q37" t="s">
        <v>779</v>
      </c>
      <c r="R37" t="s">
        <v>66</v>
      </c>
      <c r="S37" t="s">
        <v>780</v>
      </c>
      <c r="T37" t="s">
        <v>781</v>
      </c>
      <c r="U37" t="s">
        <v>782</v>
      </c>
      <c r="V37" t="s">
        <v>70</v>
      </c>
      <c r="W37" t="s">
        <v>726</v>
      </c>
      <c r="X37" t="s">
        <v>233</v>
      </c>
      <c r="Y37" t="s">
        <v>337</v>
      </c>
      <c r="Z37" t="s">
        <v>783</v>
      </c>
      <c r="AA37" t="s">
        <v>178</v>
      </c>
      <c r="AB37" t="s">
        <v>76</v>
      </c>
      <c r="AC37" t="s">
        <v>651</v>
      </c>
      <c r="AD37">
        <v>2025</v>
      </c>
      <c r="AE37" t="s">
        <v>181</v>
      </c>
      <c r="AF37">
        <v>20</v>
      </c>
      <c r="AG37">
        <v>0.08</v>
      </c>
      <c r="AJ37" t="s">
        <v>784</v>
      </c>
      <c r="AK37" t="s">
        <v>113</v>
      </c>
      <c r="AL37" t="s">
        <v>785</v>
      </c>
      <c r="AM37">
        <v>27.38</v>
      </c>
      <c r="AN37" t="s">
        <v>186</v>
      </c>
      <c r="AO37">
        <v>404</v>
      </c>
      <c r="AP37">
        <v>2</v>
      </c>
      <c r="AQ37" t="s">
        <v>786</v>
      </c>
      <c r="AR37">
        <v>0</v>
      </c>
      <c r="AT37" t="s">
        <v>361</v>
      </c>
      <c r="AU37" t="s">
        <v>787</v>
      </c>
      <c r="AV37" t="s">
        <v>788</v>
      </c>
      <c r="AW37" t="s">
        <v>789</v>
      </c>
      <c r="AX37" t="s">
        <v>246</v>
      </c>
    </row>
    <row r="38" spans="1:50" x14ac:dyDescent="0.25">
      <c r="A38" t="s">
        <v>790</v>
      </c>
      <c r="B38" t="s">
        <v>791</v>
      </c>
      <c r="C38" t="s">
        <v>792</v>
      </c>
      <c r="D38" t="s">
        <v>793</v>
      </c>
      <c r="E38" t="s">
        <v>794</v>
      </c>
      <c r="F38" t="s">
        <v>91</v>
      </c>
      <c r="G38" t="s">
        <v>795</v>
      </c>
      <c r="H38" t="s">
        <v>796</v>
      </c>
      <c r="I38" t="s">
        <v>253</v>
      </c>
      <c r="J38" t="s">
        <v>797</v>
      </c>
      <c r="K38" t="s">
        <v>92</v>
      </c>
      <c r="L38" t="s">
        <v>302</v>
      </c>
      <c r="M38" t="s">
        <v>303</v>
      </c>
      <c r="N38" t="s">
        <v>135</v>
      </c>
      <c r="O38" t="s">
        <v>198</v>
      </c>
      <c r="P38" t="s">
        <v>798</v>
      </c>
      <c r="Q38" t="s">
        <v>799</v>
      </c>
      <c r="S38" t="s">
        <v>800</v>
      </c>
      <c r="T38" t="s">
        <v>801</v>
      </c>
      <c r="U38" t="s">
        <v>802</v>
      </c>
      <c r="V38" t="s">
        <v>290</v>
      </c>
      <c r="W38" t="s">
        <v>104</v>
      </c>
      <c r="X38" t="s">
        <v>207</v>
      </c>
      <c r="Y38" t="s">
        <v>176</v>
      </c>
      <c r="Z38" t="s">
        <v>803</v>
      </c>
      <c r="AA38" t="s">
        <v>236</v>
      </c>
      <c r="AB38" t="s">
        <v>179</v>
      </c>
      <c r="AC38" t="s">
        <v>109</v>
      </c>
      <c r="AD38" t="s">
        <v>314</v>
      </c>
      <c r="AE38" t="s">
        <v>406</v>
      </c>
      <c r="AF38" t="s">
        <v>142</v>
      </c>
      <c r="AG38" t="s">
        <v>238</v>
      </c>
      <c r="AJ38">
        <v>28.74</v>
      </c>
      <c r="AK38" t="s">
        <v>240</v>
      </c>
      <c r="AL38" t="s">
        <v>804</v>
      </c>
      <c r="AM38">
        <v>2.0299999999999998</v>
      </c>
      <c r="AN38" t="s">
        <v>267</v>
      </c>
      <c r="AO38" t="s">
        <v>134</v>
      </c>
      <c r="AP38">
        <v>4.5</v>
      </c>
      <c r="AQ38" t="s">
        <v>242</v>
      </c>
      <c r="AR38">
        <v>0</v>
      </c>
      <c r="AS38" t="s">
        <v>83</v>
      </c>
      <c r="AT38" t="s">
        <v>119</v>
      </c>
      <c r="AU38" t="s">
        <v>805</v>
      </c>
      <c r="AV38" t="s">
        <v>806</v>
      </c>
      <c r="AW38" t="s">
        <v>122</v>
      </c>
    </row>
    <row r="39" spans="1:50" x14ac:dyDescent="0.25">
      <c r="A39" t="s">
        <v>807</v>
      </c>
      <c r="B39" t="s">
        <v>808</v>
      </c>
      <c r="C39" t="s">
        <v>809</v>
      </c>
      <c r="D39" t="s">
        <v>810</v>
      </c>
      <c r="E39" t="s">
        <v>811</v>
      </c>
      <c r="F39" t="s">
        <v>134</v>
      </c>
      <c r="G39" t="s">
        <v>812</v>
      </c>
      <c r="H39" t="s">
        <v>813</v>
      </c>
      <c r="I39" t="s">
        <v>253</v>
      </c>
      <c r="J39" t="s">
        <v>814</v>
      </c>
      <c r="K39" t="s">
        <v>92</v>
      </c>
      <c r="L39" t="s">
        <v>815</v>
      </c>
      <c r="M39" t="s">
        <v>163</v>
      </c>
      <c r="N39" t="s">
        <v>417</v>
      </c>
      <c r="O39" t="s">
        <v>561</v>
      </c>
      <c r="P39" t="s">
        <v>816</v>
      </c>
      <c r="Q39" t="s">
        <v>817</v>
      </c>
      <c r="R39" t="s">
        <v>818</v>
      </c>
      <c r="S39" t="s">
        <v>819</v>
      </c>
      <c r="T39" t="s">
        <v>820</v>
      </c>
      <c r="U39" t="s">
        <v>821</v>
      </c>
      <c r="V39" t="s">
        <v>205</v>
      </c>
      <c r="W39" t="s">
        <v>726</v>
      </c>
      <c r="X39" t="s">
        <v>233</v>
      </c>
      <c r="Y39" t="s">
        <v>118</v>
      </c>
      <c r="Z39" t="s">
        <v>822</v>
      </c>
      <c r="AA39" t="s">
        <v>144</v>
      </c>
      <c r="AB39" t="s">
        <v>263</v>
      </c>
      <c r="AC39" t="s">
        <v>651</v>
      </c>
      <c r="AD39" t="s">
        <v>237</v>
      </c>
      <c r="AE39" t="s">
        <v>77</v>
      </c>
      <c r="AF39">
        <v>84</v>
      </c>
      <c r="AG39">
        <v>0.08</v>
      </c>
      <c r="AJ39" t="s">
        <v>823</v>
      </c>
      <c r="AK39" t="s">
        <v>113</v>
      </c>
      <c r="AL39" t="s">
        <v>824</v>
      </c>
      <c r="AM39" t="s">
        <v>825</v>
      </c>
      <c r="AN39" t="s">
        <v>186</v>
      </c>
      <c r="AO39">
        <v>197</v>
      </c>
      <c r="AP39">
        <v>2</v>
      </c>
      <c r="AQ39" t="s">
        <v>242</v>
      </c>
      <c r="AR39">
        <v>0</v>
      </c>
      <c r="AU39" t="s">
        <v>826</v>
      </c>
      <c r="AV39" t="s">
        <v>827</v>
      </c>
      <c r="AW39" t="s">
        <v>122</v>
      </c>
      <c r="AX39" t="s">
        <v>85</v>
      </c>
    </row>
    <row r="40" spans="1:50" x14ac:dyDescent="0.25">
      <c r="A40" t="s">
        <v>828</v>
      </c>
      <c r="B40" t="s">
        <v>829</v>
      </c>
      <c r="C40" t="s">
        <v>830</v>
      </c>
      <c r="D40" t="s">
        <v>831</v>
      </c>
      <c r="E40" t="s">
        <v>832</v>
      </c>
      <c r="F40" t="s">
        <v>222</v>
      </c>
      <c r="G40" t="s">
        <v>795</v>
      </c>
      <c r="H40" t="s">
        <v>833</v>
      </c>
      <c r="J40" t="s">
        <v>834</v>
      </c>
      <c r="K40" t="s">
        <v>92</v>
      </c>
      <c r="L40" t="s">
        <v>835</v>
      </c>
      <c r="M40" t="s">
        <v>374</v>
      </c>
      <c r="N40" t="s">
        <v>396</v>
      </c>
      <c r="O40" t="s">
        <v>836</v>
      </c>
      <c r="P40" t="s">
        <v>544</v>
      </c>
      <c r="Q40" t="s">
        <v>837</v>
      </c>
      <c r="R40" t="s">
        <v>420</v>
      </c>
      <c r="S40" t="s">
        <v>838</v>
      </c>
      <c r="T40" t="s">
        <v>839</v>
      </c>
      <c r="U40" t="s">
        <v>840</v>
      </c>
      <c r="V40" t="s">
        <v>173</v>
      </c>
      <c r="W40" t="s">
        <v>206</v>
      </c>
      <c r="X40" t="s">
        <v>424</v>
      </c>
      <c r="Y40" t="s">
        <v>118</v>
      </c>
      <c r="Z40" t="s">
        <v>841</v>
      </c>
      <c r="AA40" t="s">
        <v>19</v>
      </c>
      <c r="AB40" t="s">
        <v>263</v>
      </c>
      <c r="AC40" t="s">
        <v>313</v>
      </c>
      <c r="AD40" t="s">
        <v>314</v>
      </c>
      <c r="AE40" t="s">
        <v>77</v>
      </c>
      <c r="AF40">
        <v>30</v>
      </c>
      <c r="AG40" t="s">
        <v>211</v>
      </c>
      <c r="AJ40" t="s">
        <v>842</v>
      </c>
      <c r="AK40" t="s">
        <v>79</v>
      </c>
      <c r="AL40" t="s">
        <v>843</v>
      </c>
      <c r="AM40" t="s">
        <v>844</v>
      </c>
      <c r="AN40" t="s">
        <v>150</v>
      </c>
      <c r="AO40">
        <v>473</v>
      </c>
      <c r="AP40">
        <v>5</v>
      </c>
      <c r="AQ40" t="s">
        <v>117</v>
      </c>
      <c r="AR40">
        <v>1</v>
      </c>
      <c r="AS40" t="s">
        <v>429</v>
      </c>
      <c r="AT40">
        <v>0.3</v>
      </c>
      <c r="AU40" t="s">
        <v>845</v>
      </c>
      <c r="AV40" t="s">
        <v>846</v>
      </c>
      <c r="AX40" t="s">
        <v>85</v>
      </c>
    </row>
    <row r="41" spans="1:50" x14ac:dyDescent="0.25">
      <c r="A41" t="s">
        <v>847</v>
      </c>
      <c r="B41" t="s">
        <v>848</v>
      </c>
      <c r="C41" t="s">
        <v>849</v>
      </c>
      <c r="D41" t="s">
        <v>478</v>
      </c>
      <c r="E41" t="s">
        <v>850</v>
      </c>
      <c r="F41" t="s">
        <v>299</v>
      </c>
      <c r="G41" t="s">
        <v>851</v>
      </c>
      <c r="H41" t="s">
        <v>852</v>
      </c>
      <c r="I41">
        <v>0.1</v>
      </c>
      <c r="J41" t="s">
        <v>163</v>
      </c>
      <c r="K41" t="s">
        <v>280</v>
      </c>
      <c r="L41" t="s">
        <v>853</v>
      </c>
      <c r="M41" t="s">
        <v>134</v>
      </c>
      <c r="N41" t="s">
        <v>62</v>
      </c>
      <c r="O41" t="s">
        <v>854</v>
      </c>
      <c r="P41" t="s">
        <v>855</v>
      </c>
      <c r="Q41" t="s">
        <v>856</v>
      </c>
      <c r="R41" t="s">
        <v>169</v>
      </c>
      <c r="S41" t="s">
        <v>857</v>
      </c>
      <c r="T41" t="s">
        <v>858</v>
      </c>
      <c r="U41" t="s">
        <v>859</v>
      </c>
      <c r="V41" t="s">
        <v>290</v>
      </c>
      <c r="W41" t="s">
        <v>174</v>
      </c>
      <c r="X41" t="s">
        <v>72</v>
      </c>
      <c r="Y41" t="s">
        <v>118</v>
      </c>
      <c r="Z41" t="s">
        <v>860</v>
      </c>
      <c r="AA41" t="s">
        <v>19</v>
      </c>
      <c r="AB41" t="s">
        <v>108</v>
      </c>
      <c r="AC41">
        <v>6</v>
      </c>
      <c r="AD41">
        <v>2025</v>
      </c>
      <c r="AE41" t="s">
        <v>77</v>
      </c>
      <c r="AF41">
        <v>37</v>
      </c>
      <c r="AG41">
        <v>0.08</v>
      </c>
      <c r="AJ41">
        <v>46.03</v>
      </c>
      <c r="AK41" t="s">
        <v>571</v>
      </c>
      <c r="AL41" t="s">
        <v>861</v>
      </c>
      <c r="AM41" t="s">
        <v>862</v>
      </c>
      <c r="AN41" t="s">
        <v>186</v>
      </c>
      <c r="AO41">
        <v>180</v>
      </c>
      <c r="AP41">
        <v>3</v>
      </c>
      <c r="AQ41" t="s">
        <v>610</v>
      </c>
      <c r="AR41" t="s">
        <v>118</v>
      </c>
      <c r="AS41" t="s">
        <v>83</v>
      </c>
      <c r="AT41">
        <v>0.3</v>
      </c>
      <c r="AU41" t="s">
        <v>863</v>
      </c>
      <c r="AV41" t="s">
        <v>864</v>
      </c>
      <c r="AW41" t="s">
        <v>190</v>
      </c>
      <c r="AX41" t="s">
        <v>246</v>
      </c>
    </row>
    <row r="42" spans="1:50" x14ac:dyDescent="0.25">
      <c r="A42" t="s">
        <v>865</v>
      </c>
      <c r="B42" t="s">
        <v>866</v>
      </c>
      <c r="C42" t="s">
        <v>867</v>
      </c>
      <c r="D42" t="s">
        <v>868</v>
      </c>
      <c r="E42" t="s">
        <v>869</v>
      </c>
      <c r="F42" t="s">
        <v>870</v>
      </c>
      <c r="G42" t="s">
        <v>871</v>
      </c>
      <c r="H42" t="s">
        <v>872</v>
      </c>
      <c r="I42" t="s">
        <v>58</v>
      </c>
      <c r="J42" t="s">
        <v>873</v>
      </c>
      <c r="K42" t="s">
        <v>330</v>
      </c>
      <c r="L42" t="s">
        <v>699</v>
      </c>
      <c r="M42" t="s">
        <v>134</v>
      </c>
      <c r="N42" t="s">
        <v>396</v>
      </c>
      <c r="O42" t="s">
        <v>198</v>
      </c>
      <c r="P42" t="s">
        <v>874</v>
      </c>
      <c r="Q42" t="s">
        <v>875</v>
      </c>
      <c r="R42" t="s">
        <v>876</v>
      </c>
      <c r="S42" t="s">
        <v>877</v>
      </c>
      <c r="T42" t="s">
        <v>878</v>
      </c>
      <c r="U42" t="s">
        <v>879</v>
      </c>
      <c r="V42" t="s">
        <v>205</v>
      </c>
      <c r="W42" t="s">
        <v>726</v>
      </c>
      <c r="X42" t="s">
        <v>105</v>
      </c>
      <c r="Y42" t="s">
        <v>176</v>
      </c>
      <c r="Z42" t="s">
        <v>880</v>
      </c>
      <c r="AA42" t="s">
        <v>19</v>
      </c>
      <c r="AB42" t="s">
        <v>528</v>
      </c>
      <c r="AC42">
        <v>1</v>
      </c>
      <c r="AD42" t="s">
        <v>237</v>
      </c>
      <c r="AE42" t="s">
        <v>110</v>
      </c>
      <c r="AF42">
        <v>31</v>
      </c>
      <c r="AG42" t="s">
        <v>211</v>
      </c>
      <c r="AJ42" t="s">
        <v>881</v>
      </c>
      <c r="AK42" t="s">
        <v>147</v>
      </c>
      <c r="AL42" t="s">
        <v>882</v>
      </c>
      <c r="AM42" t="s">
        <v>883</v>
      </c>
      <c r="AN42" t="s">
        <v>267</v>
      </c>
      <c r="AO42">
        <v>72</v>
      </c>
      <c r="AP42" t="s">
        <v>214</v>
      </c>
      <c r="AQ42" t="s">
        <v>242</v>
      </c>
      <c r="AR42" t="s">
        <v>319</v>
      </c>
      <c r="AS42" t="s">
        <v>83</v>
      </c>
      <c r="AT42" t="s">
        <v>361</v>
      </c>
      <c r="AU42">
        <v>381.43</v>
      </c>
      <c r="AV42" t="s">
        <v>884</v>
      </c>
    </row>
    <row r="43" spans="1:50" x14ac:dyDescent="0.25">
      <c r="A43" t="s">
        <v>885</v>
      </c>
      <c r="B43" t="s">
        <v>886</v>
      </c>
      <c r="C43" t="s">
        <v>887</v>
      </c>
      <c r="D43" t="s">
        <v>888</v>
      </c>
      <c r="E43" t="s">
        <v>889</v>
      </c>
      <c r="F43" t="s">
        <v>890</v>
      </c>
      <c r="G43">
        <v>13</v>
      </c>
      <c r="H43">
        <v>1470.36</v>
      </c>
      <c r="I43" t="s">
        <v>162</v>
      </c>
      <c r="J43" t="s">
        <v>891</v>
      </c>
      <c r="K43" t="s">
        <v>59</v>
      </c>
      <c r="L43" t="s">
        <v>680</v>
      </c>
      <c r="M43" t="s">
        <v>892</v>
      </c>
      <c r="N43" t="s">
        <v>135</v>
      </c>
      <c r="O43" t="s">
        <v>461</v>
      </c>
      <c r="P43" t="s">
        <v>893</v>
      </c>
      <c r="Q43" t="s">
        <v>894</v>
      </c>
      <c r="R43" t="s">
        <v>139</v>
      </c>
      <c r="S43" t="s">
        <v>895</v>
      </c>
      <c r="T43" t="s">
        <v>896</v>
      </c>
      <c r="U43" t="s">
        <v>897</v>
      </c>
      <c r="V43" t="s">
        <v>205</v>
      </c>
      <c r="W43" t="s">
        <v>726</v>
      </c>
      <c r="X43" t="s">
        <v>233</v>
      </c>
      <c r="Y43" t="s">
        <v>234</v>
      </c>
      <c r="Z43" t="s">
        <v>898</v>
      </c>
      <c r="AA43" t="s">
        <v>236</v>
      </c>
      <c r="AB43" t="s">
        <v>405</v>
      </c>
      <c r="AC43">
        <v>3</v>
      </c>
      <c r="AD43" t="s">
        <v>146</v>
      </c>
      <c r="AE43" t="s">
        <v>77</v>
      </c>
      <c r="AF43">
        <v>19</v>
      </c>
      <c r="AG43" t="s">
        <v>238</v>
      </c>
      <c r="AJ43">
        <v>32.74</v>
      </c>
      <c r="AK43" t="s">
        <v>113</v>
      </c>
      <c r="AL43" t="s">
        <v>899</v>
      </c>
      <c r="AM43">
        <v>5.6</v>
      </c>
      <c r="AN43" t="s">
        <v>186</v>
      </c>
      <c r="AO43">
        <v>62</v>
      </c>
      <c r="AP43">
        <v>4</v>
      </c>
      <c r="AQ43" t="s">
        <v>786</v>
      </c>
      <c r="AS43" t="s">
        <v>83</v>
      </c>
      <c r="AT43" t="s">
        <v>361</v>
      </c>
      <c r="AU43" t="s">
        <v>900</v>
      </c>
      <c r="AV43" t="s">
        <v>901</v>
      </c>
      <c r="AW43" t="s">
        <v>902</v>
      </c>
      <c r="AX43" t="s">
        <v>191</v>
      </c>
    </row>
    <row r="44" spans="1:50" x14ac:dyDescent="0.25">
      <c r="A44" t="s">
        <v>903</v>
      </c>
      <c r="B44" t="s">
        <v>904</v>
      </c>
      <c r="C44" t="s">
        <v>905</v>
      </c>
      <c r="D44" t="s">
        <v>906</v>
      </c>
      <c r="E44" t="s">
        <v>907</v>
      </c>
      <c r="F44" t="s">
        <v>908</v>
      </c>
      <c r="G44" t="s">
        <v>871</v>
      </c>
      <c r="H44" t="s">
        <v>909</v>
      </c>
      <c r="I44">
        <v>0.1</v>
      </c>
      <c r="J44" t="s">
        <v>91</v>
      </c>
      <c r="K44" t="s">
        <v>280</v>
      </c>
      <c r="L44" t="s">
        <v>281</v>
      </c>
      <c r="M44" t="s">
        <v>282</v>
      </c>
      <c r="N44" t="s">
        <v>166</v>
      </c>
      <c r="O44" t="s">
        <v>621</v>
      </c>
      <c r="P44" t="s">
        <v>910</v>
      </c>
      <c r="Q44" t="s">
        <v>911</v>
      </c>
      <c r="R44" t="s">
        <v>912</v>
      </c>
      <c r="S44" t="s">
        <v>913</v>
      </c>
      <c r="T44" t="s">
        <v>914</v>
      </c>
      <c r="U44" t="s">
        <v>915</v>
      </c>
      <c r="V44" t="s">
        <v>173</v>
      </c>
      <c r="W44" t="s">
        <v>71</v>
      </c>
      <c r="X44" t="s">
        <v>105</v>
      </c>
      <c r="Y44" t="s">
        <v>337</v>
      </c>
      <c r="Z44" t="s">
        <v>916</v>
      </c>
      <c r="AA44" t="s">
        <v>178</v>
      </c>
      <c r="AB44" t="s">
        <v>263</v>
      </c>
      <c r="AC44">
        <v>11</v>
      </c>
      <c r="AD44" t="s">
        <v>237</v>
      </c>
      <c r="AE44" t="s">
        <v>77</v>
      </c>
      <c r="AF44" t="s">
        <v>142</v>
      </c>
      <c r="AG44" t="s">
        <v>111</v>
      </c>
      <c r="AJ44" t="s">
        <v>917</v>
      </c>
      <c r="AK44" t="s">
        <v>571</v>
      </c>
      <c r="AL44" t="s">
        <v>918</v>
      </c>
      <c r="AM44" t="s">
        <v>919</v>
      </c>
      <c r="AN44" t="s">
        <v>267</v>
      </c>
      <c r="AO44">
        <v>122</v>
      </c>
      <c r="AP44">
        <v>1</v>
      </c>
      <c r="AR44" t="s">
        <v>243</v>
      </c>
      <c r="AS44" t="s">
        <v>429</v>
      </c>
      <c r="AT44" t="s">
        <v>119</v>
      </c>
      <c r="AU44" t="s">
        <v>920</v>
      </c>
      <c r="AV44" t="s">
        <v>921</v>
      </c>
      <c r="AW44" t="s">
        <v>922</v>
      </c>
      <c r="AX44" t="s">
        <v>246</v>
      </c>
    </row>
    <row r="45" spans="1:50" x14ac:dyDescent="0.25">
      <c r="A45" t="s">
        <v>923</v>
      </c>
      <c r="B45" t="s">
        <v>924</v>
      </c>
      <c r="C45" t="s">
        <v>925</v>
      </c>
      <c r="D45" t="s">
        <v>926</v>
      </c>
      <c r="E45" t="s">
        <v>927</v>
      </c>
      <c r="F45" t="s">
        <v>928</v>
      </c>
      <c r="G45" t="s">
        <v>929</v>
      </c>
      <c r="H45" t="s">
        <v>930</v>
      </c>
      <c r="I45" t="s">
        <v>253</v>
      </c>
      <c r="J45" t="s">
        <v>931</v>
      </c>
      <c r="K45" t="s">
        <v>280</v>
      </c>
      <c r="L45" t="s">
        <v>932</v>
      </c>
      <c r="M45" t="s">
        <v>134</v>
      </c>
      <c r="N45" t="s">
        <v>135</v>
      </c>
      <c r="O45" t="s">
        <v>561</v>
      </c>
      <c r="P45" t="s">
        <v>933</v>
      </c>
      <c r="Q45" t="s">
        <v>934</v>
      </c>
      <c r="R45" t="s">
        <v>935</v>
      </c>
      <c r="S45" t="s">
        <v>936</v>
      </c>
      <c r="T45" t="s">
        <v>937</v>
      </c>
      <c r="U45" t="s">
        <v>938</v>
      </c>
      <c r="V45" t="s">
        <v>205</v>
      </c>
      <c r="W45" t="s">
        <v>206</v>
      </c>
      <c r="X45" t="s">
        <v>207</v>
      </c>
      <c r="Y45" t="s">
        <v>118</v>
      </c>
      <c r="Z45" t="s">
        <v>939</v>
      </c>
      <c r="AA45" t="s">
        <v>144</v>
      </c>
      <c r="AB45" t="s">
        <v>263</v>
      </c>
      <c r="AC45">
        <v>6</v>
      </c>
      <c r="AD45" t="s">
        <v>146</v>
      </c>
      <c r="AE45" t="s">
        <v>77</v>
      </c>
      <c r="AF45">
        <v>17</v>
      </c>
      <c r="AG45">
        <v>0.08</v>
      </c>
      <c r="AJ45">
        <v>45.24</v>
      </c>
      <c r="AK45" t="s">
        <v>183</v>
      </c>
      <c r="AL45" t="s">
        <v>940</v>
      </c>
      <c r="AM45" t="s">
        <v>941</v>
      </c>
      <c r="AN45" t="s">
        <v>186</v>
      </c>
      <c r="AO45">
        <v>382</v>
      </c>
      <c r="AP45">
        <v>4.5</v>
      </c>
      <c r="AQ45" t="s">
        <v>786</v>
      </c>
      <c r="AR45">
        <v>0</v>
      </c>
      <c r="AT45" t="s">
        <v>361</v>
      </c>
      <c r="AU45" t="s">
        <v>942</v>
      </c>
      <c r="AV45" t="s">
        <v>943</v>
      </c>
      <c r="AW45" t="s">
        <v>944</v>
      </c>
      <c r="AX45" t="s">
        <v>85</v>
      </c>
    </row>
    <row r="46" spans="1:50" x14ac:dyDescent="0.25">
      <c r="A46" t="s">
        <v>945</v>
      </c>
      <c r="B46" t="s">
        <v>946</v>
      </c>
      <c r="C46" t="s">
        <v>947</v>
      </c>
      <c r="D46" t="s">
        <v>948</v>
      </c>
      <c r="E46" t="s">
        <v>949</v>
      </c>
      <c r="F46" t="s">
        <v>950</v>
      </c>
      <c r="G46" t="s">
        <v>951</v>
      </c>
      <c r="H46" t="s">
        <v>952</v>
      </c>
      <c r="I46">
        <v>0.1</v>
      </c>
      <c r="J46" t="s">
        <v>142</v>
      </c>
      <c r="K46" t="s">
        <v>92</v>
      </c>
      <c r="L46" t="s">
        <v>953</v>
      </c>
      <c r="N46" t="s">
        <v>62</v>
      </c>
      <c r="O46" t="s">
        <v>954</v>
      </c>
      <c r="P46" t="s">
        <v>955</v>
      </c>
      <c r="Q46" t="s">
        <v>956</v>
      </c>
      <c r="R46" t="s">
        <v>624</v>
      </c>
      <c r="S46" t="s">
        <v>957</v>
      </c>
      <c r="T46" t="s">
        <v>958</v>
      </c>
      <c r="U46" t="s">
        <v>959</v>
      </c>
      <c r="V46" t="s">
        <v>103</v>
      </c>
      <c r="W46" t="s">
        <v>726</v>
      </c>
      <c r="X46" t="s">
        <v>233</v>
      </c>
      <c r="Y46" t="s">
        <v>234</v>
      </c>
      <c r="Z46" t="s">
        <v>960</v>
      </c>
      <c r="AA46" t="s">
        <v>19</v>
      </c>
      <c r="AB46" t="s">
        <v>263</v>
      </c>
      <c r="AC46">
        <v>8</v>
      </c>
      <c r="AD46">
        <v>2026</v>
      </c>
      <c r="AE46" t="s">
        <v>181</v>
      </c>
      <c r="AF46">
        <v>13</v>
      </c>
      <c r="AG46" t="s">
        <v>211</v>
      </c>
      <c r="AJ46">
        <v>28.26</v>
      </c>
      <c r="AK46" t="s">
        <v>571</v>
      </c>
      <c r="AL46" t="s">
        <v>961</v>
      </c>
      <c r="AM46" t="s">
        <v>962</v>
      </c>
      <c r="AN46" t="s">
        <v>82</v>
      </c>
      <c r="AO46">
        <v>69</v>
      </c>
      <c r="AP46">
        <v>5</v>
      </c>
      <c r="AQ46" t="s">
        <v>786</v>
      </c>
      <c r="AR46" t="s">
        <v>319</v>
      </c>
      <c r="AT46" t="s">
        <v>119</v>
      </c>
      <c r="AU46" t="s">
        <v>963</v>
      </c>
      <c r="AV46" t="s">
        <v>964</v>
      </c>
      <c r="AW46" t="s">
        <v>965</v>
      </c>
      <c r="AX46" t="s">
        <v>85</v>
      </c>
    </row>
    <row r="47" spans="1:50" x14ac:dyDescent="0.25">
      <c r="A47" t="s">
        <v>966</v>
      </c>
      <c r="B47" t="s">
        <v>967</v>
      </c>
      <c r="C47" t="s">
        <v>968</v>
      </c>
      <c r="D47" t="s">
        <v>969</v>
      </c>
      <c r="E47" t="s">
        <v>738</v>
      </c>
      <c r="F47" t="s">
        <v>970</v>
      </c>
      <c r="G47">
        <v>3</v>
      </c>
      <c r="H47" t="s">
        <v>971</v>
      </c>
      <c r="I47" t="s">
        <v>162</v>
      </c>
      <c r="J47" t="s">
        <v>972</v>
      </c>
      <c r="K47" t="s">
        <v>92</v>
      </c>
      <c r="L47" t="s">
        <v>973</v>
      </c>
      <c r="M47" t="s">
        <v>163</v>
      </c>
      <c r="N47" t="s">
        <v>135</v>
      </c>
      <c r="O47" t="s">
        <v>198</v>
      </c>
      <c r="P47" t="s">
        <v>974</v>
      </c>
      <c r="Q47" t="s">
        <v>975</v>
      </c>
      <c r="R47" t="s">
        <v>976</v>
      </c>
      <c r="S47" t="s">
        <v>977</v>
      </c>
      <c r="T47" t="s">
        <v>978</v>
      </c>
      <c r="U47" t="s">
        <v>979</v>
      </c>
      <c r="V47" t="s">
        <v>205</v>
      </c>
      <c r="W47" t="s">
        <v>726</v>
      </c>
      <c r="X47" t="s">
        <v>207</v>
      </c>
      <c r="Y47" t="s">
        <v>106</v>
      </c>
      <c r="Z47" t="s">
        <v>980</v>
      </c>
      <c r="AA47" t="s">
        <v>178</v>
      </c>
      <c r="AB47" t="s">
        <v>528</v>
      </c>
      <c r="AC47" t="s">
        <v>569</v>
      </c>
      <c r="AD47" t="s">
        <v>210</v>
      </c>
      <c r="AE47" t="s">
        <v>110</v>
      </c>
      <c r="AF47">
        <v>43</v>
      </c>
      <c r="AG47">
        <v>0.08</v>
      </c>
      <c r="AJ47" t="s">
        <v>981</v>
      </c>
      <c r="AK47" t="s">
        <v>147</v>
      </c>
      <c r="AL47" t="s">
        <v>982</v>
      </c>
      <c r="AM47">
        <v>16.22</v>
      </c>
      <c r="AN47" t="s">
        <v>186</v>
      </c>
      <c r="AO47">
        <v>300</v>
      </c>
      <c r="AP47" t="s">
        <v>187</v>
      </c>
      <c r="AQ47" t="s">
        <v>117</v>
      </c>
      <c r="AR47">
        <v>1</v>
      </c>
      <c r="AT47">
        <v>0.3</v>
      </c>
      <c r="AU47" t="s">
        <v>91</v>
      </c>
      <c r="AV47" t="s">
        <v>983</v>
      </c>
      <c r="AW47" t="s">
        <v>122</v>
      </c>
      <c r="AX47" t="s">
        <v>270</v>
      </c>
    </row>
    <row r="48" spans="1:50" x14ac:dyDescent="0.25">
      <c r="A48" t="s">
        <v>984</v>
      </c>
      <c r="B48" t="s">
        <v>985</v>
      </c>
      <c r="C48" t="s">
        <v>986</v>
      </c>
      <c r="D48" t="s">
        <v>987</v>
      </c>
      <c r="E48" t="s">
        <v>988</v>
      </c>
      <c r="F48" t="s">
        <v>91</v>
      </c>
      <c r="G48" t="s">
        <v>989</v>
      </c>
      <c r="H48" t="s">
        <v>990</v>
      </c>
      <c r="J48" t="s">
        <v>163</v>
      </c>
      <c r="K48" t="s">
        <v>92</v>
      </c>
      <c r="L48" t="s">
        <v>133</v>
      </c>
      <c r="M48" t="s">
        <v>991</v>
      </c>
      <c r="N48" t="s">
        <v>396</v>
      </c>
      <c r="O48" t="s">
        <v>954</v>
      </c>
      <c r="P48" t="s">
        <v>992</v>
      </c>
      <c r="Q48" t="s">
        <v>993</v>
      </c>
      <c r="R48" t="s">
        <v>994</v>
      </c>
      <c r="S48" t="s">
        <v>995</v>
      </c>
      <c r="T48" t="s">
        <v>996</v>
      </c>
      <c r="U48" t="s">
        <v>997</v>
      </c>
      <c r="V48" t="s">
        <v>173</v>
      </c>
      <c r="W48" t="s">
        <v>726</v>
      </c>
      <c r="X48" t="s">
        <v>175</v>
      </c>
      <c r="Y48" t="s">
        <v>106</v>
      </c>
      <c r="Z48" t="s">
        <v>998</v>
      </c>
      <c r="AA48" t="s">
        <v>144</v>
      </c>
      <c r="AB48" t="s">
        <v>528</v>
      </c>
      <c r="AC48">
        <v>3</v>
      </c>
      <c r="AD48" t="s">
        <v>237</v>
      </c>
      <c r="AE48" t="s">
        <v>110</v>
      </c>
      <c r="AF48" t="s">
        <v>91</v>
      </c>
      <c r="AG48" t="s">
        <v>211</v>
      </c>
      <c r="AJ48">
        <v>20.149999999999999</v>
      </c>
      <c r="AK48" t="s">
        <v>113</v>
      </c>
      <c r="AL48" t="s">
        <v>999</v>
      </c>
      <c r="AM48" t="s">
        <v>1000</v>
      </c>
      <c r="AN48" t="s">
        <v>82</v>
      </c>
      <c r="AO48">
        <v>256</v>
      </c>
      <c r="AP48">
        <v>3</v>
      </c>
      <c r="AQ48" t="s">
        <v>318</v>
      </c>
      <c r="AR48" t="s">
        <v>188</v>
      </c>
      <c r="AT48" t="s">
        <v>152</v>
      </c>
      <c r="AU48" t="s">
        <v>1001</v>
      </c>
      <c r="AV48" t="s">
        <v>1002</v>
      </c>
      <c r="AW48" t="s">
        <v>1002</v>
      </c>
      <c r="AX48" t="s">
        <v>270</v>
      </c>
    </row>
    <row r="49" spans="1:50" x14ac:dyDescent="0.25">
      <c r="A49" t="s">
        <v>1003</v>
      </c>
      <c r="B49" t="s">
        <v>1004</v>
      </c>
      <c r="C49" t="s">
        <v>434</v>
      </c>
      <c r="D49" t="s">
        <v>1005</v>
      </c>
      <c r="E49" t="s">
        <v>134</v>
      </c>
      <c r="F49" t="s">
        <v>222</v>
      </c>
      <c r="G49" t="s">
        <v>1006</v>
      </c>
      <c r="H49" t="s">
        <v>1007</v>
      </c>
      <c r="I49" t="s">
        <v>253</v>
      </c>
      <c r="J49" t="s">
        <v>1008</v>
      </c>
      <c r="K49" t="s">
        <v>132</v>
      </c>
      <c r="L49" t="s">
        <v>1009</v>
      </c>
      <c r="M49" t="s">
        <v>513</v>
      </c>
      <c r="N49" t="s">
        <v>166</v>
      </c>
      <c r="O49" t="s">
        <v>136</v>
      </c>
      <c r="P49" t="s">
        <v>1010</v>
      </c>
      <c r="Q49" t="s">
        <v>1011</v>
      </c>
      <c r="R49" t="s">
        <v>229</v>
      </c>
      <c r="S49" t="s">
        <v>1012</v>
      </c>
      <c r="T49" t="s">
        <v>1013</v>
      </c>
      <c r="U49" t="s">
        <v>1014</v>
      </c>
      <c r="V49" t="s">
        <v>173</v>
      </c>
      <c r="W49" t="s">
        <v>174</v>
      </c>
      <c r="X49" t="s">
        <v>105</v>
      </c>
      <c r="Y49" t="s">
        <v>337</v>
      </c>
      <c r="Z49" t="s">
        <v>1015</v>
      </c>
      <c r="AA49" t="s">
        <v>19</v>
      </c>
      <c r="AB49" t="s">
        <v>528</v>
      </c>
      <c r="AC49">
        <v>9</v>
      </c>
      <c r="AD49" t="s">
        <v>314</v>
      </c>
      <c r="AE49" t="s">
        <v>181</v>
      </c>
      <c r="AF49">
        <v>79</v>
      </c>
      <c r="AG49">
        <v>0.08</v>
      </c>
      <c r="AJ49" t="s">
        <v>134</v>
      </c>
      <c r="AK49" t="s">
        <v>571</v>
      </c>
      <c r="AL49" t="s">
        <v>1016</v>
      </c>
      <c r="AM49">
        <v>26.05</v>
      </c>
      <c r="AN49" t="s">
        <v>116</v>
      </c>
      <c r="AO49" t="s">
        <v>142</v>
      </c>
      <c r="AP49">
        <v>4</v>
      </c>
      <c r="AQ49" t="s">
        <v>151</v>
      </c>
      <c r="AR49" t="s">
        <v>319</v>
      </c>
      <c r="AS49" t="s">
        <v>83</v>
      </c>
      <c r="AT49" t="s">
        <v>361</v>
      </c>
      <c r="AU49" t="s">
        <v>1017</v>
      </c>
      <c r="AV49" t="s">
        <v>1018</v>
      </c>
      <c r="AW49" t="s">
        <v>1019</v>
      </c>
      <c r="AX49" t="s">
        <v>85</v>
      </c>
    </row>
    <row r="50" spans="1:50" x14ac:dyDescent="0.25">
      <c r="A50" t="s">
        <v>1020</v>
      </c>
      <c r="B50" t="s">
        <v>1021</v>
      </c>
      <c r="C50" t="s">
        <v>1022</v>
      </c>
      <c r="D50" t="s">
        <v>926</v>
      </c>
      <c r="E50" t="s">
        <v>1023</v>
      </c>
      <c r="F50" t="s">
        <v>1024</v>
      </c>
      <c r="G50" t="s">
        <v>1025</v>
      </c>
      <c r="H50" t="s">
        <v>1026</v>
      </c>
      <c r="I50" t="s">
        <v>58</v>
      </c>
      <c r="J50" t="s">
        <v>134</v>
      </c>
      <c r="K50" t="s">
        <v>280</v>
      </c>
      <c r="L50" t="s">
        <v>1027</v>
      </c>
      <c r="M50" t="s">
        <v>163</v>
      </c>
      <c r="N50" t="s">
        <v>166</v>
      </c>
      <c r="O50" t="s">
        <v>1028</v>
      </c>
      <c r="P50" t="s">
        <v>1029</v>
      </c>
      <c r="Q50" t="s">
        <v>1030</v>
      </c>
      <c r="R50" t="s">
        <v>258</v>
      </c>
      <c r="S50" t="s">
        <v>1031</v>
      </c>
      <c r="T50" t="s">
        <v>1032</v>
      </c>
      <c r="U50" t="s">
        <v>1033</v>
      </c>
      <c r="V50" t="s">
        <v>70</v>
      </c>
      <c r="W50" t="s">
        <v>71</v>
      </c>
      <c r="X50" t="s">
        <v>233</v>
      </c>
      <c r="Y50" t="s">
        <v>118</v>
      </c>
      <c r="Z50" t="s">
        <v>1034</v>
      </c>
      <c r="AA50" t="s">
        <v>236</v>
      </c>
      <c r="AB50" t="s">
        <v>263</v>
      </c>
      <c r="AC50">
        <v>2</v>
      </c>
      <c r="AD50" t="s">
        <v>146</v>
      </c>
      <c r="AE50" t="s">
        <v>406</v>
      </c>
      <c r="AF50">
        <v>83</v>
      </c>
      <c r="AG50">
        <v>0.08</v>
      </c>
      <c r="AJ50">
        <v>6.56</v>
      </c>
      <c r="AK50" t="s">
        <v>113</v>
      </c>
      <c r="AL50" t="s">
        <v>1035</v>
      </c>
      <c r="AM50" t="s">
        <v>1036</v>
      </c>
      <c r="AN50" t="s">
        <v>186</v>
      </c>
      <c r="AO50">
        <v>311</v>
      </c>
      <c r="AP50">
        <v>4</v>
      </c>
      <c r="AQ50" t="s">
        <v>117</v>
      </c>
      <c r="AR50" t="s">
        <v>243</v>
      </c>
      <c r="AS50" t="s">
        <v>215</v>
      </c>
      <c r="AT50" t="s">
        <v>119</v>
      </c>
      <c r="AV50" t="s">
        <v>1037</v>
      </c>
      <c r="AW50" t="s">
        <v>122</v>
      </c>
      <c r="AX50" t="s">
        <v>246</v>
      </c>
    </row>
    <row r="51" spans="1:50" x14ac:dyDescent="0.25">
      <c r="A51" t="s">
        <v>1038</v>
      </c>
      <c r="B51" t="s">
        <v>1039</v>
      </c>
      <c r="C51" t="s">
        <v>1040</v>
      </c>
      <c r="D51" t="s">
        <v>1041</v>
      </c>
      <c r="E51" t="s">
        <v>1042</v>
      </c>
      <c r="F51" t="s">
        <v>1043</v>
      </c>
      <c r="G51">
        <v>38</v>
      </c>
      <c r="H51" t="s">
        <v>1044</v>
      </c>
      <c r="I51" t="s">
        <v>58</v>
      </c>
      <c r="J51" t="s">
        <v>1045</v>
      </c>
      <c r="K51" t="s">
        <v>132</v>
      </c>
      <c r="L51" t="s">
        <v>1046</v>
      </c>
      <c r="M51" t="s">
        <v>1047</v>
      </c>
      <c r="N51" t="s">
        <v>166</v>
      </c>
      <c r="O51" t="s">
        <v>136</v>
      </c>
      <c r="P51" t="s">
        <v>1048</v>
      </c>
      <c r="Q51" t="s">
        <v>1049</v>
      </c>
      <c r="R51" t="s">
        <v>912</v>
      </c>
      <c r="S51" t="s">
        <v>1050</v>
      </c>
      <c r="T51" t="s">
        <v>1051</v>
      </c>
      <c r="U51" t="s">
        <v>1052</v>
      </c>
      <c r="V51" t="s">
        <v>205</v>
      </c>
      <c r="W51" t="s">
        <v>71</v>
      </c>
      <c r="X51" t="s">
        <v>207</v>
      </c>
      <c r="Y51" t="s">
        <v>118</v>
      </c>
      <c r="Z51" t="s">
        <v>1053</v>
      </c>
      <c r="AA51" t="s">
        <v>178</v>
      </c>
      <c r="AB51" t="s">
        <v>108</v>
      </c>
      <c r="AC51" t="s">
        <v>589</v>
      </c>
      <c r="AD51">
        <v>2025</v>
      </c>
      <c r="AE51" t="s">
        <v>181</v>
      </c>
      <c r="AF51">
        <v>33</v>
      </c>
      <c r="AG51">
        <v>0.08</v>
      </c>
      <c r="AJ51" t="s">
        <v>1054</v>
      </c>
      <c r="AK51" t="s">
        <v>183</v>
      </c>
      <c r="AL51" t="s">
        <v>1055</v>
      </c>
      <c r="AM51" t="s">
        <v>1056</v>
      </c>
      <c r="AN51" t="s">
        <v>267</v>
      </c>
      <c r="AO51">
        <v>135</v>
      </c>
      <c r="AP51">
        <v>3</v>
      </c>
      <c r="AQ51" t="s">
        <v>610</v>
      </c>
      <c r="AR51">
        <v>0</v>
      </c>
      <c r="AS51" t="s">
        <v>215</v>
      </c>
      <c r="AT51">
        <v>0.3</v>
      </c>
      <c r="AU51" t="s">
        <v>134</v>
      </c>
      <c r="AV51" t="s">
        <v>1057</v>
      </c>
      <c r="AW51" t="s">
        <v>733</v>
      </c>
    </row>
    <row r="52" spans="1:50" x14ac:dyDescent="0.25">
      <c r="A52" t="s">
        <v>1058</v>
      </c>
      <c r="B52" t="s">
        <v>1059</v>
      </c>
      <c r="C52" t="s">
        <v>1060</v>
      </c>
      <c r="D52" t="s">
        <v>1061</v>
      </c>
      <c r="E52" t="s">
        <v>1062</v>
      </c>
      <c r="F52" t="s">
        <v>1063</v>
      </c>
      <c r="G52" t="s">
        <v>300</v>
      </c>
      <c r="H52" t="s">
        <v>1064</v>
      </c>
      <c r="I52" t="s">
        <v>253</v>
      </c>
      <c r="J52" t="s">
        <v>1065</v>
      </c>
      <c r="K52" t="s">
        <v>132</v>
      </c>
      <c r="L52" t="s">
        <v>416</v>
      </c>
      <c r="N52" t="s">
        <v>95</v>
      </c>
      <c r="O52" t="s">
        <v>777</v>
      </c>
      <c r="P52" t="s">
        <v>1066</v>
      </c>
      <c r="Q52" t="s">
        <v>1067</v>
      </c>
      <c r="R52" t="s">
        <v>201</v>
      </c>
      <c r="S52" t="s">
        <v>1068</v>
      </c>
      <c r="T52" t="s">
        <v>1069</v>
      </c>
      <c r="U52" t="s">
        <v>1070</v>
      </c>
      <c r="V52" t="s">
        <v>103</v>
      </c>
      <c r="W52" t="s">
        <v>311</v>
      </c>
      <c r="X52" t="s">
        <v>424</v>
      </c>
      <c r="Y52" t="s">
        <v>118</v>
      </c>
      <c r="Z52" t="s">
        <v>1071</v>
      </c>
      <c r="AA52" t="s">
        <v>19</v>
      </c>
      <c r="AB52" t="s">
        <v>108</v>
      </c>
      <c r="AC52" t="s">
        <v>264</v>
      </c>
      <c r="AD52" t="s">
        <v>314</v>
      </c>
      <c r="AE52" t="s">
        <v>406</v>
      </c>
      <c r="AF52" t="s">
        <v>134</v>
      </c>
      <c r="AG52" t="s">
        <v>211</v>
      </c>
      <c r="AJ52" t="s">
        <v>1072</v>
      </c>
      <c r="AK52" t="s">
        <v>240</v>
      </c>
      <c r="AL52" t="s">
        <v>1073</v>
      </c>
      <c r="AM52">
        <v>11.51</v>
      </c>
      <c r="AN52" t="s">
        <v>116</v>
      </c>
      <c r="AO52">
        <v>200</v>
      </c>
      <c r="AP52">
        <v>4</v>
      </c>
      <c r="AQ52" t="s">
        <v>786</v>
      </c>
      <c r="AR52">
        <v>0</v>
      </c>
      <c r="AT52" t="s">
        <v>152</v>
      </c>
      <c r="AU52" t="s">
        <v>1074</v>
      </c>
      <c r="AV52" t="s">
        <v>1075</v>
      </c>
      <c r="AW52" t="s">
        <v>122</v>
      </c>
    </row>
    <row r="53" spans="1:50" x14ac:dyDescent="0.25">
      <c r="A53" t="s">
        <v>1076</v>
      </c>
      <c r="B53" t="s">
        <v>1077</v>
      </c>
      <c r="C53" t="s">
        <v>1078</v>
      </c>
      <c r="D53" t="s">
        <v>1079</v>
      </c>
      <c r="E53" t="s">
        <v>1080</v>
      </c>
      <c r="F53" t="s">
        <v>327</v>
      </c>
      <c r="G53">
        <v>17</v>
      </c>
      <c r="J53" t="s">
        <v>1081</v>
      </c>
      <c r="K53" t="s">
        <v>330</v>
      </c>
      <c r="L53" t="s">
        <v>718</v>
      </c>
      <c r="M53" t="s">
        <v>719</v>
      </c>
      <c r="N53" t="s">
        <v>396</v>
      </c>
      <c r="O53" t="s">
        <v>226</v>
      </c>
      <c r="P53" t="s">
        <v>1082</v>
      </c>
      <c r="Q53" t="s">
        <v>1083</v>
      </c>
      <c r="R53" t="s">
        <v>665</v>
      </c>
      <c r="S53" t="s">
        <v>1084</v>
      </c>
      <c r="T53" t="s">
        <v>1085</v>
      </c>
      <c r="U53" t="s">
        <v>1086</v>
      </c>
      <c r="V53" t="s">
        <v>173</v>
      </c>
      <c r="W53" t="s">
        <v>174</v>
      </c>
      <c r="X53" t="s">
        <v>175</v>
      </c>
      <c r="Y53" t="s">
        <v>337</v>
      </c>
      <c r="Z53" t="s">
        <v>1087</v>
      </c>
      <c r="AA53" t="s">
        <v>144</v>
      </c>
      <c r="AB53" t="s">
        <v>76</v>
      </c>
      <c r="AC53" t="s">
        <v>728</v>
      </c>
      <c r="AD53">
        <v>2026</v>
      </c>
      <c r="AE53" t="s">
        <v>77</v>
      </c>
      <c r="AF53">
        <v>77</v>
      </c>
      <c r="AG53">
        <v>0.08</v>
      </c>
      <c r="AJ53" t="s">
        <v>1088</v>
      </c>
      <c r="AK53" t="s">
        <v>240</v>
      </c>
      <c r="AL53" t="s">
        <v>1089</v>
      </c>
      <c r="AM53" t="s">
        <v>1090</v>
      </c>
      <c r="AN53" t="s">
        <v>82</v>
      </c>
      <c r="AO53">
        <v>472</v>
      </c>
      <c r="AP53">
        <v>4</v>
      </c>
      <c r="AQ53" t="s">
        <v>318</v>
      </c>
      <c r="AR53">
        <v>0</v>
      </c>
      <c r="AT53" t="s">
        <v>361</v>
      </c>
      <c r="AV53" t="s">
        <v>121</v>
      </c>
      <c r="AW53" t="s">
        <v>1091</v>
      </c>
      <c r="AX53" t="s">
        <v>191</v>
      </c>
    </row>
    <row r="54" spans="1:50" x14ac:dyDescent="0.25">
      <c r="A54" t="s">
        <v>1092</v>
      </c>
      <c r="B54" t="s">
        <v>1093</v>
      </c>
      <c r="C54" t="s">
        <v>1094</v>
      </c>
      <c r="D54" t="s">
        <v>1095</v>
      </c>
      <c r="E54" t="s">
        <v>1096</v>
      </c>
      <c r="F54" t="s">
        <v>299</v>
      </c>
      <c r="G54" t="s">
        <v>1097</v>
      </c>
      <c r="H54" t="s">
        <v>1098</v>
      </c>
      <c r="I54" t="s">
        <v>58</v>
      </c>
      <c r="J54" t="s">
        <v>91</v>
      </c>
      <c r="K54" t="s">
        <v>59</v>
      </c>
      <c r="L54" t="s">
        <v>1099</v>
      </c>
      <c r="M54" t="s">
        <v>1100</v>
      </c>
      <c r="N54" t="s">
        <v>417</v>
      </c>
      <c r="O54" t="s">
        <v>397</v>
      </c>
      <c r="P54" t="s">
        <v>1101</v>
      </c>
      <c r="Q54" t="s">
        <v>1102</v>
      </c>
      <c r="R54" t="s">
        <v>420</v>
      </c>
      <c r="S54" t="s">
        <v>1103</v>
      </c>
      <c r="T54" t="s">
        <v>1104</v>
      </c>
      <c r="U54" t="s">
        <v>1105</v>
      </c>
      <c r="V54" t="s">
        <v>173</v>
      </c>
      <c r="W54" t="s">
        <v>311</v>
      </c>
      <c r="X54" t="s">
        <v>175</v>
      </c>
      <c r="Y54" t="s">
        <v>106</v>
      </c>
      <c r="Z54" t="s">
        <v>1106</v>
      </c>
      <c r="AA54" t="s">
        <v>75</v>
      </c>
      <c r="AB54" t="s">
        <v>179</v>
      </c>
      <c r="AC54" t="s">
        <v>1107</v>
      </c>
      <c r="AD54" t="s">
        <v>146</v>
      </c>
      <c r="AE54" t="s">
        <v>181</v>
      </c>
      <c r="AF54">
        <v>88</v>
      </c>
      <c r="AG54">
        <v>0.08</v>
      </c>
      <c r="AJ54" t="s">
        <v>1108</v>
      </c>
      <c r="AK54" t="s">
        <v>240</v>
      </c>
      <c r="AL54" t="s">
        <v>1109</v>
      </c>
      <c r="AM54" t="s">
        <v>1110</v>
      </c>
      <c r="AN54" t="s">
        <v>267</v>
      </c>
      <c r="AO54">
        <v>72</v>
      </c>
      <c r="AP54">
        <v>2</v>
      </c>
      <c r="AQ54" t="s">
        <v>786</v>
      </c>
      <c r="AR54" t="s">
        <v>319</v>
      </c>
      <c r="AS54" t="s">
        <v>215</v>
      </c>
      <c r="AT54" t="s">
        <v>361</v>
      </c>
      <c r="AU54" t="s">
        <v>1111</v>
      </c>
      <c r="AV54" t="s">
        <v>1112</v>
      </c>
      <c r="AW54" t="s">
        <v>1113</v>
      </c>
      <c r="AX54" t="s">
        <v>85</v>
      </c>
    </row>
    <row r="55" spans="1:50" x14ac:dyDescent="0.25">
      <c r="A55" t="s">
        <v>1114</v>
      </c>
      <c r="B55" t="s">
        <v>1115</v>
      </c>
      <c r="C55" t="s">
        <v>1116</v>
      </c>
      <c r="D55" t="s">
        <v>1117</v>
      </c>
      <c r="E55" t="s">
        <v>1118</v>
      </c>
      <c r="F55" t="s">
        <v>134</v>
      </c>
      <c r="G55" t="s">
        <v>458</v>
      </c>
      <c r="H55">
        <v>227.08</v>
      </c>
      <c r="J55" t="s">
        <v>1119</v>
      </c>
      <c r="K55" t="s">
        <v>280</v>
      </c>
      <c r="L55" t="s">
        <v>1120</v>
      </c>
      <c r="M55" t="s">
        <v>1121</v>
      </c>
      <c r="N55" t="s">
        <v>135</v>
      </c>
      <c r="O55" t="s">
        <v>1122</v>
      </c>
      <c r="P55" t="s">
        <v>1123</v>
      </c>
      <c r="Q55" t="s">
        <v>1124</v>
      </c>
      <c r="R55" t="s">
        <v>420</v>
      </c>
      <c r="S55" t="s">
        <v>1125</v>
      </c>
      <c r="T55" t="s">
        <v>1126</v>
      </c>
      <c r="U55" t="s">
        <v>1127</v>
      </c>
      <c r="V55" t="s">
        <v>173</v>
      </c>
      <c r="W55" t="s">
        <v>71</v>
      </c>
      <c r="X55" t="s">
        <v>233</v>
      </c>
      <c r="Y55" t="s">
        <v>337</v>
      </c>
      <c r="Z55" t="s">
        <v>1128</v>
      </c>
      <c r="AA55" t="s">
        <v>19</v>
      </c>
      <c r="AB55" t="s">
        <v>108</v>
      </c>
      <c r="AC55">
        <v>4</v>
      </c>
      <c r="AD55" t="s">
        <v>210</v>
      </c>
      <c r="AE55" t="s">
        <v>181</v>
      </c>
      <c r="AF55">
        <v>28</v>
      </c>
      <c r="AG55">
        <v>0.08</v>
      </c>
      <c r="AJ55" t="s">
        <v>1129</v>
      </c>
      <c r="AK55" t="s">
        <v>240</v>
      </c>
      <c r="AL55" t="s">
        <v>1130</v>
      </c>
      <c r="AM55">
        <v>19.940000000000001</v>
      </c>
      <c r="AN55" t="s">
        <v>82</v>
      </c>
      <c r="AO55">
        <v>224</v>
      </c>
      <c r="AP55">
        <v>2</v>
      </c>
      <c r="AQ55" t="s">
        <v>151</v>
      </c>
      <c r="AS55" t="s">
        <v>429</v>
      </c>
      <c r="AT55" t="s">
        <v>361</v>
      </c>
      <c r="AU55" t="s">
        <v>163</v>
      </c>
      <c r="AV55" t="s">
        <v>1131</v>
      </c>
      <c r="AW55" t="s">
        <v>1131</v>
      </c>
    </row>
    <row r="56" spans="1:50" x14ac:dyDescent="0.25">
      <c r="A56" t="s">
        <v>1132</v>
      </c>
      <c r="B56" t="s">
        <v>1133</v>
      </c>
      <c r="C56" t="s">
        <v>1134</v>
      </c>
      <c r="D56" t="s">
        <v>1135</v>
      </c>
      <c r="E56" t="s">
        <v>1136</v>
      </c>
      <c r="F56" t="s">
        <v>1137</v>
      </c>
      <c r="G56" t="s">
        <v>1138</v>
      </c>
      <c r="H56" t="s">
        <v>1139</v>
      </c>
      <c r="I56">
        <v>0.1</v>
      </c>
      <c r="J56" t="s">
        <v>91</v>
      </c>
      <c r="K56" t="s">
        <v>132</v>
      </c>
      <c r="L56" t="s">
        <v>1140</v>
      </c>
      <c r="M56" t="s">
        <v>91</v>
      </c>
      <c r="N56" t="s">
        <v>396</v>
      </c>
      <c r="O56" t="s">
        <v>760</v>
      </c>
      <c r="P56" t="s">
        <v>1141</v>
      </c>
      <c r="Q56" t="s">
        <v>1142</v>
      </c>
      <c r="R56" t="s">
        <v>201</v>
      </c>
      <c r="S56" t="s">
        <v>1143</v>
      </c>
      <c r="T56" t="s">
        <v>1144</v>
      </c>
      <c r="U56" t="s">
        <v>1145</v>
      </c>
      <c r="V56" t="s">
        <v>290</v>
      </c>
      <c r="W56" t="s">
        <v>104</v>
      </c>
      <c r="X56" t="s">
        <v>424</v>
      </c>
      <c r="Y56" t="s">
        <v>73</v>
      </c>
      <c r="Z56" t="s">
        <v>1146</v>
      </c>
      <c r="AA56" t="s">
        <v>144</v>
      </c>
      <c r="AB56" t="s">
        <v>528</v>
      </c>
      <c r="AC56" t="s">
        <v>1147</v>
      </c>
      <c r="AD56">
        <v>2025</v>
      </c>
      <c r="AE56" t="s">
        <v>181</v>
      </c>
      <c r="AF56">
        <v>2</v>
      </c>
      <c r="AG56" t="s">
        <v>111</v>
      </c>
      <c r="AJ56" t="s">
        <v>163</v>
      </c>
      <c r="AK56" t="s">
        <v>147</v>
      </c>
      <c r="AL56" t="s">
        <v>1148</v>
      </c>
      <c r="AM56" t="s">
        <v>1149</v>
      </c>
      <c r="AN56" t="s">
        <v>116</v>
      </c>
      <c r="AO56">
        <v>347</v>
      </c>
      <c r="AP56" t="s">
        <v>214</v>
      </c>
      <c r="AQ56" t="s">
        <v>151</v>
      </c>
      <c r="AR56" t="s">
        <v>118</v>
      </c>
      <c r="AU56" t="s">
        <v>1150</v>
      </c>
      <c r="AV56" t="s">
        <v>216</v>
      </c>
      <c r="AW56" t="s">
        <v>122</v>
      </c>
      <c r="AX56" t="s">
        <v>191</v>
      </c>
    </row>
    <row r="57" spans="1:50" x14ac:dyDescent="0.25">
      <c r="A57" t="s">
        <v>1151</v>
      </c>
      <c r="B57" t="s">
        <v>1152</v>
      </c>
      <c r="C57" t="s">
        <v>1153</v>
      </c>
      <c r="D57" t="s">
        <v>1154</v>
      </c>
      <c r="E57" t="s">
        <v>1155</v>
      </c>
      <c r="F57" t="s">
        <v>950</v>
      </c>
      <c r="G57" t="s">
        <v>1156</v>
      </c>
      <c r="H57" t="s">
        <v>499</v>
      </c>
      <c r="J57" t="s">
        <v>163</v>
      </c>
      <c r="K57" t="s">
        <v>92</v>
      </c>
      <c r="L57" t="s">
        <v>1157</v>
      </c>
      <c r="M57" t="s">
        <v>134</v>
      </c>
      <c r="N57" t="s">
        <v>166</v>
      </c>
      <c r="O57" t="s">
        <v>397</v>
      </c>
      <c r="P57" t="s">
        <v>1101</v>
      </c>
      <c r="Q57" t="s">
        <v>1158</v>
      </c>
      <c r="R57" t="s">
        <v>420</v>
      </c>
      <c r="S57" t="s">
        <v>1159</v>
      </c>
      <c r="T57" t="s">
        <v>1160</v>
      </c>
      <c r="U57" t="s">
        <v>1161</v>
      </c>
      <c r="V57" t="s">
        <v>290</v>
      </c>
      <c r="W57" t="s">
        <v>104</v>
      </c>
      <c r="X57" t="s">
        <v>424</v>
      </c>
      <c r="Y57" t="s">
        <v>118</v>
      </c>
      <c r="Z57" t="s">
        <v>1162</v>
      </c>
      <c r="AA57" t="s">
        <v>178</v>
      </c>
      <c r="AB57" t="s">
        <v>263</v>
      </c>
      <c r="AC57">
        <v>7</v>
      </c>
      <c r="AD57" t="s">
        <v>237</v>
      </c>
      <c r="AE57" t="s">
        <v>181</v>
      </c>
      <c r="AF57">
        <v>63</v>
      </c>
      <c r="AG57">
        <v>0.08</v>
      </c>
      <c r="AJ57" t="s">
        <v>1163</v>
      </c>
      <c r="AK57" t="s">
        <v>240</v>
      </c>
      <c r="AL57" t="s">
        <v>1164</v>
      </c>
      <c r="AM57" t="s">
        <v>1165</v>
      </c>
      <c r="AN57" t="s">
        <v>150</v>
      </c>
      <c r="AO57">
        <v>210</v>
      </c>
      <c r="AP57">
        <v>4.5</v>
      </c>
      <c r="AQ57" t="s">
        <v>117</v>
      </c>
      <c r="AR57">
        <v>0</v>
      </c>
      <c r="AT57" t="s">
        <v>361</v>
      </c>
      <c r="AU57" t="s">
        <v>1166</v>
      </c>
      <c r="AV57" t="s">
        <v>1167</v>
      </c>
      <c r="AW57" t="s">
        <v>1113</v>
      </c>
      <c r="AX57" t="s">
        <v>246</v>
      </c>
    </row>
    <row r="58" spans="1:50" x14ac:dyDescent="0.25">
      <c r="A58" t="s">
        <v>1168</v>
      </c>
      <c r="B58" t="s">
        <v>1169</v>
      </c>
      <c r="C58" t="s">
        <v>1170</v>
      </c>
      <c r="D58" t="s">
        <v>1171</v>
      </c>
      <c r="E58" t="s">
        <v>1172</v>
      </c>
      <c r="F58" t="s">
        <v>90</v>
      </c>
      <c r="G58" t="s">
        <v>1173</v>
      </c>
      <c r="H58" t="s">
        <v>134</v>
      </c>
      <c r="I58" t="s">
        <v>253</v>
      </c>
      <c r="J58" t="s">
        <v>1174</v>
      </c>
      <c r="K58" t="s">
        <v>280</v>
      </c>
      <c r="L58" t="s">
        <v>1175</v>
      </c>
      <c r="M58" t="s">
        <v>163</v>
      </c>
      <c r="N58" t="s">
        <v>62</v>
      </c>
      <c r="O58" t="s">
        <v>226</v>
      </c>
      <c r="P58" t="s">
        <v>1176</v>
      </c>
      <c r="Q58" t="s">
        <v>1177</v>
      </c>
      <c r="R58" t="s">
        <v>1178</v>
      </c>
      <c r="S58" t="s">
        <v>1179</v>
      </c>
      <c r="T58" t="s">
        <v>1180</v>
      </c>
      <c r="U58" t="s">
        <v>1181</v>
      </c>
      <c r="V58" t="s">
        <v>103</v>
      </c>
      <c r="W58" t="s">
        <v>206</v>
      </c>
      <c r="X58" t="s">
        <v>424</v>
      </c>
      <c r="Y58" t="s">
        <v>176</v>
      </c>
      <c r="Z58" t="s">
        <v>1182</v>
      </c>
      <c r="AA58" t="s">
        <v>75</v>
      </c>
      <c r="AB58" t="s">
        <v>179</v>
      </c>
      <c r="AC58">
        <v>7</v>
      </c>
      <c r="AD58" t="s">
        <v>314</v>
      </c>
      <c r="AE58" t="s">
        <v>77</v>
      </c>
      <c r="AF58">
        <v>71</v>
      </c>
      <c r="AG58" t="s">
        <v>111</v>
      </c>
      <c r="AJ58" t="s">
        <v>1183</v>
      </c>
      <c r="AK58" t="s">
        <v>183</v>
      </c>
      <c r="AL58" t="s">
        <v>1184</v>
      </c>
      <c r="AM58">
        <v>5.29</v>
      </c>
      <c r="AN58" t="s">
        <v>116</v>
      </c>
      <c r="AO58">
        <v>12</v>
      </c>
      <c r="AP58">
        <v>2</v>
      </c>
      <c r="AQ58" t="s">
        <v>242</v>
      </c>
      <c r="AR58" t="s">
        <v>118</v>
      </c>
      <c r="AS58" t="s">
        <v>429</v>
      </c>
      <c r="AT58">
        <v>0.3</v>
      </c>
      <c r="AU58" t="s">
        <v>1185</v>
      </c>
      <c r="AV58" t="s">
        <v>1186</v>
      </c>
      <c r="AX58" t="s">
        <v>270</v>
      </c>
    </row>
    <row r="59" spans="1:50" x14ac:dyDescent="0.25">
      <c r="A59" t="s">
        <v>1187</v>
      </c>
      <c r="B59" t="s">
        <v>1188</v>
      </c>
      <c r="C59" t="s">
        <v>1189</v>
      </c>
      <c r="D59" t="s">
        <v>1190</v>
      </c>
      <c r="E59" t="s">
        <v>1191</v>
      </c>
      <c r="F59" t="s">
        <v>1192</v>
      </c>
      <c r="G59" t="s">
        <v>795</v>
      </c>
      <c r="H59" t="s">
        <v>91</v>
      </c>
      <c r="I59" t="s">
        <v>162</v>
      </c>
      <c r="J59" t="s">
        <v>1193</v>
      </c>
      <c r="K59" t="s">
        <v>280</v>
      </c>
      <c r="L59" t="s">
        <v>1194</v>
      </c>
      <c r="M59" t="s">
        <v>1195</v>
      </c>
      <c r="N59" t="s">
        <v>135</v>
      </c>
      <c r="O59" t="s">
        <v>1122</v>
      </c>
      <c r="P59" t="s">
        <v>1196</v>
      </c>
      <c r="Q59" t="s">
        <v>1197</v>
      </c>
      <c r="R59" t="s">
        <v>564</v>
      </c>
      <c r="S59" t="s">
        <v>1198</v>
      </c>
      <c r="T59" t="s">
        <v>1199</v>
      </c>
      <c r="U59" t="s">
        <v>1200</v>
      </c>
      <c r="V59" t="s">
        <v>290</v>
      </c>
      <c r="W59" t="s">
        <v>726</v>
      </c>
      <c r="X59" t="s">
        <v>233</v>
      </c>
      <c r="Y59" t="s">
        <v>234</v>
      </c>
      <c r="Z59" t="s">
        <v>1201</v>
      </c>
      <c r="AA59" t="s">
        <v>236</v>
      </c>
      <c r="AB59" t="s">
        <v>76</v>
      </c>
      <c r="AC59" t="s">
        <v>1147</v>
      </c>
      <c r="AD59" t="s">
        <v>237</v>
      </c>
      <c r="AE59" t="s">
        <v>181</v>
      </c>
      <c r="AF59" t="s">
        <v>163</v>
      </c>
      <c r="AG59">
        <v>0.08</v>
      </c>
      <c r="AJ59">
        <v>41.35</v>
      </c>
      <c r="AK59" t="s">
        <v>183</v>
      </c>
      <c r="AL59" t="s">
        <v>1202</v>
      </c>
      <c r="AM59" t="s">
        <v>1203</v>
      </c>
      <c r="AN59" t="s">
        <v>186</v>
      </c>
      <c r="AO59">
        <v>45</v>
      </c>
      <c r="AP59" t="s">
        <v>214</v>
      </c>
      <c r="AQ59" t="s">
        <v>610</v>
      </c>
      <c r="AR59" t="s">
        <v>118</v>
      </c>
      <c r="AT59" t="s">
        <v>152</v>
      </c>
      <c r="AU59">
        <v>186.04</v>
      </c>
      <c r="AV59" t="s">
        <v>1204</v>
      </c>
      <c r="AX59" t="s">
        <v>246</v>
      </c>
    </row>
    <row r="60" spans="1:50" x14ac:dyDescent="0.25">
      <c r="A60" t="s">
        <v>1205</v>
      </c>
      <c r="B60" t="s">
        <v>1206</v>
      </c>
      <c r="C60" t="s">
        <v>1207</v>
      </c>
      <c r="D60" t="s">
        <v>1208</v>
      </c>
      <c r="E60" t="s">
        <v>1209</v>
      </c>
      <c r="F60" t="s">
        <v>56</v>
      </c>
      <c r="G60">
        <v>5</v>
      </c>
      <c r="H60" t="s">
        <v>1210</v>
      </c>
      <c r="I60" t="s">
        <v>58</v>
      </c>
      <c r="J60">
        <v>115.15</v>
      </c>
      <c r="K60" t="s">
        <v>92</v>
      </c>
      <c r="L60" t="s">
        <v>1099</v>
      </c>
      <c r="M60" t="s">
        <v>142</v>
      </c>
      <c r="N60" t="s">
        <v>95</v>
      </c>
      <c r="O60" t="s">
        <v>198</v>
      </c>
      <c r="P60" t="s">
        <v>1211</v>
      </c>
      <c r="Q60" t="s">
        <v>1212</v>
      </c>
      <c r="R60" t="s">
        <v>876</v>
      </c>
      <c r="S60" t="s">
        <v>1213</v>
      </c>
      <c r="T60" t="s">
        <v>1214</v>
      </c>
      <c r="U60" t="s">
        <v>1215</v>
      </c>
      <c r="V60" t="s">
        <v>290</v>
      </c>
      <c r="W60" t="s">
        <v>206</v>
      </c>
      <c r="X60" t="s">
        <v>424</v>
      </c>
      <c r="Y60" t="s">
        <v>337</v>
      </c>
      <c r="Z60" t="s">
        <v>1216</v>
      </c>
      <c r="AA60" t="s">
        <v>144</v>
      </c>
      <c r="AB60" t="s">
        <v>108</v>
      </c>
      <c r="AC60">
        <v>3</v>
      </c>
      <c r="AD60" t="s">
        <v>237</v>
      </c>
      <c r="AE60" t="s">
        <v>406</v>
      </c>
      <c r="AF60">
        <v>11</v>
      </c>
      <c r="AG60" t="s">
        <v>211</v>
      </c>
      <c r="AJ60" t="s">
        <v>1217</v>
      </c>
      <c r="AK60" t="s">
        <v>571</v>
      </c>
      <c r="AL60" t="s">
        <v>1218</v>
      </c>
      <c r="AM60">
        <v>21.51</v>
      </c>
      <c r="AN60" t="s">
        <v>82</v>
      </c>
      <c r="AO60">
        <v>54</v>
      </c>
      <c r="AP60">
        <v>4.5</v>
      </c>
      <c r="AQ60" t="s">
        <v>117</v>
      </c>
      <c r="AR60">
        <v>1</v>
      </c>
      <c r="AT60" t="s">
        <v>361</v>
      </c>
      <c r="AU60" t="s">
        <v>1219</v>
      </c>
      <c r="AV60" t="s">
        <v>1220</v>
      </c>
      <c r="AX60" t="s">
        <v>270</v>
      </c>
    </row>
    <row r="61" spans="1:50" x14ac:dyDescent="0.25">
      <c r="A61" t="s">
        <v>1221</v>
      </c>
      <c r="B61" t="s">
        <v>1222</v>
      </c>
      <c r="C61" t="s">
        <v>91</v>
      </c>
      <c r="D61" t="s">
        <v>1223</v>
      </c>
      <c r="E61" t="s">
        <v>1224</v>
      </c>
      <c r="F61" t="s">
        <v>1225</v>
      </c>
      <c r="G61" t="s">
        <v>1226</v>
      </c>
      <c r="H61" t="s">
        <v>1227</v>
      </c>
      <c r="I61">
        <v>0.1</v>
      </c>
      <c r="J61" t="s">
        <v>1228</v>
      </c>
      <c r="K61" t="s">
        <v>132</v>
      </c>
      <c r="L61" t="s">
        <v>1229</v>
      </c>
      <c r="M61" t="s">
        <v>134</v>
      </c>
      <c r="N61" t="s">
        <v>62</v>
      </c>
      <c r="O61" t="s">
        <v>1230</v>
      </c>
      <c r="P61" t="s">
        <v>816</v>
      </c>
      <c r="Q61" t="s">
        <v>1231</v>
      </c>
      <c r="R61" t="s">
        <v>1232</v>
      </c>
      <c r="S61" t="s">
        <v>1233</v>
      </c>
      <c r="T61" t="s">
        <v>1234</v>
      </c>
      <c r="U61" t="s">
        <v>1235</v>
      </c>
      <c r="V61" t="s">
        <v>290</v>
      </c>
      <c r="W61" t="s">
        <v>311</v>
      </c>
      <c r="X61" t="s">
        <v>233</v>
      </c>
      <c r="Y61" t="s">
        <v>118</v>
      </c>
      <c r="Z61" t="s">
        <v>1236</v>
      </c>
      <c r="AA61" t="s">
        <v>144</v>
      </c>
      <c r="AB61" t="s">
        <v>76</v>
      </c>
      <c r="AC61">
        <v>12</v>
      </c>
      <c r="AD61">
        <v>2025</v>
      </c>
      <c r="AE61" t="s">
        <v>406</v>
      </c>
      <c r="AF61">
        <v>15</v>
      </c>
      <c r="AG61" t="s">
        <v>111</v>
      </c>
      <c r="AJ61" t="s">
        <v>1237</v>
      </c>
      <c r="AK61" t="s">
        <v>240</v>
      </c>
      <c r="AL61" t="s">
        <v>1238</v>
      </c>
      <c r="AM61" t="s">
        <v>1239</v>
      </c>
      <c r="AN61" t="s">
        <v>82</v>
      </c>
      <c r="AO61">
        <v>159</v>
      </c>
      <c r="AP61" t="s">
        <v>187</v>
      </c>
      <c r="AQ61" t="s">
        <v>117</v>
      </c>
      <c r="AR61">
        <v>0</v>
      </c>
      <c r="AS61" t="s">
        <v>83</v>
      </c>
      <c r="AU61" t="s">
        <v>1240</v>
      </c>
      <c r="AV61" t="s">
        <v>84</v>
      </c>
      <c r="AW61" t="s">
        <v>84</v>
      </c>
      <c r="AX61" t="s">
        <v>85</v>
      </c>
    </row>
    <row r="62" spans="1:50" x14ac:dyDescent="0.25">
      <c r="A62" t="s">
        <v>1241</v>
      </c>
      <c r="B62" t="s">
        <v>1242</v>
      </c>
      <c r="C62" t="s">
        <v>1243</v>
      </c>
      <c r="D62" t="s">
        <v>1244</v>
      </c>
      <c r="E62" t="s">
        <v>1245</v>
      </c>
      <c r="F62" t="s">
        <v>1043</v>
      </c>
      <c r="G62" t="s">
        <v>1246</v>
      </c>
      <c r="H62" t="s">
        <v>1247</v>
      </c>
      <c r="I62">
        <v>0.1</v>
      </c>
      <c r="J62" t="s">
        <v>1248</v>
      </c>
      <c r="K62" t="s">
        <v>59</v>
      </c>
      <c r="L62" t="s">
        <v>254</v>
      </c>
      <c r="M62" t="s">
        <v>163</v>
      </c>
      <c r="N62" t="s">
        <v>396</v>
      </c>
      <c r="O62" t="s">
        <v>198</v>
      </c>
      <c r="P62" t="s">
        <v>1249</v>
      </c>
      <c r="Q62" t="s">
        <v>1250</v>
      </c>
      <c r="R62" t="s">
        <v>1251</v>
      </c>
      <c r="S62" t="s">
        <v>1252</v>
      </c>
      <c r="T62" t="s">
        <v>1253</v>
      </c>
      <c r="U62" t="s">
        <v>1254</v>
      </c>
      <c r="V62" t="s">
        <v>103</v>
      </c>
      <c r="W62" t="s">
        <v>71</v>
      </c>
      <c r="X62" t="s">
        <v>72</v>
      </c>
      <c r="Y62" t="s">
        <v>234</v>
      </c>
      <c r="Z62" t="s">
        <v>1255</v>
      </c>
      <c r="AA62" t="s">
        <v>75</v>
      </c>
      <c r="AB62" t="s">
        <v>405</v>
      </c>
      <c r="AC62" t="s">
        <v>357</v>
      </c>
      <c r="AD62" t="s">
        <v>237</v>
      </c>
      <c r="AE62" t="s">
        <v>406</v>
      </c>
      <c r="AF62">
        <v>60</v>
      </c>
      <c r="AG62" t="s">
        <v>111</v>
      </c>
      <c r="AJ62" t="s">
        <v>1256</v>
      </c>
      <c r="AK62" t="s">
        <v>183</v>
      </c>
      <c r="AL62" t="s">
        <v>1257</v>
      </c>
      <c r="AM62" t="s">
        <v>1258</v>
      </c>
      <c r="AN62" t="s">
        <v>186</v>
      </c>
      <c r="AO62">
        <v>443</v>
      </c>
      <c r="AP62">
        <v>1</v>
      </c>
      <c r="AQ62" t="s">
        <v>242</v>
      </c>
      <c r="AR62" t="s">
        <v>188</v>
      </c>
      <c r="AT62" t="s">
        <v>119</v>
      </c>
      <c r="AV62" t="s">
        <v>1259</v>
      </c>
      <c r="AW62" t="s">
        <v>733</v>
      </c>
      <c r="AX62" t="s">
        <v>246</v>
      </c>
    </row>
    <row r="64" spans="1:50" x14ac:dyDescent="0.25">
      <c r="A64" t="s">
        <v>1260</v>
      </c>
      <c r="B64" t="s">
        <v>1261</v>
      </c>
      <c r="C64" t="s">
        <v>1262</v>
      </c>
      <c r="D64" t="s">
        <v>1263</v>
      </c>
      <c r="E64" t="s">
        <v>1264</v>
      </c>
      <c r="F64" t="s">
        <v>1265</v>
      </c>
      <c r="G64" t="s">
        <v>1266</v>
      </c>
      <c r="H64" t="s">
        <v>1267</v>
      </c>
      <c r="I64">
        <v>0</v>
      </c>
      <c r="J64" t="s">
        <v>1268</v>
      </c>
      <c r="K64" t="s">
        <v>92</v>
      </c>
      <c r="L64" t="s">
        <v>1046</v>
      </c>
      <c r="N64" t="s">
        <v>166</v>
      </c>
      <c r="O64" t="s">
        <v>226</v>
      </c>
      <c r="P64" t="s">
        <v>1269</v>
      </c>
      <c r="Q64" t="s">
        <v>1270</v>
      </c>
      <c r="R64" t="s">
        <v>1271</v>
      </c>
      <c r="S64" t="s">
        <v>1272</v>
      </c>
      <c r="T64" t="s">
        <v>1273</v>
      </c>
      <c r="U64" t="s">
        <v>1274</v>
      </c>
      <c r="V64" t="s">
        <v>70</v>
      </c>
      <c r="W64" t="s">
        <v>726</v>
      </c>
      <c r="X64" t="s">
        <v>105</v>
      </c>
      <c r="Y64" t="s">
        <v>234</v>
      </c>
      <c r="Z64" t="s">
        <v>1275</v>
      </c>
      <c r="AA64" t="s">
        <v>178</v>
      </c>
      <c r="AB64" t="s">
        <v>179</v>
      </c>
      <c r="AC64">
        <v>3</v>
      </c>
      <c r="AD64">
        <v>2025</v>
      </c>
      <c r="AE64" t="s">
        <v>77</v>
      </c>
      <c r="AF64">
        <v>3</v>
      </c>
      <c r="AG64">
        <v>0.08</v>
      </c>
      <c r="AJ64" t="s">
        <v>1276</v>
      </c>
      <c r="AK64" t="s">
        <v>79</v>
      </c>
      <c r="AL64" t="s">
        <v>1277</v>
      </c>
      <c r="AM64" t="s">
        <v>1278</v>
      </c>
      <c r="AN64" t="s">
        <v>150</v>
      </c>
      <c r="AO64">
        <v>383</v>
      </c>
      <c r="AP64">
        <v>4.5</v>
      </c>
      <c r="AQ64" t="s">
        <v>117</v>
      </c>
      <c r="AR64" t="s">
        <v>118</v>
      </c>
      <c r="AS64" t="s">
        <v>83</v>
      </c>
      <c r="AT64" t="s">
        <v>152</v>
      </c>
      <c r="AU64" t="s">
        <v>1279</v>
      </c>
      <c r="AV64" t="s">
        <v>1280</v>
      </c>
      <c r="AW64" t="s">
        <v>1281</v>
      </c>
      <c r="AX64" t="s">
        <v>246</v>
      </c>
    </row>
    <row r="65" spans="1:50" x14ac:dyDescent="0.25">
      <c r="A65" t="s">
        <v>1282</v>
      </c>
      <c r="B65" t="s">
        <v>1283</v>
      </c>
      <c r="C65" t="s">
        <v>1284</v>
      </c>
      <c r="D65" t="s">
        <v>1285</v>
      </c>
      <c r="E65" t="s">
        <v>1286</v>
      </c>
      <c r="F65" t="s">
        <v>1287</v>
      </c>
      <c r="G65" t="s">
        <v>1288</v>
      </c>
      <c r="H65" t="s">
        <v>1289</v>
      </c>
      <c r="I65">
        <v>0.1</v>
      </c>
      <c r="J65" t="s">
        <v>134</v>
      </c>
      <c r="K65" t="s">
        <v>132</v>
      </c>
      <c r="L65" t="s">
        <v>1290</v>
      </c>
      <c r="M65" t="s">
        <v>163</v>
      </c>
      <c r="N65" t="s">
        <v>166</v>
      </c>
      <c r="O65" t="s">
        <v>777</v>
      </c>
      <c r="P65" t="s">
        <v>778</v>
      </c>
      <c r="Q65" t="s">
        <v>1291</v>
      </c>
      <c r="R65" t="s">
        <v>1292</v>
      </c>
      <c r="S65" t="s">
        <v>1293</v>
      </c>
      <c r="T65" t="s">
        <v>1294</v>
      </c>
      <c r="U65" t="s">
        <v>1295</v>
      </c>
      <c r="V65" t="s">
        <v>103</v>
      </c>
      <c r="W65" t="s">
        <v>726</v>
      </c>
      <c r="X65" t="s">
        <v>207</v>
      </c>
      <c r="Y65" t="s">
        <v>73</v>
      </c>
      <c r="Z65" t="s">
        <v>1296</v>
      </c>
      <c r="AA65" t="s">
        <v>19</v>
      </c>
      <c r="AB65" t="s">
        <v>76</v>
      </c>
      <c r="AC65" t="s">
        <v>109</v>
      </c>
      <c r="AD65" t="s">
        <v>314</v>
      </c>
      <c r="AE65" t="s">
        <v>77</v>
      </c>
      <c r="AF65">
        <v>55</v>
      </c>
      <c r="AG65" t="s">
        <v>238</v>
      </c>
      <c r="AJ65">
        <v>27.71</v>
      </c>
      <c r="AK65" t="s">
        <v>240</v>
      </c>
      <c r="AL65" t="s">
        <v>1297</v>
      </c>
      <c r="AM65" t="s">
        <v>1298</v>
      </c>
      <c r="AN65" t="s">
        <v>267</v>
      </c>
      <c r="AO65">
        <v>292</v>
      </c>
      <c r="AP65" t="s">
        <v>214</v>
      </c>
      <c r="AQ65" t="s">
        <v>318</v>
      </c>
      <c r="AR65" t="s">
        <v>118</v>
      </c>
      <c r="AS65" t="s">
        <v>83</v>
      </c>
      <c r="AT65" t="s">
        <v>119</v>
      </c>
      <c r="AU65" t="s">
        <v>1299</v>
      </c>
      <c r="AV65" t="s">
        <v>1300</v>
      </c>
      <c r="AW65" t="s">
        <v>1301</v>
      </c>
      <c r="AX65" t="s">
        <v>246</v>
      </c>
    </row>
    <row r="66" spans="1:50" x14ac:dyDescent="0.25">
      <c r="A66" t="s">
        <v>1302</v>
      </c>
      <c r="B66" t="s">
        <v>1303</v>
      </c>
      <c r="C66" t="s">
        <v>1304</v>
      </c>
      <c r="D66" t="s">
        <v>456</v>
      </c>
      <c r="E66" t="s">
        <v>457</v>
      </c>
      <c r="F66" t="s">
        <v>222</v>
      </c>
      <c r="G66" t="s">
        <v>1305</v>
      </c>
      <c r="H66" t="s">
        <v>438</v>
      </c>
      <c r="I66" t="s">
        <v>162</v>
      </c>
      <c r="J66" t="s">
        <v>1306</v>
      </c>
      <c r="K66" t="s">
        <v>132</v>
      </c>
      <c r="L66" t="s">
        <v>373</v>
      </c>
      <c r="M66" t="s">
        <v>1307</v>
      </c>
      <c r="N66" t="s">
        <v>95</v>
      </c>
      <c r="O66" t="s">
        <v>226</v>
      </c>
      <c r="P66" t="s">
        <v>284</v>
      </c>
      <c r="Q66" t="s">
        <v>1308</v>
      </c>
      <c r="R66" t="s">
        <v>99</v>
      </c>
      <c r="S66" t="s">
        <v>1309</v>
      </c>
      <c r="T66" t="s">
        <v>1310</v>
      </c>
      <c r="U66" t="s">
        <v>1311</v>
      </c>
      <c r="V66" t="s">
        <v>290</v>
      </c>
      <c r="W66" t="s">
        <v>726</v>
      </c>
      <c r="X66" t="s">
        <v>105</v>
      </c>
      <c r="Y66" t="s">
        <v>337</v>
      </c>
      <c r="Z66" t="s">
        <v>1312</v>
      </c>
      <c r="AA66" t="s">
        <v>236</v>
      </c>
      <c r="AB66" t="s">
        <v>76</v>
      </c>
      <c r="AC66" t="s">
        <v>1313</v>
      </c>
      <c r="AD66">
        <v>2026</v>
      </c>
      <c r="AE66" t="s">
        <v>181</v>
      </c>
      <c r="AF66">
        <v>41</v>
      </c>
      <c r="AG66" t="s">
        <v>211</v>
      </c>
      <c r="AJ66" t="s">
        <v>1314</v>
      </c>
      <c r="AK66" t="s">
        <v>240</v>
      </c>
      <c r="AL66" t="s">
        <v>1315</v>
      </c>
      <c r="AM66" t="s">
        <v>1316</v>
      </c>
      <c r="AN66" t="s">
        <v>82</v>
      </c>
      <c r="AO66">
        <v>284</v>
      </c>
      <c r="AP66">
        <v>2</v>
      </c>
      <c r="AQ66" t="s">
        <v>786</v>
      </c>
      <c r="AR66">
        <v>1</v>
      </c>
      <c r="AS66" t="s">
        <v>215</v>
      </c>
      <c r="AT66" t="s">
        <v>119</v>
      </c>
      <c r="AV66" t="s">
        <v>1317</v>
      </c>
      <c r="AW66" t="s">
        <v>122</v>
      </c>
      <c r="AX66" t="s">
        <v>191</v>
      </c>
    </row>
    <row r="67" spans="1:50" x14ac:dyDescent="0.25">
      <c r="A67" t="s">
        <v>1318</v>
      </c>
      <c r="B67" t="s">
        <v>1319</v>
      </c>
      <c r="C67" t="s">
        <v>1320</v>
      </c>
      <c r="D67" t="s">
        <v>1321</v>
      </c>
      <c r="E67" t="s">
        <v>163</v>
      </c>
      <c r="F67" t="s">
        <v>91</v>
      </c>
      <c r="G67" t="s">
        <v>1322</v>
      </c>
      <c r="H67" t="s">
        <v>1323</v>
      </c>
      <c r="I67">
        <v>0</v>
      </c>
      <c r="J67" t="s">
        <v>134</v>
      </c>
      <c r="K67" t="s">
        <v>92</v>
      </c>
      <c r="L67" t="s">
        <v>1120</v>
      </c>
      <c r="M67" t="s">
        <v>1324</v>
      </c>
      <c r="N67" t="s">
        <v>95</v>
      </c>
      <c r="O67" t="s">
        <v>543</v>
      </c>
      <c r="P67" t="s">
        <v>1325</v>
      </c>
      <c r="Q67" t="s">
        <v>1326</v>
      </c>
      <c r="R67" t="s">
        <v>702</v>
      </c>
      <c r="S67" t="s">
        <v>1327</v>
      </c>
      <c r="T67" t="s">
        <v>1328</v>
      </c>
      <c r="U67" t="s">
        <v>1329</v>
      </c>
      <c r="V67" t="s">
        <v>173</v>
      </c>
      <c r="W67" t="s">
        <v>174</v>
      </c>
      <c r="X67" t="s">
        <v>207</v>
      </c>
      <c r="Y67" t="s">
        <v>337</v>
      </c>
      <c r="Z67" t="s">
        <v>1330</v>
      </c>
      <c r="AA67" t="s">
        <v>236</v>
      </c>
      <c r="AB67" t="s">
        <v>108</v>
      </c>
      <c r="AC67" t="s">
        <v>180</v>
      </c>
      <c r="AD67">
        <v>2026</v>
      </c>
      <c r="AE67" t="s">
        <v>406</v>
      </c>
      <c r="AF67" t="s">
        <v>91</v>
      </c>
      <c r="AG67" t="s">
        <v>238</v>
      </c>
      <c r="AJ67" t="s">
        <v>1331</v>
      </c>
      <c r="AK67" t="s">
        <v>113</v>
      </c>
      <c r="AL67" t="s">
        <v>1332</v>
      </c>
      <c r="AM67" t="s">
        <v>1333</v>
      </c>
      <c r="AN67" t="s">
        <v>150</v>
      </c>
      <c r="AO67">
        <v>84</v>
      </c>
      <c r="AP67">
        <v>3</v>
      </c>
      <c r="AQ67" t="s">
        <v>318</v>
      </c>
      <c r="AR67" t="s">
        <v>188</v>
      </c>
      <c r="AU67" t="s">
        <v>1334</v>
      </c>
      <c r="AV67" t="s">
        <v>1335</v>
      </c>
      <c r="AW67" t="s">
        <v>1335</v>
      </c>
      <c r="AX67" t="s">
        <v>246</v>
      </c>
    </row>
    <row r="68" spans="1:50" x14ac:dyDescent="0.25">
      <c r="A68" t="s">
        <v>1336</v>
      </c>
      <c r="B68" t="s">
        <v>1337</v>
      </c>
      <c r="C68" t="s">
        <v>1338</v>
      </c>
      <c r="D68" t="s">
        <v>1339</v>
      </c>
      <c r="E68" t="s">
        <v>1340</v>
      </c>
      <c r="F68" t="s">
        <v>276</v>
      </c>
      <c r="G68" t="s">
        <v>328</v>
      </c>
      <c r="H68">
        <v>1375.64</v>
      </c>
      <c r="I68">
        <v>0.1</v>
      </c>
      <c r="J68" t="s">
        <v>1341</v>
      </c>
      <c r="K68" t="s">
        <v>330</v>
      </c>
      <c r="L68" t="s">
        <v>581</v>
      </c>
      <c r="M68" t="s">
        <v>742</v>
      </c>
      <c r="N68" t="s">
        <v>396</v>
      </c>
      <c r="O68" t="s">
        <v>375</v>
      </c>
      <c r="P68" t="s">
        <v>1342</v>
      </c>
      <c r="Q68" t="s">
        <v>1343</v>
      </c>
      <c r="R68" t="s">
        <v>912</v>
      </c>
      <c r="S68" t="s">
        <v>1344</v>
      </c>
      <c r="T68" t="s">
        <v>1345</v>
      </c>
      <c r="U68" t="s">
        <v>1346</v>
      </c>
      <c r="V68" t="s">
        <v>290</v>
      </c>
      <c r="W68" t="s">
        <v>311</v>
      </c>
      <c r="X68" t="s">
        <v>207</v>
      </c>
      <c r="Y68" t="s">
        <v>73</v>
      </c>
      <c r="Z68" t="s">
        <v>1347</v>
      </c>
      <c r="AA68" t="s">
        <v>178</v>
      </c>
      <c r="AB68" t="s">
        <v>179</v>
      </c>
      <c r="AC68">
        <v>12</v>
      </c>
      <c r="AD68" t="s">
        <v>237</v>
      </c>
      <c r="AE68" t="s">
        <v>110</v>
      </c>
      <c r="AF68">
        <v>14</v>
      </c>
      <c r="AG68" t="s">
        <v>211</v>
      </c>
      <c r="AJ68">
        <v>22.09</v>
      </c>
      <c r="AK68" t="s">
        <v>240</v>
      </c>
      <c r="AL68" t="s">
        <v>1348</v>
      </c>
      <c r="AM68" t="s">
        <v>1349</v>
      </c>
      <c r="AN68" t="s">
        <v>186</v>
      </c>
      <c r="AO68">
        <v>109</v>
      </c>
      <c r="AP68">
        <v>5</v>
      </c>
      <c r="AQ68" t="s">
        <v>117</v>
      </c>
      <c r="AR68">
        <v>1</v>
      </c>
      <c r="AS68" t="s">
        <v>215</v>
      </c>
      <c r="AT68" t="s">
        <v>152</v>
      </c>
      <c r="AU68" t="s">
        <v>1350</v>
      </c>
      <c r="AV68" t="s">
        <v>303</v>
      </c>
      <c r="AX68" t="s">
        <v>246</v>
      </c>
    </row>
    <row r="69" spans="1:50" x14ac:dyDescent="0.25">
      <c r="A69" t="s">
        <v>1351</v>
      </c>
      <c r="B69" t="s">
        <v>1352</v>
      </c>
      <c r="C69" t="s">
        <v>1353</v>
      </c>
      <c r="D69" t="s">
        <v>1354</v>
      </c>
      <c r="E69" t="s">
        <v>1355</v>
      </c>
      <c r="F69" t="s">
        <v>327</v>
      </c>
      <c r="G69">
        <v>31</v>
      </c>
      <c r="H69" t="s">
        <v>1356</v>
      </c>
      <c r="I69" t="s">
        <v>162</v>
      </c>
      <c r="J69" t="s">
        <v>142</v>
      </c>
      <c r="K69" t="s">
        <v>132</v>
      </c>
      <c r="L69" t="s">
        <v>1357</v>
      </c>
      <c r="M69" t="s">
        <v>134</v>
      </c>
      <c r="N69" t="s">
        <v>396</v>
      </c>
      <c r="O69" t="s">
        <v>954</v>
      </c>
      <c r="P69" t="s">
        <v>1269</v>
      </c>
      <c r="Q69" t="s">
        <v>1358</v>
      </c>
      <c r="R69" t="s">
        <v>1359</v>
      </c>
      <c r="S69" t="s">
        <v>1360</v>
      </c>
      <c r="T69" t="s">
        <v>1361</v>
      </c>
      <c r="U69" t="s">
        <v>1362</v>
      </c>
      <c r="V69" t="s">
        <v>290</v>
      </c>
      <c r="W69" t="s">
        <v>104</v>
      </c>
      <c r="X69" t="s">
        <v>424</v>
      </c>
      <c r="Y69" t="s">
        <v>73</v>
      </c>
      <c r="Z69" t="s">
        <v>1363</v>
      </c>
      <c r="AA69" t="s">
        <v>19</v>
      </c>
      <c r="AB69" t="s">
        <v>179</v>
      </c>
      <c r="AC69" t="s">
        <v>766</v>
      </c>
      <c r="AD69" t="s">
        <v>146</v>
      </c>
      <c r="AE69" t="s">
        <v>77</v>
      </c>
      <c r="AF69">
        <v>67</v>
      </c>
      <c r="AG69">
        <v>0.08</v>
      </c>
      <c r="AJ69">
        <v>8.02</v>
      </c>
      <c r="AK69" t="s">
        <v>571</v>
      </c>
      <c r="AL69" t="s">
        <v>1364</v>
      </c>
      <c r="AM69" t="s">
        <v>1365</v>
      </c>
      <c r="AN69" t="s">
        <v>267</v>
      </c>
      <c r="AO69">
        <v>188</v>
      </c>
      <c r="AQ69" t="s">
        <v>318</v>
      </c>
      <c r="AS69" t="s">
        <v>215</v>
      </c>
      <c r="AT69" t="s">
        <v>152</v>
      </c>
      <c r="AU69" t="s">
        <v>1366</v>
      </c>
      <c r="AV69" t="s">
        <v>1367</v>
      </c>
      <c r="AW69" t="s">
        <v>122</v>
      </c>
      <c r="AX69" t="s">
        <v>246</v>
      </c>
    </row>
    <row r="70" spans="1:50" x14ac:dyDescent="0.25">
      <c r="A70" t="s">
        <v>1368</v>
      </c>
      <c r="B70" t="s">
        <v>1369</v>
      </c>
      <c r="C70" t="s">
        <v>1370</v>
      </c>
      <c r="D70" t="s">
        <v>1371</v>
      </c>
      <c r="E70" t="s">
        <v>1372</v>
      </c>
      <c r="F70" t="s">
        <v>327</v>
      </c>
      <c r="G70" t="s">
        <v>776</v>
      </c>
      <c r="H70" t="s">
        <v>1373</v>
      </c>
      <c r="I70">
        <v>0.1</v>
      </c>
      <c r="J70" t="s">
        <v>134</v>
      </c>
      <c r="K70" t="s">
        <v>330</v>
      </c>
      <c r="L70" t="s">
        <v>1099</v>
      </c>
      <c r="M70" t="s">
        <v>1374</v>
      </c>
      <c r="N70" t="s">
        <v>135</v>
      </c>
      <c r="O70" t="s">
        <v>63</v>
      </c>
      <c r="P70" t="s">
        <v>1375</v>
      </c>
      <c r="Q70" t="s">
        <v>1376</v>
      </c>
      <c r="R70" t="s">
        <v>163</v>
      </c>
      <c r="S70" t="s">
        <v>1377</v>
      </c>
      <c r="T70" t="s">
        <v>1378</v>
      </c>
      <c r="U70" t="s">
        <v>1379</v>
      </c>
      <c r="V70" t="s">
        <v>70</v>
      </c>
      <c r="W70" t="s">
        <v>71</v>
      </c>
      <c r="X70" t="s">
        <v>207</v>
      </c>
      <c r="Y70" t="s">
        <v>234</v>
      </c>
      <c r="Z70" t="s">
        <v>1380</v>
      </c>
      <c r="AA70" t="s">
        <v>75</v>
      </c>
      <c r="AB70" t="s">
        <v>76</v>
      </c>
      <c r="AC70" t="s">
        <v>1381</v>
      </c>
      <c r="AD70" t="s">
        <v>314</v>
      </c>
      <c r="AE70" t="s">
        <v>110</v>
      </c>
      <c r="AF70">
        <v>86</v>
      </c>
      <c r="AG70" t="s">
        <v>211</v>
      </c>
      <c r="AJ70" t="s">
        <v>1382</v>
      </c>
      <c r="AK70" t="s">
        <v>183</v>
      </c>
      <c r="AL70" t="s">
        <v>1383</v>
      </c>
      <c r="AM70" t="s">
        <v>1384</v>
      </c>
      <c r="AN70" t="s">
        <v>186</v>
      </c>
      <c r="AO70">
        <v>445</v>
      </c>
      <c r="AP70">
        <v>1</v>
      </c>
      <c r="AR70" t="s">
        <v>319</v>
      </c>
      <c r="AS70" t="s">
        <v>83</v>
      </c>
      <c r="AT70" t="s">
        <v>119</v>
      </c>
      <c r="AU70">
        <v>763.32</v>
      </c>
      <c r="AV70" t="s">
        <v>1385</v>
      </c>
      <c r="AX70" t="s">
        <v>85</v>
      </c>
    </row>
    <row r="71" spans="1:50" x14ac:dyDescent="0.25">
      <c r="A71" t="s">
        <v>1386</v>
      </c>
      <c r="B71" t="s">
        <v>1387</v>
      </c>
      <c r="C71" t="s">
        <v>1388</v>
      </c>
      <c r="D71" t="s">
        <v>1005</v>
      </c>
      <c r="F71" t="s">
        <v>1389</v>
      </c>
      <c r="G71">
        <v>10</v>
      </c>
      <c r="H71" t="s">
        <v>1390</v>
      </c>
      <c r="I71" t="s">
        <v>253</v>
      </c>
      <c r="J71" t="s">
        <v>1391</v>
      </c>
      <c r="K71" t="s">
        <v>280</v>
      </c>
      <c r="L71" t="s">
        <v>1392</v>
      </c>
      <c r="N71" t="s">
        <v>417</v>
      </c>
      <c r="O71" t="s">
        <v>643</v>
      </c>
      <c r="P71" t="s">
        <v>1393</v>
      </c>
      <c r="Q71" t="s">
        <v>1394</v>
      </c>
      <c r="R71" t="s">
        <v>1395</v>
      </c>
      <c r="S71" t="s">
        <v>1396</v>
      </c>
      <c r="T71" t="s">
        <v>1397</v>
      </c>
      <c r="U71" t="s">
        <v>1398</v>
      </c>
      <c r="V71" t="s">
        <v>290</v>
      </c>
      <c r="W71" t="s">
        <v>71</v>
      </c>
      <c r="X71" t="s">
        <v>72</v>
      </c>
      <c r="Y71" t="s">
        <v>73</v>
      </c>
      <c r="Z71" t="s">
        <v>1399</v>
      </c>
      <c r="AA71" t="s">
        <v>19</v>
      </c>
      <c r="AB71" t="s">
        <v>108</v>
      </c>
      <c r="AC71" t="s">
        <v>264</v>
      </c>
      <c r="AD71" t="s">
        <v>314</v>
      </c>
      <c r="AE71" t="s">
        <v>181</v>
      </c>
      <c r="AF71">
        <v>80</v>
      </c>
      <c r="AG71">
        <v>0.08</v>
      </c>
      <c r="AJ71" t="s">
        <v>142</v>
      </c>
      <c r="AK71" t="s">
        <v>183</v>
      </c>
      <c r="AL71" t="s">
        <v>1400</v>
      </c>
      <c r="AM71">
        <v>5.82</v>
      </c>
      <c r="AN71" t="s">
        <v>82</v>
      </c>
      <c r="AO71">
        <v>132</v>
      </c>
      <c r="AP71">
        <v>2</v>
      </c>
      <c r="AQ71" t="s">
        <v>242</v>
      </c>
      <c r="AR71" t="s">
        <v>319</v>
      </c>
      <c r="AT71" t="s">
        <v>152</v>
      </c>
      <c r="AU71">
        <v>367.53</v>
      </c>
      <c r="AV71" t="s">
        <v>1401</v>
      </c>
      <c r="AX71" t="s">
        <v>270</v>
      </c>
    </row>
    <row r="72" spans="1:50" x14ac:dyDescent="0.25">
      <c r="A72" t="s">
        <v>1402</v>
      </c>
      <c r="B72" t="s">
        <v>1403</v>
      </c>
      <c r="C72" t="s">
        <v>1404</v>
      </c>
      <c r="D72" t="s">
        <v>1405</v>
      </c>
      <c r="E72" t="s">
        <v>1406</v>
      </c>
      <c r="F72" t="s">
        <v>596</v>
      </c>
      <c r="G72" t="s">
        <v>1407</v>
      </c>
      <c r="H72" t="s">
        <v>1408</v>
      </c>
      <c r="J72" t="s">
        <v>1409</v>
      </c>
      <c r="K72" t="s">
        <v>92</v>
      </c>
      <c r="L72" t="s">
        <v>1410</v>
      </c>
      <c r="M72" t="s">
        <v>134</v>
      </c>
      <c r="N72" t="s">
        <v>417</v>
      </c>
      <c r="O72" t="s">
        <v>1122</v>
      </c>
      <c r="P72" t="s">
        <v>1411</v>
      </c>
      <c r="Q72" t="s">
        <v>1412</v>
      </c>
      <c r="R72" t="s">
        <v>1271</v>
      </c>
      <c r="S72" t="s">
        <v>1413</v>
      </c>
      <c r="T72" t="s">
        <v>1414</v>
      </c>
      <c r="U72" t="s">
        <v>1415</v>
      </c>
      <c r="V72" t="s">
        <v>290</v>
      </c>
      <c r="W72" t="s">
        <v>71</v>
      </c>
      <c r="X72" t="s">
        <v>424</v>
      </c>
      <c r="Y72" t="s">
        <v>234</v>
      </c>
      <c r="Z72" t="s">
        <v>1416</v>
      </c>
      <c r="AA72" t="s">
        <v>144</v>
      </c>
      <c r="AB72" t="s">
        <v>528</v>
      </c>
      <c r="AC72">
        <v>12</v>
      </c>
      <c r="AD72">
        <v>2025</v>
      </c>
      <c r="AE72" t="s">
        <v>77</v>
      </c>
      <c r="AF72">
        <v>11</v>
      </c>
      <c r="AG72" t="s">
        <v>111</v>
      </c>
      <c r="AJ72" t="s">
        <v>1417</v>
      </c>
      <c r="AK72" t="s">
        <v>571</v>
      </c>
      <c r="AL72" t="s">
        <v>1418</v>
      </c>
      <c r="AM72" t="s">
        <v>1419</v>
      </c>
      <c r="AN72" t="s">
        <v>82</v>
      </c>
      <c r="AO72">
        <v>496</v>
      </c>
      <c r="AP72">
        <v>4.5</v>
      </c>
      <c r="AQ72" t="s">
        <v>242</v>
      </c>
      <c r="AR72" t="s">
        <v>188</v>
      </c>
      <c r="AS72" t="s">
        <v>83</v>
      </c>
      <c r="AT72" t="s">
        <v>152</v>
      </c>
      <c r="AU72" t="s">
        <v>1420</v>
      </c>
      <c r="AV72" t="s">
        <v>1421</v>
      </c>
      <c r="AW72" t="s">
        <v>122</v>
      </c>
      <c r="AX72" t="s">
        <v>85</v>
      </c>
    </row>
    <row r="73" spans="1:50" x14ac:dyDescent="0.25">
      <c r="A73" t="s">
        <v>1422</v>
      </c>
      <c r="B73" t="s">
        <v>1423</v>
      </c>
      <c r="C73" t="s">
        <v>1424</v>
      </c>
      <c r="D73" t="s">
        <v>1425</v>
      </c>
      <c r="E73" t="s">
        <v>1426</v>
      </c>
      <c r="F73" t="s">
        <v>1043</v>
      </c>
      <c r="G73" t="s">
        <v>1427</v>
      </c>
      <c r="H73" t="s">
        <v>1428</v>
      </c>
      <c r="I73">
        <v>0</v>
      </c>
      <c r="J73" t="s">
        <v>1429</v>
      </c>
      <c r="K73" t="s">
        <v>132</v>
      </c>
      <c r="L73" t="s">
        <v>133</v>
      </c>
      <c r="M73" t="s">
        <v>1430</v>
      </c>
      <c r="N73" t="s">
        <v>166</v>
      </c>
      <c r="O73" t="s">
        <v>332</v>
      </c>
      <c r="P73" t="s">
        <v>1431</v>
      </c>
      <c r="Q73" t="s">
        <v>1432</v>
      </c>
      <c r="R73" t="s">
        <v>99</v>
      </c>
      <c r="S73" t="s">
        <v>1433</v>
      </c>
      <c r="T73" t="s">
        <v>1434</v>
      </c>
      <c r="U73" t="s">
        <v>1435</v>
      </c>
      <c r="V73" t="s">
        <v>205</v>
      </c>
      <c r="W73" t="s">
        <v>71</v>
      </c>
      <c r="X73" t="s">
        <v>175</v>
      </c>
      <c r="Y73" t="s">
        <v>337</v>
      </c>
      <c r="Z73" t="s">
        <v>1436</v>
      </c>
      <c r="AA73" t="s">
        <v>19</v>
      </c>
      <c r="AB73" t="s">
        <v>108</v>
      </c>
      <c r="AC73" t="s">
        <v>569</v>
      </c>
      <c r="AD73" t="s">
        <v>210</v>
      </c>
      <c r="AE73" t="s">
        <v>181</v>
      </c>
      <c r="AF73" t="s">
        <v>134</v>
      </c>
      <c r="AG73">
        <v>0.08</v>
      </c>
      <c r="AJ73" t="s">
        <v>1437</v>
      </c>
      <c r="AK73" t="s">
        <v>571</v>
      </c>
      <c r="AL73" t="s">
        <v>1438</v>
      </c>
      <c r="AM73" t="s">
        <v>1439</v>
      </c>
      <c r="AN73" t="s">
        <v>150</v>
      </c>
      <c r="AO73">
        <v>364</v>
      </c>
      <c r="AP73">
        <v>5</v>
      </c>
      <c r="AR73">
        <v>0</v>
      </c>
      <c r="AT73">
        <v>0.3</v>
      </c>
      <c r="AU73" t="s">
        <v>1440</v>
      </c>
      <c r="AV73" t="s">
        <v>1441</v>
      </c>
      <c r="AW73" t="s">
        <v>364</v>
      </c>
    </row>
    <row r="74" spans="1:50" x14ac:dyDescent="0.25">
      <c r="A74" t="s">
        <v>1442</v>
      </c>
      <c r="B74" t="s">
        <v>1443</v>
      </c>
      <c r="C74" t="s">
        <v>1444</v>
      </c>
      <c r="D74" t="s">
        <v>346</v>
      </c>
      <c r="E74" t="s">
        <v>1445</v>
      </c>
      <c r="F74" t="s">
        <v>1446</v>
      </c>
      <c r="G74" t="s">
        <v>1447</v>
      </c>
      <c r="H74" t="s">
        <v>348</v>
      </c>
      <c r="I74">
        <v>0</v>
      </c>
      <c r="J74" t="s">
        <v>1448</v>
      </c>
      <c r="K74" t="s">
        <v>92</v>
      </c>
      <c r="L74" t="s">
        <v>1410</v>
      </c>
      <c r="M74" t="s">
        <v>142</v>
      </c>
      <c r="N74" t="s">
        <v>62</v>
      </c>
      <c r="O74" t="s">
        <v>543</v>
      </c>
      <c r="P74" t="s">
        <v>778</v>
      </c>
      <c r="Q74" t="s">
        <v>1449</v>
      </c>
      <c r="R74" t="s">
        <v>1450</v>
      </c>
      <c r="S74" t="s">
        <v>1451</v>
      </c>
      <c r="T74" t="s">
        <v>1452</v>
      </c>
      <c r="U74" t="s">
        <v>1453</v>
      </c>
      <c r="V74" t="s">
        <v>103</v>
      </c>
      <c r="W74" t="s">
        <v>726</v>
      </c>
      <c r="X74" t="s">
        <v>175</v>
      </c>
      <c r="Y74" t="s">
        <v>337</v>
      </c>
      <c r="Z74" t="s">
        <v>1454</v>
      </c>
      <c r="AA74" t="s">
        <v>19</v>
      </c>
      <c r="AB74" t="s">
        <v>528</v>
      </c>
      <c r="AC74" t="s">
        <v>589</v>
      </c>
      <c r="AD74" t="s">
        <v>146</v>
      </c>
      <c r="AE74" t="s">
        <v>406</v>
      </c>
      <c r="AF74">
        <v>6</v>
      </c>
      <c r="AG74" t="s">
        <v>211</v>
      </c>
      <c r="AJ74" t="s">
        <v>1455</v>
      </c>
      <c r="AK74" t="s">
        <v>79</v>
      </c>
      <c r="AL74" t="s">
        <v>1456</v>
      </c>
      <c r="AM74" t="s">
        <v>1457</v>
      </c>
      <c r="AN74" t="s">
        <v>82</v>
      </c>
      <c r="AO74">
        <v>480</v>
      </c>
      <c r="AP74">
        <v>2</v>
      </c>
      <c r="AQ74" t="s">
        <v>117</v>
      </c>
      <c r="AR74" t="s">
        <v>319</v>
      </c>
      <c r="AT74" t="s">
        <v>361</v>
      </c>
      <c r="AV74" t="s">
        <v>1458</v>
      </c>
      <c r="AX74" t="s">
        <v>270</v>
      </c>
    </row>
    <row r="75" spans="1:50" x14ac:dyDescent="0.25">
      <c r="A75" t="s">
        <v>1459</v>
      </c>
      <c r="B75" t="s">
        <v>1460</v>
      </c>
      <c r="C75" t="s">
        <v>1461</v>
      </c>
      <c r="D75" t="s">
        <v>1208</v>
      </c>
      <c r="E75" t="s">
        <v>1209</v>
      </c>
      <c r="F75" t="s">
        <v>142</v>
      </c>
      <c r="G75" t="s">
        <v>1427</v>
      </c>
      <c r="H75" t="s">
        <v>580</v>
      </c>
      <c r="I75" t="s">
        <v>162</v>
      </c>
      <c r="J75" t="s">
        <v>1462</v>
      </c>
      <c r="K75" t="s">
        <v>132</v>
      </c>
      <c r="L75" t="s">
        <v>815</v>
      </c>
      <c r="M75" t="s">
        <v>134</v>
      </c>
      <c r="N75" t="s">
        <v>396</v>
      </c>
      <c r="O75" t="s">
        <v>561</v>
      </c>
      <c r="P75" t="s">
        <v>1463</v>
      </c>
      <c r="Q75" t="s">
        <v>1464</v>
      </c>
      <c r="R75" t="s">
        <v>912</v>
      </c>
      <c r="S75" t="s">
        <v>1465</v>
      </c>
      <c r="T75" t="s">
        <v>1466</v>
      </c>
      <c r="U75" t="s">
        <v>1467</v>
      </c>
      <c r="V75" t="s">
        <v>70</v>
      </c>
      <c r="W75" t="s">
        <v>104</v>
      </c>
      <c r="X75" t="s">
        <v>424</v>
      </c>
      <c r="Y75" t="s">
        <v>176</v>
      </c>
      <c r="Z75" t="s">
        <v>1468</v>
      </c>
      <c r="AA75" t="s">
        <v>236</v>
      </c>
      <c r="AB75" t="s">
        <v>528</v>
      </c>
      <c r="AC75" t="s">
        <v>264</v>
      </c>
      <c r="AD75">
        <v>2025</v>
      </c>
      <c r="AE75" t="s">
        <v>110</v>
      </c>
      <c r="AF75">
        <v>37</v>
      </c>
      <c r="AG75" t="s">
        <v>238</v>
      </c>
      <c r="AJ75">
        <v>35.83</v>
      </c>
      <c r="AK75" t="s">
        <v>147</v>
      </c>
      <c r="AL75" t="s">
        <v>1469</v>
      </c>
      <c r="AM75" t="s">
        <v>1470</v>
      </c>
      <c r="AN75" t="s">
        <v>150</v>
      </c>
      <c r="AO75">
        <v>343</v>
      </c>
      <c r="AP75" t="s">
        <v>214</v>
      </c>
      <c r="AQ75" t="s">
        <v>610</v>
      </c>
      <c r="AR75" t="s">
        <v>118</v>
      </c>
      <c r="AS75" t="s">
        <v>215</v>
      </c>
      <c r="AU75" t="s">
        <v>1471</v>
      </c>
      <c r="AV75" t="s">
        <v>1472</v>
      </c>
      <c r="AW75" t="s">
        <v>1473</v>
      </c>
      <c r="AX75" t="s">
        <v>85</v>
      </c>
    </row>
    <row r="76" spans="1:50" x14ac:dyDescent="0.25">
      <c r="A76" t="s">
        <v>1474</v>
      </c>
      <c r="B76" t="s">
        <v>1475</v>
      </c>
      <c r="C76" t="s">
        <v>1476</v>
      </c>
      <c r="D76" t="s">
        <v>868</v>
      </c>
      <c r="E76" t="s">
        <v>1477</v>
      </c>
      <c r="F76" t="s">
        <v>1225</v>
      </c>
      <c r="G76" t="s">
        <v>253</v>
      </c>
      <c r="H76" t="s">
        <v>1478</v>
      </c>
      <c r="I76" t="s">
        <v>58</v>
      </c>
      <c r="J76" t="s">
        <v>1479</v>
      </c>
      <c r="K76" t="s">
        <v>280</v>
      </c>
      <c r="L76" t="s">
        <v>1480</v>
      </c>
      <c r="M76" t="s">
        <v>94</v>
      </c>
      <c r="N76" t="s">
        <v>95</v>
      </c>
      <c r="O76" t="s">
        <v>954</v>
      </c>
      <c r="P76" t="s">
        <v>1481</v>
      </c>
      <c r="Q76" t="s">
        <v>1482</v>
      </c>
      <c r="R76" t="s">
        <v>420</v>
      </c>
      <c r="S76" t="s">
        <v>1483</v>
      </c>
      <c r="T76" t="s">
        <v>1484</v>
      </c>
      <c r="U76" t="s">
        <v>1485</v>
      </c>
      <c r="V76" t="s">
        <v>290</v>
      </c>
      <c r="W76" t="s">
        <v>71</v>
      </c>
      <c r="X76" t="s">
        <v>233</v>
      </c>
      <c r="Y76" t="s">
        <v>337</v>
      </c>
      <c r="Z76" t="s">
        <v>1486</v>
      </c>
      <c r="AA76" t="s">
        <v>144</v>
      </c>
      <c r="AB76" t="s">
        <v>528</v>
      </c>
      <c r="AC76" t="s">
        <v>264</v>
      </c>
      <c r="AD76">
        <v>2026</v>
      </c>
      <c r="AE76" t="s">
        <v>181</v>
      </c>
      <c r="AF76">
        <v>88</v>
      </c>
      <c r="AG76" t="s">
        <v>111</v>
      </c>
      <c r="AJ76" t="s">
        <v>1487</v>
      </c>
      <c r="AK76" t="s">
        <v>571</v>
      </c>
      <c r="AL76" t="s">
        <v>1488</v>
      </c>
      <c r="AM76" t="s">
        <v>1489</v>
      </c>
      <c r="AN76" t="s">
        <v>186</v>
      </c>
      <c r="AO76">
        <v>205</v>
      </c>
      <c r="AP76" t="s">
        <v>214</v>
      </c>
      <c r="AQ76" t="s">
        <v>151</v>
      </c>
      <c r="AR76">
        <v>0</v>
      </c>
      <c r="AS76" t="s">
        <v>429</v>
      </c>
      <c r="AT76" t="s">
        <v>152</v>
      </c>
      <c r="AU76" t="s">
        <v>1490</v>
      </c>
      <c r="AV76" t="s">
        <v>1491</v>
      </c>
      <c r="AW76" t="s">
        <v>122</v>
      </c>
      <c r="AX76" t="s">
        <v>270</v>
      </c>
    </row>
    <row r="77" spans="1:50" x14ac:dyDescent="0.25">
      <c r="A77" t="s">
        <v>1492</v>
      </c>
      <c r="B77" t="s">
        <v>1493</v>
      </c>
      <c r="C77" t="s">
        <v>1494</v>
      </c>
      <c r="D77" t="s">
        <v>1495</v>
      </c>
      <c r="E77" t="s">
        <v>1496</v>
      </c>
      <c r="F77" t="s">
        <v>134</v>
      </c>
      <c r="G77" t="s">
        <v>1497</v>
      </c>
      <c r="H77">
        <v>1037.29</v>
      </c>
      <c r="I77" t="s">
        <v>162</v>
      </c>
      <c r="J77">
        <v>23857.67</v>
      </c>
      <c r="K77" t="s">
        <v>132</v>
      </c>
      <c r="L77" t="s">
        <v>1498</v>
      </c>
      <c r="M77" t="s">
        <v>1499</v>
      </c>
      <c r="N77" t="s">
        <v>135</v>
      </c>
      <c r="O77" t="s">
        <v>777</v>
      </c>
      <c r="P77" t="s">
        <v>1500</v>
      </c>
      <c r="Q77" t="s">
        <v>1501</v>
      </c>
      <c r="R77" t="s">
        <v>1502</v>
      </c>
      <c r="S77" t="s">
        <v>1503</v>
      </c>
      <c r="T77" t="s">
        <v>1504</v>
      </c>
      <c r="U77" t="s">
        <v>1505</v>
      </c>
      <c r="V77" t="s">
        <v>103</v>
      </c>
      <c r="W77" t="s">
        <v>174</v>
      </c>
      <c r="X77" t="s">
        <v>72</v>
      </c>
      <c r="Y77" t="s">
        <v>106</v>
      </c>
      <c r="Z77" t="s">
        <v>1506</v>
      </c>
      <c r="AA77" t="s">
        <v>236</v>
      </c>
      <c r="AB77" t="s">
        <v>76</v>
      </c>
      <c r="AC77" t="s">
        <v>1147</v>
      </c>
      <c r="AD77" t="s">
        <v>314</v>
      </c>
      <c r="AE77" t="s">
        <v>181</v>
      </c>
      <c r="AF77" t="s">
        <v>91</v>
      </c>
      <c r="AG77">
        <v>0.08</v>
      </c>
      <c r="AJ77" t="s">
        <v>1507</v>
      </c>
      <c r="AK77" t="s">
        <v>183</v>
      </c>
      <c r="AL77" t="s">
        <v>1508</v>
      </c>
      <c r="AM77">
        <v>9.2799999999999994</v>
      </c>
      <c r="AN77" t="s">
        <v>116</v>
      </c>
      <c r="AO77">
        <v>429</v>
      </c>
      <c r="AP77">
        <v>1</v>
      </c>
      <c r="AQ77" t="s">
        <v>242</v>
      </c>
      <c r="AR77" t="s">
        <v>118</v>
      </c>
      <c r="AT77" t="s">
        <v>361</v>
      </c>
      <c r="AV77" t="s">
        <v>1509</v>
      </c>
      <c r="AW77" t="s">
        <v>789</v>
      </c>
      <c r="AX77" t="s">
        <v>191</v>
      </c>
    </row>
    <row r="78" spans="1:50" x14ac:dyDescent="0.25">
      <c r="A78" t="s">
        <v>1510</v>
      </c>
      <c r="B78" t="s">
        <v>1511</v>
      </c>
      <c r="C78" t="s">
        <v>1512</v>
      </c>
      <c r="D78" t="s">
        <v>1513</v>
      </c>
      <c r="E78" t="s">
        <v>1514</v>
      </c>
      <c r="F78" t="s">
        <v>142</v>
      </c>
      <c r="G78" t="s">
        <v>1515</v>
      </c>
      <c r="H78">
        <v>95.7</v>
      </c>
      <c r="I78" t="s">
        <v>162</v>
      </c>
      <c r="J78" t="s">
        <v>1516</v>
      </c>
      <c r="K78" t="s">
        <v>132</v>
      </c>
      <c r="L78" t="s">
        <v>973</v>
      </c>
      <c r="M78" t="s">
        <v>1517</v>
      </c>
      <c r="N78" t="s">
        <v>396</v>
      </c>
      <c r="O78" t="s">
        <v>836</v>
      </c>
      <c r="P78" t="s">
        <v>1518</v>
      </c>
      <c r="Q78" t="s">
        <v>1519</v>
      </c>
      <c r="R78" t="s">
        <v>258</v>
      </c>
      <c r="S78" t="s">
        <v>1520</v>
      </c>
      <c r="T78" t="s">
        <v>1521</v>
      </c>
      <c r="U78" t="s">
        <v>1522</v>
      </c>
      <c r="V78" t="s">
        <v>70</v>
      </c>
      <c r="W78" t="s">
        <v>71</v>
      </c>
      <c r="X78" t="s">
        <v>424</v>
      </c>
      <c r="Y78" t="s">
        <v>106</v>
      </c>
      <c r="Z78" t="s">
        <v>1523</v>
      </c>
      <c r="AA78" t="s">
        <v>75</v>
      </c>
      <c r="AB78" t="s">
        <v>528</v>
      </c>
      <c r="AC78" t="s">
        <v>357</v>
      </c>
      <c r="AD78">
        <v>2026</v>
      </c>
      <c r="AE78" t="s">
        <v>77</v>
      </c>
      <c r="AF78">
        <v>56</v>
      </c>
      <c r="AG78" t="s">
        <v>238</v>
      </c>
      <c r="AK78" t="s">
        <v>571</v>
      </c>
      <c r="AL78" t="s">
        <v>1524</v>
      </c>
      <c r="AM78">
        <v>8.93</v>
      </c>
      <c r="AN78" t="s">
        <v>116</v>
      </c>
      <c r="AO78">
        <v>46</v>
      </c>
      <c r="AP78">
        <v>2</v>
      </c>
      <c r="AQ78" t="s">
        <v>117</v>
      </c>
      <c r="AR78" t="s">
        <v>243</v>
      </c>
      <c r="AS78" t="s">
        <v>215</v>
      </c>
      <c r="AT78" t="s">
        <v>152</v>
      </c>
      <c r="AU78" t="s">
        <v>1525</v>
      </c>
      <c r="AV78" t="s">
        <v>1526</v>
      </c>
      <c r="AW78" t="s">
        <v>1527</v>
      </c>
      <c r="AX78" t="s">
        <v>270</v>
      </c>
    </row>
    <row r="79" spans="1:50" x14ac:dyDescent="0.25">
      <c r="A79" t="s">
        <v>1528</v>
      </c>
      <c r="B79" t="s">
        <v>1529</v>
      </c>
      <c r="C79" t="s">
        <v>1530</v>
      </c>
      <c r="D79" t="s">
        <v>1321</v>
      </c>
      <c r="F79" t="s">
        <v>299</v>
      </c>
      <c r="G79" t="s">
        <v>1288</v>
      </c>
      <c r="H79" t="s">
        <v>1323</v>
      </c>
      <c r="I79">
        <v>0.1</v>
      </c>
      <c r="J79" t="s">
        <v>1531</v>
      </c>
      <c r="K79" t="s">
        <v>92</v>
      </c>
      <c r="L79" t="s">
        <v>662</v>
      </c>
      <c r="N79" t="s">
        <v>166</v>
      </c>
      <c r="O79" t="s">
        <v>836</v>
      </c>
      <c r="P79" t="s">
        <v>1532</v>
      </c>
      <c r="Q79" t="s">
        <v>1533</v>
      </c>
      <c r="R79" t="s">
        <v>1292</v>
      </c>
      <c r="S79" t="s">
        <v>1534</v>
      </c>
      <c r="T79" t="s">
        <v>1535</v>
      </c>
      <c r="U79" t="s">
        <v>1536</v>
      </c>
      <c r="V79" t="s">
        <v>173</v>
      </c>
      <c r="W79" t="s">
        <v>174</v>
      </c>
      <c r="X79" t="s">
        <v>72</v>
      </c>
      <c r="Y79" t="s">
        <v>234</v>
      </c>
      <c r="Z79" t="s">
        <v>1537</v>
      </c>
      <c r="AA79" t="s">
        <v>178</v>
      </c>
      <c r="AB79" t="s">
        <v>263</v>
      </c>
      <c r="AC79">
        <v>1</v>
      </c>
      <c r="AD79">
        <v>2026</v>
      </c>
      <c r="AE79" t="s">
        <v>110</v>
      </c>
      <c r="AF79">
        <v>53</v>
      </c>
      <c r="AG79" t="s">
        <v>238</v>
      </c>
      <c r="AJ79" t="s">
        <v>1538</v>
      </c>
      <c r="AK79" t="s">
        <v>240</v>
      </c>
      <c r="AL79" t="s">
        <v>1539</v>
      </c>
      <c r="AM79">
        <v>12.31</v>
      </c>
      <c r="AN79" t="s">
        <v>82</v>
      </c>
      <c r="AO79">
        <v>32</v>
      </c>
      <c r="AP79">
        <v>4</v>
      </c>
      <c r="AQ79" t="s">
        <v>610</v>
      </c>
      <c r="AR79">
        <v>1</v>
      </c>
      <c r="AS79" t="s">
        <v>215</v>
      </c>
      <c r="AU79" t="s">
        <v>163</v>
      </c>
      <c r="AV79" t="s">
        <v>1540</v>
      </c>
      <c r="AX79" t="s">
        <v>85</v>
      </c>
    </row>
    <row r="80" spans="1:50" x14ac:dyDescent="0.25">
      <c r="A80" t="s">
        <v>1541</v>
      </c>
      <c r="B80" t="s">
        <v>1542</v>
      </c>
      <c r="C80" t="s">
        <v>1543</v>
      </c>
      <c r="D80" t="s">
        <v>1544</v>
      </c>
      <c r="E80" t="s">
        <v>1545</v>
      </c>
      <c r="F80" t="s">
        <v>222</v>
      </c>
      <c r="G80" t="s">
        <v>1546</v>
      </c>
      <c r="H80" t="s">
        <v>1547</v>
      </c>
      <c r="I80" t="s">
        <v>162</v>
      </c>
      <c r="J80" t="s">
        <v>142</v>
      </c>
      <c r="K80" t="s">
        <v>92</v>
      </c>
      <c r="L80" t="s">
        <v>1548</v>
      </c>
      <c r="M80" t="s">
        <v>1549</v>
      </c>
      <c r="N80" t="s">
        <v>135</v>
      </c>
      <c r="O80" t="s">
        <v>136</v>
      </c>
      <c r="P80" t="s">
        <v>1463</v>
      </c>
      <c r="Q80" t="s">
        <v>1550</v>
      </c>
      <c r="R80" t="s">
        <v>976</v>
      </c>
      <c r="S80" t="s">
        <v>1551</v>
      </c>
      <c r="T80" t="s">
        <v>1552</v>
      </c>
      <c r="U80" t="s">
        <v>1553</v>
      </c>
      <c r="V80" t="s">
        <v>290</v>
      </c>
      <c r="W80" t="s">
        <v>726</v>
      </c>
      <c r="X80" t="s">
        <v>105</v>
      </c>
      <c r="Y80" t="s">
        <v>234</v>
      </c>
      <c r="Z80" t="s">
        <v>1554</v>
      </c>
      <c r="AA80" t="s">
        <v>19</v>
      </c>
      <c r="AB80" t="s">
        <v>179</v>
      </c>
      <c r="AC80" t="s">
        <v>264</v>
      </c>
      <c r="AD80" t="s">
        <v>146</v>
      </c>
      <c r="AE80" t="s">
        <v>77</v>
      </c>
      <c r="AF80">
        <v>4</v>
      </c>
      <c r="AG80" t="s">
        <v>238</v>
      </c>
      <c r="AJ80" t="s">
        <v>1555</v>
      </c>
      <c r="AK80" t="s">
        <v>147</v>
      </c>
      <c r="AL80" t="s">
        <v>1556</v>
      </c>
      <c r="AM80" t="s">
        <v>1557</v>
      </c>
      <c r="AN80" t="s">
        <v>267</v>
      </c>
      <c r="AO80">
        <v>188</v>
      </c>
      <c r="AP80">
        <v>3</v>
      </c>
      <c r="AQ80" t="s">
        <v>318</v>
      </c>
      <c r="AT80" t="s">
        <v>152</v>
      </c>
      <c r="AU80" t="s">
        <v>142</v>
      </c>
      <c r="AV80" t="s">
        <v>1558</v>
      </c>
      <c r="AW80" t="s">
        <v>122</v>
      </c>
      <c r="AX80" t="s">
        <v>191</v>
      </c>
    </row>
    <row r="81" spans="1:50" x14ac:dyDescent="0.25">
      <c r="A81" t="s">
        <v>1559</v>
      </c>
      <c r="B81" t="s">
        <v>1560</v>
      </c>
      <c r="C81" t="s">
        <v>1561</v>
      </c>
      <c r="D81" t="s">
        <v>435</v>
      </c>
      <c r="E81" t="s">
        <v>1562</v>
      </c>
      <c r="F81" t="s">
        <v>1563</v>
      </c>
      <c r="G81">
        <v>22</v>
      </c>
      <c r="H81" t="s">
        <v>1564</v>
      </c>
      <c r="J81">
        <v>12087.24</v>
      </c>
      <c r="K81" t="s">
        <v>92</v>
      </c>
      <c r="L81" t="s">
        <v>560</v>
      </c>
      <c r="M81" t="s">
        <v>1565</v>
      </c>
      <c r="N81" t="s">
        <v>95</v>
      </c>
      <c r="O81" t="s">
        <v>1566</v>
      </c>
      <c r="P81" t="s">
        <v>1567</v>
      </c>
      <c r="Q81" t="s">
        <v>1568</v>
      </c>
      <c r="R81" t="s">
        <v>505</v>
      </c>
      <c r="S81" t="s">
        <v>1569</v>
      </c>
      <c r="T81" t="s">
        <v>1570</v>
      </c>
      <c r="U81" t="s">
        <v>1571</v>
      </c>
      <c r="V81" t="s">
        <v>173</v>
      </c>
      <c r="W81" t="s">
        <v>726</v>
      </c>
      <c r="X81" t="s">
        <v>175</v>
      </c>
      <c r="Y81" t="s">
        <v>176</v>
      </c>
      <c r="Z81" t="s">
        <v>1572</v>
      </c>
      <c r="AA81" t="s">
        <v>75</v>
      </c>
      <c r="AB81" t="s">
        <v>108</v>
      </c>
      <c r="AC81" t="s">
        <v>728</v>
      </c>
      <c r="AD81" t="s">
        <v>237</v>
      </c>
      <c r="AE81" t="s">
        <v>110</v>
      </c>
      <c r="AF81">
        <v>84</v>
      </c>
      <c r="AG81" t="s">
        <v>211</v>
      </c>
      <c r="AJ81" t="s">
        <v>1573</v>
      </c>
      <c r="AK81" t="s">
        <v>113</v>
      </c>
      <c r="AL81" t="s">
        <v>1574</v>
      </c>
      <c r="AM81">
        <v>27.61</v>
      </c>
      <c r="AN81" t="s">
        <v>150</v>
      </c>
      <c r="AO81">
        <v>380</v>
      </c>
      <c r="AP81">
        <v>3</v>
      </c>
      <c r="AQ81" t="s">
        <v>242</v>
      </c>
      <c r="AR81" t="s">
        <v>118</v>
      </c>
      <c r="AU81">
        <v>362.62</v>
      </c>
      <c r="AV81" t="s">
        <v>553</v>
      </c>
      <c r="AW81" t="s">
        <v>553</v>
      </c>
      <c r="AX81" t="s">
        <v>191</v>
      </c>
    </row>
    <row r="82" spans="1:50" x14ac:dyDescent="0.25">
      <c r="A82" t="s">
        <v>1575</v>
      </c>
      <c r="B82" t="s">
        <v>1576</v>
      </c>
      <c r="C82" t="s">
        <v>1577</v>
      </c>
      <c r="D82" t="s">
        <v>1578</v>
      </c>
      <c r="E82" t="s">
        <v>1579</v>
      </c>
      <c r="F82" t="s">
        <v>1043</v>
      </c>
      <c r="G82">
        <v>5</v>
      </c>
      <c r="H82" t="s">
        <v>163</v>
      </c>
      <c r="I82">
        <v>0.1</v>
      </c>
      <c r="J82" t="s">
        <v>1580</v>
      </c>
      <c r="K82" t="s">
        <v>280</v>
      </c>
      <c r="L82" t="s">
        <v>1581</v>
      </c>
      <c r="M82" t="s">
        <v>1582</v>
      </c>
      <c r="N82" t="s">
        <v>166</v>
      </c>
      <c r="O82" t="s">
        <v>136</v>
      </c>
      <c r="P82" t="s">
        <v>816</v>
      </c>
      <c r="Q82" t="s">
        <v>1583</v>
      </c>
      <c r="R82" t="s">
        <v>1359</v>
      </c>
      <c r="S82" t="s">
        <v>1584</v>
      </c>
      <c r="T82" t="s">
        <v>1585</v>
      </c>
      <c r="U82" t="s">
        <v>1586</v>
      </c>
      <c r="V82" t="s">
        <v>173</v>
      </c>
      <c r="W82" t="s">
        <v>311</v>
      </c>
      <c r="X82" t="s">
        <v>72</v>
      </c>
      <c r="Y82" t="s">
        <v>106</v>
      </c>
      <c r="Z82" t="s">
        <v>1587</v>
      </c>
      <c r="AA82" t="s">
        <v>144</v>
      </c>
      <c r="AB82" t="s">
        <v>108</v>
      </c>
      <c r="AC82" t="s">
        <v>264</v>
      </c>
      <c r="AD82" t="s">
        <v>237</v>
      </c>
      <c r="AE82" t="s">
        <v>110</v>
      </c>
      <c r="AF82">
        <v>85</v>
      </c>
      <c r="AG82" t="s">
        <v>211</v>
      </c>
      <c r="AJ82" t="s">
        <v>1588</v>
      </c>
      <c r="AK82" t="s">
        <v>113</v>
      </c>
      <c r="AL82" t="s">
        <v>1589</v>
      </c>
      <c r="AM82" t="s">
        <v>1590</v>
      </c>
      <c r="AN82" t="s">
        <v>186</v>
      </c>
      <c r="AO82">
        <v>278</v>
      </c>
      <c r="AP82" t="s">
        <v>187</v>
      </c>
      <c r="AQ82" t="s">
        <v>610</v>
      </c>
      <c r="AR82">
        <v>1</v>
      </c>
      <c r="AU82" t="s">
        <v>1591</v>
      </c>
      <c r="AV82" t="s">
        <v>1592</v>
      </c>
      <c r="AW82" t="s">
        <v>1593</v>
      </c>
      <c r="AX82" t="s">
        <v>270</v>
      </c>
    </row>
    <row r="83" spans="1:50" x14ac:dyDescent="0.25">
      <c r="A83" t="s">
        <v>1594</v>
      </c>
      <c r="B83" t="s">
        <v>1595</v>
      </c>
      <c r="C83" t="s">
        <v>1596</v>
      </c>
      <c r="D83" t="s">
        <v>517</v>
      </c>
      <c r="E83" t="s">
        <v>1597</v>
      </c>
      <c r="F83" t="s">
        <v>1598</v>
      </c>
      <c r="G83" t="s">
        <v>929</v>
      </c>
      <c r="H83" t="s">
        <v>1599</v>
      </c>
      <c r="I83" t="s">
        <v>162</v>
      </c>
      <c r="J83" t="s">
        <v>1600</v>
      </c>
      <c r="K83" t="s">
        <v>280</v>
      </c>
      <c r="L83" t="s">
        <v>1601</v>
      </c>
      <c r="M83" t="s">
        <v>163</v>
      </c>
      <c r="N83" t="s">
        <v>135</v>
      </c>
      <c r="O83" t="s">
        <v>375</v>
      </c>
      <c r="P83" t="s">
        <v>1602</v>
      </c>
      <c r="Q83" t="s">
        <v>1603</v>
      </c>
      <c r="R83" t="s">
        <v>66</v>
      </c>
      <c r="S83" t="s">
        <v>1604</v>
      </c>
      <c r="T83" t="s">
        <v>1605</v>
      </c>
      <c r="U83" t="s">
        <v>1606</v>
      </c>
      <c r="V83" t="s">
        <v>103</v>
      </c>
      <c r="W83" t="s">
        <v>174</v>
      </c>
      <c r="X83" t="s">
        <v>105</v>
      </c>
      <c r="Y83" t="s">
        <v>176</v>
      </c>
      <c r="Z83" t="s">
        <v>1607</v>
      </c>
      <c r="AA83" t="s">
        <v>236</v>
      </c>
      <c r="AB83" t="s">
        <v>405</v>
      </c>
      <c r="AC83">
        <v>2</v>
      </c>
      <c r="AD83">
        <v>2025</v>
      </c>
      <c r="AE83" t="s">
        <v>181</v>
      </c>
      <c r="AF83">
        <v>39</v>
      </c>
      <c r="AG83" t="s">
        <v>111</v>
      </c>
      <c r="AJ83" t="s">
        <v>1608</v>
      </c>
      <c r="AK83" t="s">
        <v>147</v>
      </c>
      <c r="AL83" t="s">
        <v>1609</v>
      </c>
      <c r="AM83">
        <v>15.7</v>
      </c>
      <c r="AN83" t="s">
        <v>150</v>
      </c>
      <c r="AO83">
        <v>160</v>
      </c>
      <c r="AP83" t="s">
        <v>187</v>
      </c>
      <c r="AQ83" t="s">
        <v>786</v>
      </c>
      <c r="AR83" t="s">
        <v>118</v>
      </c>
      <c r="AS83" t="s">
        <v>83</v>
      </c>
      <c r="AU83" t="s">
        <v>1610</v>
      </c>
      <c r="AV83" t="s">
        <v>1611</v>
      </c>
      <c r="AW83" t="s">
        <v>122</v>
      </c>
      <c r="AX83" t="s">
        <v>191</v>
      </c>
    </row>
    <row r="84" spans="1:50" x14ac:dyDescent="0.25">
      <c r="A84" t="s">
        <v>1612</v>
      </c>
      <c r="B84" t="s">
        <v>1613</v>
      </c>
      <c r="C84" t="s">
        <v>1614</v>
      </c>
      <c r="D84" t="s">
        <v>1117</v>
      </c>
      <c r="E84" t="s">
        <v>163</v>
      </c>
      <c r="F84" t="s">
        <v>163</v>
      </c>
      <c r="G84">
        <v>8</v>
      </c>
      <c r="H84" t="s">
        <v>1615</v>
      </c>
      <c r="I84">
        <v>0</v>
      </c>
      <c r="J84" t="s">
        <v>1616</v>
      </c>
      <c r="K84" t="s">
        <v>132</v>
      </c>
      <c r="L84" t="s">
        <v>835</v>
      </c>
      <c r="M84" t="s">
        <v>1617</v>
      </c>
      <c r="N84" t="s">
        <v>396</v>
      </c>
      <c r="O84" t="s">
        <v>1230</v>
      </c>
      <c r="P84" t="s">
        <v>1342</v>
      </c>
      <c r="Q84" t="s">
        <v>1618</v>
      </c>
      <c r="R84" t="s">
        <v>976</v>
      </c>
      <c r="S84" t="s">
        <v>1619</v>
      </c>
      <c r="T84" t="s">
        <v>1620</v>
      </c>
      <c r="U84" t="s">
        <v>1621</v>
      </c>
      <c r="V84" t="s">
        <v>173</v>
      </c>
      <c r="W84" t="s">
        <v>174</v>
      </c>
      <c r="X84" t="s">
        <v>105</v>
      </c>
      <c r="Y84" t="s">
        <v>73</v>
      </c>
      <c r="Z84" t="s">
        <v>1622</v>
      </c>
      <c r="AA84" t="s">
        <v>178</v>
      </c>
      <c r="AB84" t="s">
        <v>405</v>
      </c>
      <c r="AC84" t="s">
        <v>180</v>
      </c>
      <c r="AD84" t="s">
        <v>237</v>
      </c>
      <c r="AE84" t="s">
        <v>77</v>
      </c>
      <c r="AF84">
        <v>33</v>
      </c>
      <c r="AG84" t="s">
        <v>238</v>
      </c>
      <c r="AJ84" t="s">
        <v>1623</v>
      </c>
      <c r="AK84" t="s">
        <v>79</v>
      </c>
      <c r="AL84" t="s">
        <v>1624</v>
      </c>
      <c r="AM84" t="s">
        <v>1625</v>
      </c>
      <c r="AN84" t="s">
        <v>82</v>
      </c>
      <c r="AO84">
        <v>328</v>
      </c>
      <c r="AP84">
        <v>2</v>
      </c>
      <c r="AQ84" t="s">
        <v>151</v>
      </c>
      <c r="AR84">
        <v>0</v>
      </c>
      <c r="AT84">
        <v>0.3</v>
      </c>
      <c r="AU84" t="s">
        <v>1626</v>
      </c>
      <c r="AV84" t="s">
        <v>1627</v>
      </c>
      <c r="AW84" t="s">
        <v>190</v>
      </c>
      <c r="AX84" t="s">
        <v>85</v>
      </c>
    </row>
    <row r="85" spans="1:50" x14ac:dyDescent="0.25">
      <c r="A85" t="s">
        <v>1628</v>
      </c>
      <c r="B85" t="s">
        <v>1629</v>
      </c>
      <c r="C85" t="s">
        <v>1630</v>
      </c>
      <c r="D85" t="s">
        <v>1631</v>
      </c>
      <c r="E85" t="s">
        <v>163</v>
      </c>
      <c r="F85" t="s">
        <v>134</v>
      </c>
      <c r="G85" t="s">
        <v>1427</v>
      </c>
      <c r="H85" t="s">
        <v>1632</v>
      </c>
      <c r="I85">
        <v>0.1</v>
      </c>
      <c r="J85" t="s">
        <v>1633</v>
      </c>
      <c r="K85" t="s">
        <v>132</v>
      </c>
      <c r="L85" t="s">
        <v>481</v>
      </c>
      <c r="M85" t="s">
        <v>163</v>
      </c>
      <c r="N85" t="s">
        <v>166</v>
      </c>
      <c r="O85" t="s">
        <v>760</v>
      </c>
      <c r="P85" t="s">
        <v>1634</v>
      </c>
      <c r="Q85" t="s">
        <v>1635</v>
      </c>
      <c r="R85" t="s">
        <v>505</v>
      </c>
      <c r="S85" t="s">
        <v>1636</v>
      </c>
      <c r="T85" t="s">
        <v>1637</v>
      </c>
      <c r="U85" t="s">
        <v>1638</v>
      </c>
      <c r="V85" t="s">
        <v>70</v>
      </c>
      <c r="W85" t="s">
        <v>206</v>
      </c>
      <c r="X85" t="s">
        <v>175</v>
      </c>
      <c r="Y85" t="s">
        <v>106</v>
      </c>
      <c r="Z85" t="s">
        <v>1639</v>
      </c>
      <c r="AA85" t="s">
        <v>178</v>
      </c>
      <c r="AB85" t="s">
        <v>405</v>
      </c>
      <c r="AC85" t="s">
        <v>264</v>
      </c>
      <c r="AD85">
        <v>2025</v>
      </c>
      <c r="AE85" t="s">
        <v>406</v>
      </c>
      <c r="AF85" t="s">
        <v>134</v>
      </c>
      <c r="AG85" t="s">
        <v>111</v>
      </c>
      <c r="AJ85" t="s">
        <v>1640</v>
      </c>
      <c r="AK85" t="s">
        <v>571</v>
      </c>
      <c r="AL85" t="s">
        <v>1641</v>
      </c>
      <c r="AM85">
        <v>4.33</v>
      </c>
      <c r="AN85" t="s">
        <v>116</v>
      </c>
      <c r="AO85">
        <v>40</v>
      </c>
      <c r="AP85">
        <v>1</v>
      </c>
      <c r="AQ85" t="s">
        <v>318</v>
      </c>
      <c r="AR85">
        <v>0</v>
      </c>
      <c r="AS85" t="s">
        <v>429</v>
      </c>
      <c r="AT85">
        <v>0.3</v>
      </c>
      <c r="AU85" t="s">
        <v>1642</v>
      </c>
      <c r="AV85" t="s">
        <v>1643</v>
      </c>
      <c r="AX85" t="s">
        <v>191</v>
      </c>
    </row>
    <row r="86" spans="1:50" x14ac:dyDescent="0.25">
      <c r="A86" t="s">
        <v>1644</v>
      </c>
      <c r="B86" t="s">
        <v>1645</v>
      </c>
      <c r="C86" t="s">
        <v>1646</v>
      </c>
      <c r="D86" t="s">
        <v>1647</v>
      </c>
      <c r="E86" t="s">
        <v>1648</v>
      </c>
      <c r="F86" t="s">
        <v>276</v>
      </c>
      <c r="G86" t="s">
        <v>1649</v>
      </c>
      <c r="H86" t="s">
        <v>1650</v>
      </c>
      <c r="J86" t="s">
        <v>134</v>
      </c>
      <c r="K86" t="s">
        <v>59</v>
      </c>
      <c r="L86" t="s">
        <v>835</v>
      </c>
      <c r="N86" t="s">
        <v>417</v>
      </c>
      <c r="O86" t="s">
        <v>304</v>
      </c>
      <c r="P86" t="s">
        <v>1651</v>
      </c>
      <c r="Q86" t="s">
        <v>1652</v>
      </c>
      <c r="R86" t="s">
        <v>564</v>
      </c>
      <c r="S86" t="s">
        <v>1653</v>
      </c>
      <c r="T86" t="s">
        <v>1654</v>
      </c>
      <c r="U86" t="s">
        <v>1655</v>
      </c>
      <c r="V86" t="s">
        <v>70</v>
      </c>
      <c r="W86" t="s">
        <v>311</v>
      </c>
      <c r="X86" t="s">
        <v>105</v>
      </c>
      <c r="Y86" t="s">
        <v>118</v>
      </c>
      <c r="Z86" t="s">
        <v>1656</v>
      </c>
      <c r="AA86" t="s">
        <v>178</v>
      </c>
      <c r="AB86" t="s">
        <v>528</v>
      </c>
      <c r="AC86">
        <v>2</v>
      </c>
      <c r="AD86" t="s">
        <v>146</v>
      </c>
      <c r="AE86" t="s">
        <v>77</v>
      </c>
      <c r="AF86" t="s">
        <v>134</v>
      </c>
      <c r="AG86">
        <v>0.08</v>
      </c>
      <c r="AJ86" t="s">
        <v>1657</v>
      </c>
      <c r="AK86" t="s">
        <v>571</v>
      </c>
      <c r="AL86" t="s">
        <v>1658</v>
      </c>
      <c r="AM86">
        <v>17.37</v>
      </c>
      <c r="AN86" t="s">
        <v>186</v>
      </c>
      <c r="AO86">
        <v>384</v>
      </c>
      <c r="AP86">
        <v>2</v>
      </c>
      <c r="AQ86" t="s">
        <v>117</v>
      </c>
      <c r="AR86" t="s">
        <v>188</v>
      </c>
      <c r="AS86" t="s">
        <v>83</v>
      </c>
      <c r="AU86" t="s">
        <v>1659</v>
      </c>
      <c r="AV86" t="s">
        <v>1660</v>
      </c>
      <c r="AX86" t="s">
        <v>270</v>
      </c>
    </row>
    <row r="87" spans="1:50" x14ac:dyDescent="0.25">
      <c r="A87" t="s">
        <v>1661</v>
      </c>
      <c r="B87" t="s">
        <v>1662</v>
      </c>
      <c r="C87" t="s">
        <v>91</v>
      </c>
      <c r="D87" t="s">
        <v>1663</v>
      </c>
      <c r="E87" t="s">
        <v>1664</v>
      </c>
      <c r="F87" t="s">
        <v>1665</v>
      </c>
      <c r="G87">
        <v>22</v>
      </c>
      <c r="H87" t="s">
        <v>1666</v>
      </c>
      <c r="I87" t="s">
        <v>253</v>
      </c>
      <c r="J87" t="s">
        <v>1667</v>
      </c>
      <c r="K87" t="s">
        <v>330</v>
      </c>
      <c r="L87" t="s">
        <v>1668</v>
      </c>
      <c r="M87" t="s">
        <v>1669</v>
      </c>
      <c r="N87" t="s">
        <v>166</v>
      </c>
      <c r="O87" t="s">
        <v>502</v>
      </c>
      <c r="P87" t="s">
        <v>1670</v>
      </c>
      <c r="Q87" t="s">
        <v>1671</v>
      </c>
      <c r="R87" t="s">
        <v>142</v>
      </c>
      <c r="S87" t="s">
        <v>1672</v>
      </c>
      <c r="T87" t="s">
        <v>1673</v>
      </c>
      <c r="U87" t="s">
        <v>1674</v>
      </c>
      <c r="V87" t="s">
        <v>70</v>
      </c>
      <c r="W87" t="s">
        <v>174</v>
      </c>
      <c r="X87" t="s">
        <v>424</v>
      </c>
      <c r="Y87" t="s">
        <v>337</v>
      </c>
      <c r="Z87" t="s">
        <v>1675</v>
      </c>
      <c r="AA87" t="s">
        <v>75</v>
      </c>
      <c r="AB87" t="s">
        <v>108</v>
      </c>
      <c r="AC87" t="s">
        <v>180</v>
      </c>
      <c r="AD87" t="s">
        <v>237</v>
      </c>
      <c r="AE87" t="s">
        <v>406</v>
      </c>
      <c r="AF87" t="s">
        <v>142</v>
      </c>
      <c r="AG87" t="s">
        <v>238</v>
      </c>
      <c r="AJ87">
        <v>47.68</v>
      </c>
      <c r="AK87" t="s">
        <v>79</v>
      </c>
      <c r="AL87" t="s">
        <v>1676</v>
      </c>
      <c r="AM87" t="s">
        <v>1677</v>
      </c>
      <c r="AN87" t="s">
        <v>116</v>
      </c>
      <c r="AO87">
        <v>477</v>
      </c>
      <c r="AP87" t="s">
        <v>187</v>
      </c>
      <c r="AQ87" t="s">
        <v>242</v>
      </c>
      <c r="AR87">
        <v>1</v>
      </c>
      <c r="AS87" t="s">
        <v>215</v>
      </c>
      <c r="AT87" t="s">
        <v>361</v>
      </c>
      <c r="AU87" t="s">
        <v>1678</v>
      </c>
      <c r="AV87" t="s">
        <v>1679</v>
      </c>
      <c r="AW87" t="s">
        <v>1558</v>
      </c>
      <c r="AX87" t="s">
        <v>246</v>
      </c>
    </row>
    <row r="88" spans="1:50" x14ac:dyDescent="0.25">
      <c r="A88" t="s">
        <v>1680</v>
      </c>
      <c r="B88" t="s">
        <v>1681</v>
      </c>
      <c r="C88" t="s">
        <v>1682</v>
      </c>
      <c r="D88" t="s">
        <v>1683</v>
      </c>
      <c r="E88" t="s">
        <v>134</v>
      </c>
      <c r="F88" t="s">
        <v>1684</v>
      </c>
      <c r="G88" t="s">
        <v>579</v>
      </c>
      <c r="H88" t="s">
        <v>1267</v>
      </c>
      <c r="I88">
        <v>0.1</v>
      </c>
      <c r="J88" t="s">
        <v>1685</v>
      </c>
      <c r="K88" t="s">
        <v>92</v>
      </c>
      <c r="L88" t="s">
        <v>1686</v>
      </c>
      <c r="M88" t="s">
        <v>1687</v>
      </c>
      <c r="N88" t="s">
        <v>62</v>
      </c>
      <c r="O88" t="s">
        <v>561</v>
      </c>
      <c r="P88" t="s">
        <v>778</v>
      </c>
      <c r="Q88" t="s">
        <v>1688</v>
      </c>
      <c r="R88" t="s">
        <v>484</v>
      </c>
      <c r="S88" t="s">
        <v>1689</v>
      </c>
      <c r="T88" t="s">
        <v>1690</v>
      </c>
      <c r="U88" t="s">
        <v>1691</v>
      </c>
      <c r="V88" t="s">
        <v>103</v>
      </c>
      <c r="W88" t="s">
        <v>206</v>
      </c>
      <c r="X88" t="s">
        <v>424</v>
      </c>
      <c r="Y88" t="s">
        <v>106</v>
      </c>
      <c r="Z88" t="s">
        <v>1692</v>
      </c>
      <c r="AA88" t="s">
        <v>144</v>
      </c>
      <c r="AB88" t="s">
        <v>179</v>
      </c>
      <c r="AC88">
        <v>6</v>
      </c>
      <c r="AD88" t="s">
        <v>146</v>
      </c>
      <c r="AE88" t="s">
        <v>181</v>
      </c>
      <c r="AF88">
        <v>87</v>
      </c>
      <c r="AG88" t="s">
        <v>211</v>
      </c>
      <c r="AJ88">
        <v>24.6</v>
      </c>
      <c r="AK88" t="s">
        <v>79</v>
      </c>
      <c r="AL88" t="s">
        <v>1693</v>
      </c>
      <c r="AM88" t="s">
        <v>1694</v>
      </c>
      <c r="AN88" t="s">
        <v>82</v>
      </c>
      <c r="AO88">
        <v>374</v>
      </c>
      <c r="AP88">
        <v>3</v>
      </c>
      <c r="AR88">
        <v>1</v>
      </c>
      <c r="AS88" t="s">
        <v>83</v>
      </c>
      <c r="AT88" t="s">
        <v>152</v>
      </c>
      <c r="AU88" t="s">
        <v>1695</v>
      </c>
      <c r="AV88" t="s">
        <v>1696</v>
      </c>
      <c r="AW88" t="s">
        <v>1697</v>
      </c>
      <c r="AX88" t="s">
        <v>246</v>
      </c>
    </row>
    <row r="89" spans="1:50" x14ac:dyDescent="0.25">
      <c r="A89" t="s">
        <v>1698</v>
      </c>
      <c r="B89" t="s">
        <v>1699</v>
      </c>
      <c r="C89" t="s">
        <v>1700</v>
      </c>
      <c r="D89" t="s">
        <v>1701</v>
      </c>
      <c r="E89" t="s">
        <v>1702</v>
      </c>
      <c r="F89" t="s">
        <v>222</v>
      </c>
      <c r="G89">
        <v>7</v>
      </c>
      <c r="H89" t="s">
        <v>1703</v>
      </c>
      <c r="I89" t="s">
        <v>58</v>
      </c>
      <c r="J89" t="s">
        <v>1704</v>
      </c>
      <c r="K89" t="s">
        <v>330</v>
      </c>
      <c r="L89" t="s">
        <v>1705</v>
      </c>
      <c r="N89" t="s">
        <v>417</v>
      </c>
      <c r="O89" t="s">
        <v>621</v>
      </c>
      <c r="P89" t="s">
        <v>1706</v>
      </c>
      <c r="Q89" t="s">
        <v>1707</v>
      </c>
      <c r="R89" t="s">
        <v>1708</v>
      </c>
      <c r="S89" t="s">
        <v>1709</v>
      </c>
      <c r="T89" t="s">
        <v>1710</v>
      </c>
      <c r="U89" t="s">
        <v>142</v>
      </c>
      <c r="V89" t="s">
        <v>205</v>
      </c>
      <c r="W89" t="s">
        <v>71</v>
      </c>
      <c r="X89" t="s">
        <v>105</v>
      </c>
      <c r="Y89" t="s">
        <v>106</v>
      </c>
      <c r="Z89" t="s">
        <v>1711</v>
      </c>
      <c r="AA89" t="s">
        <v>144</v>
      </c>
      <c r="AB89" t="s">
        <v>108</v>
      </c>
      <c r="AC89" t="s">
        <v>728</v>
      </c>
      <c r="AD89" t="s">
        <v>237</v>
      </c>
      <c r="AE89" t="s">
        <v>406</v>
      </c>
      <c r="AF89">
        <v>64</v>
      </c>
      <c r="AG89" t="s">
        <v>111</v>
      </c>
      <c r="AJ89" t="s">
        <v>1712</v>
      </c>
      <c r="AK89" t="s">
        <v>183</v>
      </c>
      <c r="AL89" t="s">
        <v>1713</v>
      </c>
      <c r="AM89">
        <v>20.89</v>
      </c>
      <c r="AN89" t="s">
        <v>267</v>
      </c>
      <c r="AO89">
        <v>206</v>
      </c>
      <c r="AP89">
        <v>3</v>
      </c>
      <c r="AQ89" t="s">
        <v>610</v>
      </c>
      <c r="AR89" t="s">
        <v>319</v>
      </c>
      <c r="AS89" t="s">
        <v>215</v>
      </c>
      <c r="AT89">
        <v>0.3</v>
      </c>
      <c r="AU89" t="s">
        <v>163</v>
      </c>
      <c r="AV89" t="s">
        <v>1714</v>
      </c>
      <c r="AW89" t="s">
        <v>122</v>
      </c>
      <c r="AX89" t="s">
        <v>85</v>
      </c>
    </row>
    <row r="90" spans="1:50" x14ac:dyDescent="0.25">
      <c r="A90" t="s">
        <v>1715</v>
      </c>
      <c r="B90" t="s">
        <v>1716</v>
      </c>
      <c r="C90" t="s">
        <v>163</v>
      </c>
      <c r="D90" t="s">
        <v>1717</v>
      </c>
      <c r="E90" t="s">
        <v>850</v>
      </c>
      <c r="F90" t="s">
        <v>142</v>
      </c>
      <c r="G90" t="s">
        <v>1718</v>
      </c>
      <c r="H90" t="s">
        <v>1719</v>
      </c>
      <c r="I90" t="s">
        <v>58</v>
      </c>
      <c r="J90" t="s">
        <v>1720</v>
      </c>
      <c r="K90" t="s">
        <v>92</v>
      </c>
      <c r="L90" t="s">
        <v>501</v>
      </c>
      <c r="M90" t="s">
        <v>91</v>
      </c>
      <c r="N90" t="s">
        <v>396</v>
      </c>
      <c r="O90" t="s">
        <v>561</v>
      </c>
      <c r="P90" t="s">
        <v>1010</v>
      </c>
      <c r="Q90" t="s">
        <v>1721</v>
      </c>
      <c r="R90" t="s">
        <v>1722</v>
      </c>
      <c r="S90" t="s">
        <v>1723</v>
      </c>
      <c r="T90" t="s">
        <v>1724</v>
      </c>
      <c r="U90" t="s">
        <v>1725</v>
      </c>
      <c r="V90" t="s">
        <v>290</v>
      </c>
      <c r="W90" t="s">
        <v>104</v>
      </c>
      <c r="X90" t="s">
        <v>175</v>
      </c>
      <c r="Y90" t="s">
        <v>337</v>
      </c>
      <c r="Z90" t="s">
        <v>1726</v>
      </c>
      <c r="AA90" t="s">
        <v>178</v>
      </c>
      <c r="AB90" t="s">
        <v>108</v>
      </c>
      <c r="AC90" t="s">
        <v>180</v>
      </c>
      <c r="AD90">
        <v>2025</v>
      </c>
      <c r="AE90" t="s">
        <v>110</v>
      </c>
      <c r="AF90">
        <v>14</v>
      </c>
      <c r="AG90" t="s">
        <v>211</v>
      </c>
      <c r="AJ90" t="s">
        <v>1727</v>
      </c>
      <c r="AK90" t="s">
        <v>147</v>
      </c>
      <c r="AL90" t="s">
        <v>1728</v>
      </c>
      <c r="AM90" t="s">
        <v>1729</v>
      </c>
      <c r="AN90" t="s">
        <v>186</v>
      </c>
      <c r="AO90">
        <v>465</v>
      </c>
      <c r="AP90">
        <v>4</v>
      </c>
      <c r="AQ90" t="s">
        <v>318</v>
      </c>
      <c r="AR90">
        <v>0</v>
      </c>
      <c r="AU90" t="s">
        <v>1730</v>
      </c>
      <c r="AV90" t="s">
        <v>1558</v>
      </c>
      <c r="AW90" t="s">
        <v>1558</v>
      </c>
      <c r="AX90" t="s">
        <v>191</v>
      </c>
    </row>
    <row r="91" spans="1:50" x14ac:dyDescent="0.25">
      <c r="A91" t="s">
        <v>1731</v>
      </c>
      <c r="B91" t="s">
        <v>1732</v>
      </c>
      <c r="C91" t="s">
        <v>1733</v>
      </c>
      <c r="D91" t="s">
        <v>1734</v>
      </c>
      <c r="E91" t="s">
        <v>1735</v>
      </c>
      <c r="F91" t="s">
        <v>1736</v>
      </c>
      <c r="G91">
        <v>38</v>
      </c>
      <c r="H91" t="s">
        <v>697</v>
      </c>
      <c r="I91">
        <v>0.1</v>
      </c>
      <c r="J91" t="s">
        <v>1737</v>
      </c>
      <c r="K91" t="s">
        <v>59</v>
      </c>
      <c r="L91" t="s">
        <v>815</v>
      </c>
      <c r="M91" t="s">
        <v>1738</v>
      </c>
      <c r="N91" t="s">
        <v>396</v>
      </c>
      <c r="O91" t="s">
        <v>461</v>
      </c>
      <c r="P91" t="s">
        <v>1739</v>
      </c>
      <c r="Q91" t="s">
        <v>1740</v>
      </c>
      <c r="R91" t="s">
        <v>258</v>
      </c>
      <c r="S91" t="s">
        <v>1741</v>
      </c>
      <c r="T91" t="s">
        <v>1742</v>
      </c>
      <c r="U91" t="s">
        <v>1743</v>
      </c>
      <c r="V91" t="s">
        <v>70</v>
      </c>
      <c r="W91" t="s">
        <v>104</v>
      </c>
      <c r="X91" t="s">
        <v>175</v>
      </c>
      <c r="Y91" t="s">
        <v>118</v>
      </c>
      <c r="Z91" t="s">
        <v>1744</v>
      </c>
      <c r="AA91" t="s">
        <v>19</v>
      </c>
      <c r="AB91" t="s">
        <v>179</v>
      </c>
      <c r="AC91" t="s">
        <v>1313</v>
      </c>
      <c r="AD91">
        <v>2025</v>
      </c>
      <c r="AE91" t="s">
        <v>181</v>
      </c>
      <c r="AF91" t="s">
        <v>134</v>
      </c>
      <c r="AG91">
        <v>0.08</v>
      </c>
      <c r="AJ91" t="s">
        <v>1745</v>
      </c>
      <c r="AK91" t="s">
        <v>113</v>
      </c>
      <c r="AL91" t="s">
        <v>1746</v>
      </c>
      <c r="AM91" t="s">
        <v>1747</v>
      </c>
      <c r="AN91" t="s">
        <v>186</v>
      </c>
      <c r="AO91">
        <v>90</v>
      </c>
      <c r="AP91">
        <v>4.5</v>
      </c>
      <c r="AQ91" t="s">
        <v>117</v>
      </c>
      <c r="AR91">
        <v>0</v>
      </c>
      <c r="AU91" t="s">
        <v>1748</v>
      </c>
      <c r="AV91" t="s">
        <v>1749</v>
      </c>
      <c r="AW91" t="s">
        <v>1527</v>
      </c>
      <c r="AX91" t="s">
        <v>85</v>
      </c>
    </row>
    <row r="92" spans="1:50" x14ac:dyDescent="0.25">
      <c r="A92" t="s">
        <v>1750</v>
      </c>
      <c r="B92" t="s">
        <v>1751</v>
      </c>
      <c r="C92" t="s">
        <v>1752</v>
      </c>
      <c r="D92" t="s">
        <v>1208</v>
      </c>
      <c r="E92" t="s">
        <v>1753</v>
      </c>
      <c r="F92" t="s">
        <v>596</v>
      </c>
      <c r="G92" t="s">
        <v>1754</v>
      </c>
      <c r="H92">
        <v>23.03</v>
      </c>
      <c r="I92" t="s">
        <v>162</v>
      </c>
      <c r="J92" t="s">
        <v>1755</v>
      </c>
      <c r="K92" t="s">
        <v>330</v>
      </c>
      <c r="L92" t="s">
        <v>1290</v>
      </c>
      <c r="M92" t="s">
        <v>1756</v>
      </c>
      <c r="N92" t="s">
        <v>396</v>
      </c>
      <c r="O92" t="s">
        <v>502</v>
      </c>
      <c r="P92" t="s">
        <v>1757</v>
      </c>
      <c r="Q92" t="s">
        <v>1758</v>
      </c>
      <c r="R92" t="s">
        <v>66</v>
      </c>
      <c r="S92" t="s">
        <v>1759</v>
      </c>
      <c r="T92" t="s">
        <v>1760</v>
      </c>
      <c r="U92" t="s">
        <v>1761</v>
      </c>
      <c r="V92" t="s">
        <v>103</v>
      </c>
      <c r="W92" t="s">
        <v>174</v>
      </c>
      <c r="X92" t="s">
        <v>233</v>
      </c>
      <c r="Y92" t="s">
        <v>73</v>
      </c>
      <c r="Z92" t="s">
        <v>1762</v>
      </c>
      <c r="AA92" t="s">
        <v>75</v>
      </c>
      <c r="AB92" t="s">
        <v>263</v>
      </c>
      <c r="AC92" t="s">
        <v>313</v>
      </c>
      <c r="AD92" t="s">
        <v>237</v>
      </c>
      <c r="AE92" t="s">
        <v>181</v>
      </c>
      <c r="AF92">
        <v>83</v>
      </c>
      <c r="AG92">
        <v>0.08</v>
      </c>
      <c r="AJ92" t="s">
        <v>1763</v>
      </c>
      <c r="AK92" t="s">
        <v>183</v>
      </c>
      <c r="AL92" t="s">
        <v>1764</v>
      </c>
      <c r="AM92" t="s">
        <v>1765</v>
      </c>
      <c r="AN92" t="s">
        <v>150</v>
      </c>
      <c r="AO92">
        <v>15</v>
      </c>
      <c r="AP92">
        <v>4.5</v>
      </c>
      <c r="AQ92" t="s">
        <v>610</v>
      </c>
      <c r="AR92" t="s">
        <v>319</v>
      </c>
      <c r="AT92" t="s">
        <v>119</v>
      </c>
      <c r="AU92">
        <v>8.2899999999999991</v>
      </c>
      <c r="AV92" t="s">
        <v>1766</v>
      </c>
      <c r="AW92" t="s">
        <v>1767</v>
      </c>
      <c r="AX92" t="s">
        <v>270</v>
      </c>
    </row>
    <row r="93" spans="1:50" x14ac:dyDescent="0.25">
      <c r="A93" t="s">
        <v>1768</v>
      </c>
      <c r="B93" t="s">
        <v>1769</v>
      </c>
      <c r="C93" t="s">
        <v>1770</v>
      </c>
      <c r="D93" t="s">
        <v>1771</v>
      </c>
      <c r="E93" t="s">
        <v>91</v>
      </c>
      <c r="F93" t="s">
        <v>1772</v>
      </c>
      <c r="G93" t="s">
        <v>1773</v>
      </c>
      <c r="H93" t="s">
        <v>1774</v>
      </c>
      <c r="I93">
        <v>0.1</v>
      </c>
      <c r="J93" t="s">
        <v>91</v>
      </c>
      <c r="K93" t="s">
        <v>280</v>
      </c>
      <c r="L93" t="s">
        <v>501</v>
      </c>
      <c r="M93" t="s">
        <v>142</v>
      </c>
      <c r="N93" t="s">
        <v>417</v>
      </c>
      <c r="O93" t="s">
        <v>543</v>
      </c>
      <c r="P93" t="s">
        <v>1775</v>
      </c>
      <c r="Q93" t="s">
        <v>1776</v>
      </c>
      <c r="S93" t="s">
        <v>1777</v>
      </c>
      <c r="T93" t="s">
        <v>1778</v>
      </c>
      <c r="U93" t="s">
        <v>1779</v>
      </c>
      <c r="V93" t="s">
        <v>290</v>
      </c>
      <c r="W93" t="s">
        <v>206</v>
      </c>
      <c r="X93" t="s">
        <v>424</v>
      </c>
      <c r="Y93" t="s">
        <v>73</v>
      </c>
      <c r="Z93" t="s">
        <v>1780</v>
      </c>
      <c r="AA93" t="s">
        <v>144</v>
      </c>
      <c r="AB93" t="s">
        <v>76</v>
      </c>
      <c r="AC93" t="s">
        <v>180</v>
      </c>
      <c r="AD93" t="s">
        <v>314</v>
      </c>
      <c r="AE93" t="s">
        <v>406</v>
      </c>
      <c r="AF93">
        <v>40</v>
      </c>
      <c r="AG93">
        <v>0.08</v>
      </c>
      <c r="AJ93" t="s">
        <v>1781</v>
      </c>
      <c r="AK93" t="s">
        <v>571</v>
      </c>
      <c r="AL93" t="s">
        <v>1782</v>
      </c>
      <c r="AM93">
        <v>17.760000000000002</v>
      </c>
      <c r="AN93" t="s">
        <v>186</v>
      </c>
      <c r="AO93">
        <v>321</v>
      </c>
      <c r="AP93">
        <v>4</v>
      </c>
      <c r="AQ93" t="s">
        <v>786</v>
      </c>
      <c r="AR93" t="s">
        <v>319</v>
      </c>
      <c r="AT93" t="s">
        <v>361</v>
      </c>
      <c r="AU93" t="s">
        <v>1783</v>
      </c>
      <c r="AV93" t="s">
        <v>1784</v>
      </c>
      <c r="AW93" t="s">
        <v>1785</v>
      </c>
      <c r="AX93" t="s">
        <v>191</v>
      </c>
    </row>
    <row r="94" spans="1:50" x14ac:dyDescent="0.25">
      <c r="A94" t="s">
        <v>1786</v>
      </c>
      <c r="B94" t="s">
        <v>1787</v>
      </c>
      <c r="C94" t="s">
        <v>1788</v>
      </c>
      <c r="D94" t="s">
        <v>1789</v>
      </c>
      <c r="E94" t="s">
        <v>794</v>
      </c>
      <c r="F94" t="s">
        <v>1790</v>
      </c>
      <c r="G94" t="s">
        <v>1791</v>
      </c>
      <c r="H94" t="s">
        <v>1792</v>
      </c>
      <c r="I94" t="s">
        <v>58</v>
      </c>
      <c r="J94" t="s">
        <v>1793</v>
      </c>
      <c r="K94" t="s">
        <v>59</v>
      </c>
      <c r="L94" t="s">
        <v>973</v>
      </c>
      <c r="M94" t="s">
        <v>163</v>
      </c>
      <c r="N94" t="s">
        <v>135</v>
      </c>
      <c r="O94" t="s">
        <v>375</v>
      </c>
      <c r="P94" t="s">
        <v>1794</v>
      </c>
      <c r="Q94" t="s">
        <v>1795</v>
      </c>
      <c r="R94" t="s">
        <v>1232</v>
      </c>
      <c r="S94" t="s">
        <v>1796</v>
      </c>
      <c r="T94" t="s">
        <v>1797</v>
      </c>
      <c r="U94" t="s">
        <v>1798</v>
      </c>
      <c r="V94" t="s">
        <v>290</v>
      </c>
      <c r="W94" t="s">
        <v>174</v>
      </c>
      <c r="X94" t="s">
        <v>207</v>
      </c>
      <c r="Y94" t="s">
        <v>106</v>
      </c>
      <c r="Z94" t="s">
        <v>1799</v>
      </c>
      <c r="AA94" t="s">
        <v>75</v>
      </c>
      <c r="AB94" t="s">
        <v>108</v>
      </c>
      <c r="AC94" t="s">
        <v>1313</v>
      </c>
      <c r="AD94" t="s">
        <v>237</v>
      </c>
      <c r="AE94" t="s">
        <v>110</v>
      </c>
      <c r="AF94">
        <v>29</v>
      </c>
      <c r="AG94" t="s">
        <v>211</v>
      </c>
      <c r="AJ94" t="s">
        <v>1800</v>
      </c>
      <c r="AK94" t="s">
        <v>79</v>
      </c>
      <c r="AL94" t="s">
        <v>1801</v>
      </c>
      <c r="AM94" t="s">
        <v>1802</v>
      </c>
      <c r="AN94" t="s">
        <v>150</v>
      </c>
      <c r="AO94">
        <v>422</v>
      </c>
      <c r="AP94" t="s">
        <v>187</v>
      </c>
      <c r="AS94" t="s">
        <v>215</v>
      </c>
      <c r="AT94" t="s">
        <v>152</v>
      </c>
      <c r="AU94" t="s">
        <v>1803</v>
      </c>
      <c r="AV94" t="s">
        <v>1804</v>
      </c>
      <c r="AW94" t="s">
        <v>122</v>
      </c>
      <c r="AX94" t="s">
        <v>191</v>
      </c>
    </row>
    <row r="95" spans="1:50" x14ac:dyDescent="0.25">
      <c r="A95" t="s">
        <v>1805</v>
      </c>
      <c r="B95" t="s">
        <v>1806</v>
      </c>
      <c r="C95" t="s">
        <v>1807</v>
      </c>
      <c r="D95" t="s">
        <v>1808</v>
      </c>
      <c r="E95" t="s">
        <v>1809</v>
      </c>
      <c r="F95" t="s">
        <v>299</v>
      </c>
      <c r="G95">
        <v>18</v>
      </c>
      <c r="H95" t="s">
        <v>1810</v>
      </c>
      <c r="J95" t="s">
        <v>142</v>
      </c>
      <c r="K95" t="s">
        <v>280</v>
      </c>
      <c r="L95" t="s">
        <v>1811</v>
      </c>
      <c r="M95" t="s">
        <v>1812</v>
      </c>
      <c r="N95" t="s">
        <v>95</v>
      </c>
      <c r="O95" t="s">
        <v>136</v>
      </c>
      <c r="P95" t="s">
        <v>1813</v>
      </c>
      <c r="Q95" t="s">
        <v>1814</v>
      </c>
      <c r="R95" t="s">
        <v>1815</v>
      </c>
      <c r="S95" t="s">
        <v>1816</v>
      </c>
      <c r="T95" t="s">
        <v>1817</v>
      </c>
      <c r="U95" t="s">
        <v>1818</v>
      </c>
      <c r="V95" t="s">
        <v>205</v>
      </c>
      <c r="W95" t="s">
        <v>71</v>
      </c>
      <c r="X95" t="s">
        <v>105</v>
      </c>
      <c r="Y95" t="s">
        <v>176</v>
      </c>
      <c r="Z95" t="s">
        <v>1819</v>
      </c>
      <c r="AA95" t="s">
        <v>144</v>
      </c>
      <c r="AB95" t="s">
        <v>76</v>
      </c>
      <c r="AC95" t="s">
        <v>180</v>
      </c>
      <c r="AD95" t="s">
        <v>314</v>
      </c>
      <c r="AE95" t="s">
        <v>406</v>
      </c>
      <c r="AF95">
        <v>9</v>
      </c>
      <c r="AG95">
        <v>0.08</v>
      </c>
      <c r="AJ95">
        <v>34.81</v>
      </c>
      <c r="AK95" t="s">
        <v>79</v>
      </c>
      <c r="AL95" t="s">
        <v>1820</v>
      </c>
      <c r="AM95">
        <v>28.41</v>
      </c>
      <c r="AN95" t="s">
        <v>186</v>
      </c>
      <c r="AO95" t="s">
        <v>91</v>
      </c>
      <c r="AP95">
        <v>5</v>
      </c>
      <c r="AR95" t="s">
        <v>188</v>
      </c>
      <c r="AT95" t="s">
        <v>119</v>
      </c>
      <c r="AU95" t="s">
        <v>142</v>
      </c>
      <c r="AV95" t="s">
        <v>1821</v>
      </c>
      <c r="AX95" t="s">
        <v>270</v>
      </c>
    </row>
    <row r="96" spans="1:50" x14ac:dyDescent="0.25">
      <c r="A96" t="s">
        <v>1822</v>
      </c>
      <c r="B96" t="s">
        <v>1823</v>
      </c>
      <c r="C96" t="s">
        <v>1824</v>
      </c>
      <c r="D96" t="s">
        <v>1825</v>
      </c>
      <c r="E96" t="s">
        <v>1826</v>
      </c>
      <c r="F96" t="s">
        <v>1827</v>
      </c>
      <c r="G96">
        <v>30</v>
      </c>
      <c r="H96" t="s">
        <v>1828</v>
      </c>
      <c r="I96" t="s">
        <v>162</v>
      </c>
      <c r="J96" t="s">
        <v>1829</v>
      </c>
      <c r="K96" t="s">
        <v>132</v>
      </c>
      <c r="L96" t="s">
        <v>481</v>
      </c>
      <c r="M96" t="s">
        <v>142</v>
      </c>
      <c r="N96" t="s">
        <v>135</v>
      </c>
      <c r="O96" t="s">
        <v>954</v>
      </c>
      <c r="P96" t="s">
        <v>1830</v>
      </c>
      <c r="Q96" t="s">
        <v>1831</v>
      </c>
      <c r="R96" t="s">
        <v>818</v>
      </c>
      <c r="S96" t="s">
        <v>1832</v>
      </c>
      <c r="T96" t="s">
        <v>1833</v>
      </c>
      <c r="U96" t="s">
        <v>1834</v>
      </c>
      <c r="V96" t="s">
        <v>173</v>
      </c>
      <c r="W96" t="s">
        <v>206</v>
      </c>
      <c r="X96" t="s">
        <v>72</v>
      </c>
      <c r="Y96" t="s">
        <v>73</v>
      </c>
      <c r="Z96" t="s">
        <v>1835</v>
      </c>
      <c r="AA96" t="s">
        <v>144</v>
      </c>
      <c r="AB96" t="s">
        <v>405</v>
      </c>
      <c r="AC96" t="s">
        <v>589</v>
      </c>
      <c r="AD96" t="s">
        <v>237</v>
      </c>
      <c r="AE96" t="s">
        <v>181</v>
      </c>
      <c r="AF96">
        <v>51</v>
      </c>
      <c r="AG96" t="s">
        <v>238</v>
      </c>
      <c r="AJ96" t="s">
        <v>1836</v>
      </c>
      <c r="AK96" t="s">
        <v>79</v>
      </c>
      <c r="AL96" t="s">
        <v>1837</v>
      </c>
      <c r="AM96">
        <v>18.850000000000001</v>
      </c>
      <c r="AN96" t="s">
        <v>116</v>
      </c>
      <c r="AO96">
        <v>382</v>
      </c>
      <c r="AP96" t="s">
        <v>214</v>
      </c>
      <c r="AQ96" t="s">
        <v>318</v>
      </c>
      <c r="AR96" t="s">
        <v>118</v>
      </c>
      <c r="AT96" t="s">
        <v>119</v>
      </c>
      <c r="AU96">
        <v>71.23</v>
      </c>
      <c r="AV96" t="s">
        <v>216</v>
      </c>
      <c r="AW96" t="s">
        <v>1838</v>
      </c>
      <c r="AX96" t="s">
        <v>246</v>
      </c>
    </row>
    <row r="97" spans="1:50" x14ac:dyDescent="0.25">
      <c r="A97" t="s">
        <v>1839</v>
      </c>
      <c r="B97" t="s">
        <v>1840</v>
      </c>
      <c r="C97" t="s">
        <v>1841</v>
      </c>
      <c r="D97" t="s">
        <v>695</v>
      </c>
      <c r="E97" t="s">
        <v>1842</v>
      </c>
      <c r="F97" t="s">
        <v>327</v>
      </c>
      <c r="G97" t="s">
        <v>1843</v>
      </c>
      <c r="H97" t="s">
        <v>697</v>
      </c>
      <c r="I97" t="s">
        <v>162</v>
      </c>
      <c r="J97" t="s">
        <v>91</v>
      </c>
      <c r="K97" t="s">
        <v>280</v>
      </c>
      <c r="L97" t="s">
        <v>662</v>
      </c>
      <c r="M97" t="s">
        <v>1627</v>
      </c>
      <c r="N97" t="s">
        <v>166</v>
      </c>
      <c r="O97" t="s">
        <v>621</v>
      </c>
      <c r="P97" t="s">
        <v>1844</v>
      </c>
      <c r="Q97" t="s">
        <v>1845</v>
      </c>
      <c r="R97" t="s">
        <v>1846</v>
      </c>
      <c r="S97" t="s">
        <v>1847</v>
      </c>
      <c r="T97" t="s">
        <v>1848</v>
      </c>
      <c r="U97" t="s">
        <v>1849</v>
      </c>
      <c r="V97" t="s">
        <v>103</v>
      </c>
      <c r="W97" t="s">
        <v>174</v>
      </c>
      <c r="X97" t="s">
        <v>207</v>
      </c>
      <c r="Y97" t="s">
        <v>118</v>
      </c>
      <c r="Z97" t="s">
        <v>1850</v>
      </c>
      <c r="AA97" t="s">
        <v>144</v>
      </c>
      <c r="AB97" t="s">
        <v>108</v>
      </c>
      <c r="AC97" t="s">
        <v>1851</v>
      </c>
      <c r="AD97" t="s">
        <v>314</v>
      </c>
      <c r="AE97" t="s">
        <v>406</v>
      </c>
      <c r="AF97">
        <v>3</v>
      </c>
      <c r="AG97" t="s">
        <v>211</v>
      </c>
      <c r="AJ97" t="s">
        <v>1852</v>
      </c>
      <c r="AK97" t="s">
        <v>113</v>
      </c>
      <c r="AL97" t="s">
        <v>1853</v>
      </c>
      <c r="AM97">
        <v>27.55</v>
      </c>
      <c r="AN97" t="s">
        <v>267</v>
      </c>
      <c r="AO97">
        <v>18</v>
      </c>
      <c r="AQ97" t="s">
        <v>117</v>
      </c>
      <c r="AS97" t="s">
        <v>215</v>
      </c>
      <c r="AT97" t="s">
        <v>119</v>
      </c>
      <c r="AU97" t="s">
        <v>91</v>
      </c>
      <c r="AV97" t="s">
        <v>1854</v>
      </c>
      <c r="AW97" t="s">
        <v>1855</v>
      </c>
      <c r="AX97" t="s">
        <v>85</v>
      </c>
    </row>
    <row r="98" spans="1:50" x14ac:dyDescent="0.25">
      <c r="A98" t="s">
        <v>1856</v>
      </c>
      <c r="B98" t="s">
        <v>1857</v>
      </c>
      <c r="C98" t="s">
        <v>1858</v>
      </c>
      <c r="D98" t="s">
        <v>1859</v>
      </c>
      <c r="E98" t="s">
        <v>1860</v>
      </c>
      <c r="F98" t="s">
        <v>1861</v>
      </c>
      <c r="G98" t="s">
        <v>1862</v>
      </c>
      <c r="H98" t="s">
        <v>1863</v>
      </c>
      <c r="I98">
        <v>0</v>
      </c>
      <c r="J98" t="s">
        <v>134</v>
      </c>
      <c r="K98" t="s">
        <v>92</v>
      </c>
      <c r="L98" t="s">
        <v>416</v>
      </c>
      <c r="M98" t="s">
        <v>163</v>
      </c>
      <c r="N98" t="s">
        <v>396</v>
      </c>
      <c r="O98" t="s">
        <v>304</v>
      </c>
      <c r="P98" t="s">
        <v>1864</v>
      </c>
      <c r="Q98" t="s">
        <v>1865</v>
      </c>
      <c r="R98" t="s">
        <v>1178</v>
      </c>
      <c r="S98" t="s">
        <v>1866</v>
      </c>
      <c r="T98" t="s">
        <v>1867</v>
      </c>
      <c r="U98" t="s">
        <v>1868</v>
      </c>
      <c r="V98" t="s">
        <v>173</v>
      </c>
      <c r="W98" t="s">
        <v>104</v>
      </c>
      <c r="X98" t="s">
        <v>72</v>
      </c>
      <c r="Y98" t="s">
        <v>73</v>
      </c>
      <c r="Z98" t="s">
        <v>1869</v>
      </c>
      <c r="AA98" t="s">
        <v>19</v>
      </c>
      <c r="AB98" t="s">
        <v>108</v>
      </c>
      <c r="AC98" t="s">
        <v>569</v>
      </c>
      <c r="AD98">
        <v>2026</v>
      </c>
      <c r="AE98" t="s">
        <v>406</v>
      </c>
      <c r="AF98" t="s">
        <v>134</v>
      </c>
      <c r="AG98" t="s">
        <v>238</v>
      </c>
      <c r="AJ98" t="s">
        <v>1870</v>
      </c>
      <c r="AK98" t="s">
        <v>571</v>
      </c>
      <c r="AL98" t="s">
        <v>1871</v>
      </c>
      <c r="AM98">
        <v>19.3</v>
      </c>
      <c r="AN98" t="s">
        <v>82</v>
      </c>
      <c r="AO98">
        <v>135</v>
      </c>
      <c r="AR98">
        <v>1</v>
      </c>
      <c r="AS98" t="s">
        <v>215</v>
      </c>
      <c r="AT98" t="s">
        <v>152</v>
      </c>
      <c r="AU98" t="s">
        <v>91</v>
      </c>
      <c r="AV98" t="s">
        <v>1872</v>
      </c>
    </row>
    <row r="99" spans="1:50" x14ac:dyDescent="0.25">
      <c r="A99" t="s">
        <v>1873</v>
      </c>
      <c r="B99" t="s">
        <v>1733</v>
      </c>
      <c r="C99" t="s">
        <v>91</v>
      </c>
      <c r="D99" t="s">
        <v>1874</v>
      </c>
      <c r="E99" t="s">
        <v>1875</v>
      </c>
      <c r="F99" t="s">
        <v>1876</v>
      </c>
      <c r="G99">
        <v>8</v>
      </c>
      <c r="H99" t="s">
        <v>1877</v>
      </c>
      <c r="I99">
        <v>0</v>
      </c>
      <c r="J99" t="s">
        <v>1878</v>
      </c>
      <c r="K99" t="s">
        <v>280</v>
      </c>
      <c r="L99" t="s">
        <v>1601</v>
      </c>
      <c r="M99" t="s">
        <v>1879</v>
      </c>
      <c r="N99" t="s">
        <v>166</v>
      </c>
      <c r="O99" t="s">
        <v>283</v>
      </c>
      <c r="P99" t="s">
        <v>482</v>
      </c>
      <c r="Q99" t="s">
        <v>1880</v>
      </c>
      <c r="R99" t="s">
        <v>169</v>
      </c>
      <c r="S99" t="s">
        <v>1881</v>
      </c>
      <c r="T99" t="s">
        <v>1882</v>
      </c>
      <c r="U99" t="s">
        <v>1883</v>
      </c>
      <c r="V99" t="s">
        <v>70</v>
      </c>
      <c r="W99" t="s">
        <v>726</v>
      </c>
      <c r="X99" t="s">
        <v>105</v>
      </c>
      <c r="Y99" t="s">
        <v>337</v>
      </c>
      <c r="Z99" t="s">
        <v>1884</v>
      </c>
      <c r="AA99" t="s">
        <v>236</v>
      </c>
      <c r="AB99" t="s">
        <v>76</v>
      </c>
      <c r="AC99" t="s">
        <v>569</v>
      </c>
      <c r="AD99" t="s">
        <v>314</v>
      </c>
      <c r="AE99" t="s">
        <v>406</v>
      </c>
      <c r="AF99">
        <v>86</v>
      </c>
      <c r="AG99">
        <v>0.08</v>
      </c>
      <c r="AJ99" t="s">
        <v>1885</v>
      </c>
      <c r="AK99" t="s">
        <v>79</v>
      </c>
      <c r="AL99" t="s">
        <v>1886</v>
      </c>
      <c r="AM99" t="s">
        <v>1887</v>
      </c>
      <c r="AN99" t="s">
        <v>150</v>
      </c>
      <c r="AO99">
        <v>268</v>
      </c>
      <c r="AP99">
        <v>4</v>
      </c>
      <c r="AQ99" t="s">
        <v>151</v>
      </c>
      <c r="AT99" t="s">
        <v>152</v>
      </c>
      <c r="AU99" t="s">
        <v>163</v>
      </c>
      <c r="AV99" t="s">
        <v>1888</v>
      </c>
      <c r="AW99" t="s">
        <v>1889</v>
      </c>
      <c r="AX99" t="s">
        <v>191</v>
      </c>
    </row>
    <row r="100" spans="1:50" x14ac:dyDescent="0.25">
      <c r="A100" t="s">
        <v>1890</v>
      </c>
      <c r="B100" t="s">
        <v>1543</v>
      </c>
      <c r="C100" t="s">
        <v>1891</v>
      </c>
      <c r="D100" t="s">
        <v>1892</v>
      </c>
      <c r="E100" t="s">
        <v>1893</v>
      </c>
      <c r="F100" t="s">
        <v>327</v>
      </c>
      <c r="G100" t="s">
        <v>1894</v>
      </c>
      <c r="H100" t="s">
        <v>1895</v>
      </c>
      <c r="I100">
        <v>0</v>
      </c>
      <c r="J100" t="s">
        <v>1896</v>
      </c>
      <c r="K100" t="s">
        <v>280</v>
      </c>
      <c r="L100" t="s">
        <v>1009</v>
      </c>
      <c r="M100" t="s">
        <v>1897</v>
      </c>
      <c r="N100" t="s">
        <v>166</v>
      </c>
      <c r="O100" t="s">
        <v>96</v>
      </c>
      <c r="P100" t="s">
        <v>1898</v>
      </c>
      <c r="Q100" t="s">
        <v>1899</v>
      </c>
      <c r="R100" t="s">
        <v>1232</v>
      </c>
      <c r="S100" t="s">
        <v>1900</v>
      </c>
      <c r="T100" t="s">
        <v>1901</v>
      </c>
      <c r="U100" t="s">
        <v>1902</v>
      </c>
      <c r="V100" t="s">
        <v>103</v>
      </c>
      <c r="W100" t="s">
        <v>104</v>
      </c>
      <c r="X100" t="s">
        <v>175</v>
      </c>
      <c r="Y100" t="s">
        <v>73</v>
      </c>
      <c r="Z100" t="s">
        <v>1903</v>
      </c>
      <c r="AA100" t="s">
        <v>19</v>
      </c>
      <c r="AB100" t="s">
        <v>405</v>
      </c>
      <c r="AC100">
        <v>6</v>
      </c>
      <c r="AD100">
        <v>2026</v>
      </c>
      <c r="AE100" t="s">
        <v>181</v>
      </c>
      <c r="AF100">
        <v>56</v>
      </c>
      <c r="AG100">
        <v>0.08</v>
      </c>
      <c r="AJ100" t="s">
        <v>1904</v>
      </c>
      <c r="AK100" t="s">
        <v>113</v>
      </c>
      <c r="AL100" t="s">
        <v>1905</v>
      </c>
      <c r="AM100" t="s">
        <v>1906</v>
      </c>
      <c r="AN100" t="s">
        <v>186</v>
      </c>
      <c r="AO100">
        <v>76</v>
      </c>
      <c r="AP100" t="s">
        <v>214</v>
      </c>
      <c r="AQ100" t="s">
        <v>117</v>
      </c>
      <c r="AR100">
        <v>0</v>
      </c>
      <c r="AS100" t="s">
        <v>429</v>
      </c>
      <c r="AU100" t="s">
        <v>1907</v>
      </c>
      <c r="AV100" t="s">
        <v>1908</v>
      </c>
      <c r="AW100" t="s">
        <v>122</v>
      </c>
      <c r="AX100" t="s">
        <v>246</v>
      </c>
    </row>
    <row r="102" spans="1:50" x14ac:dyDescent="0.25">
      <c r="A102" t="s">
        <v>1909</v>
      </c>
      <c r="B102" t="s">
        <v>1910</v>
      </c>
      <c r="C102" t="s">
        <v>1911</v>
      </c>
      <c r="D102" t="s">
        <v>1171</v>
      </c>
      <c r="E102" t="s">
        <v>1912</v>
      </c>
      <c r="F102" t="s">
        <v>1913</v>
      </c>
      <c r="G102" t="s">
        <v>1266</v>
      </c>
      <c r="H102" t="s">
        <v>1914</v>
      </c>
      <c r="I102">
        <v>0.1</v>
      </c>
      <c r="J102" t="s">
        <v>134</v>
      </c>
      <c r="K102" t="s">
        <v>92</v>
      </c>
      <c r="L102" t="s">
        <v>1915</v>
      </c>
      <c r="M102" t="s">
        <v>134</v>
      </c>
      <c r="N102" t="s">
        <v>166</v>
      </c>
      <c r="O102" t="s">
        <v>621</v>
      </c>
      <c r="P102" t="s">
        <v>1196</v>
      </c>
      <c r="Q102" t="s">
        <v>1916</v>
      </c>
      <c r="R102" t="s">
        <v>876</v>
      </c>
      <c r="S102" t="s">
        <v>1917</v>
      </c>
      <c r="T102" t="s">
        <v>1918</v>
      </c>
      <c r="U102" t="s">
        <v>1919</v>
      </c>
      <c r="V102" t="s">
        <v>70</v>
      </c>
      <c r="W102" t="s">
        <v>726</v>
      </c>
      <c r="X102" t="s">
        <v>105</v>
      </c>
      <c r="Y102" t="s">
        <v>176</v>
      </c>
      <c r="Z102" t="s">
        <v>1920</v>
      </c>
      <c r="AA102" t="s">
        <v>236</v>
      </c>
      <c r="AB102" t="s">
        <v>179</v>
      </c>
      <c r="AC102" t="s">
        <v>569</v>
      </c>
      <c r="AD102" t="s">
        <v>237</v>
      </c>
      <c r="AE102" t="s">
        <v>77</v>
      </c>
      <c r="AF102" t="s">
        <v>91</v>
      </c>
      <c r="AG102" t="s">
        <v>238</v>
      </c>
      <c r="AJ102" t="s">
        <v>1921</v>
      </c>
      <c r="AK102" t="s">
        <v>240</v>
      </c>
      <c r="AL102" t="s">
        <v>1922</v>
      </c>
      <c r="AM102">
        <v>25.6</v>
      </c>
      <c r="AN102" t="s">
        <v>150</v>
      </c>
      <c r="AO102">
        <v>315</v>
      </c>
      <c r="AQ102" t="s">
        <v>242</v>
      </c>
      <c r="AR102" t="s">
        <v>319</v>
      </c>
      <c r="AT102" t="s">
        <v>152</v>
      </c>
      <c r="AU102" t="s">
        <v>1923</v>
      </c>
      <c r="AV102" t="s">
        <v>1100</v>
      </c>
      <c r="AW102" t="s">
        <v>1100</v>
      </c>
      <c r="AX102" t="s">
        <v>270</v>
      </c>
    </row>
    <row r="103" spans="1:50" x14ac:dyDescent="0.25">
      <c r="A103" t="s">
        <v>1924</v>
      </c>
      <c r="B103" t="s">
        <v>1925</v>
      </c>
      <c r="C103" t="s">
        <v>1926</v>
      </c>
      <c r="D103" t="s">
        <v>1927</v>
      </c>
      <c r="E103" t="s">
        <v>1928</v>
      </c>
      <c r="F103" t="s">
        <v>1772</v>
      </c>
      <c r="G103">
        <v>17</v>
      </c>
      <c r="H103" t="s">
        <v>1929</v>
      </c>
      <c r="I103" t="s">
        <v>58</v>
      </c>
      <c r="J103" t="s">
        <v>1930</v>
      </c>
      <c r="K103" t="s">
        <v>132</v>
      </c>
      <c r="L103" t="s">
        <v>1931</v>
      </c>
      <c r="N103" t="s">
        <v>166</v>
      </c>
      <c r="O103" t="s">
        <v>63</v>
      </c>
      <c r="P103" t="s">
        <v>1932</v>
      </c>
      <c r="Q103" t="s">
        <v>1933</v>
      </c>
      <c r="R103" t="s">
        <v>994</v>
      </c>
      <c r="S103" t="s">
        <v>1934</v>
      </c>
      <c r="T103" t="s">
        <v>1935</v>
      </c>
      <c r="U103" t="s">
        <v>1936</v>
      </c>
      <c r="V103" t="s">
        <v>173</v>
      </c>
      <c r="W103" t="s">
        <v>104</v>
      </c>
      <c r="X103" t="s">
        <v>175</v>
      </c>
      <c r="Y103" t="s">
        <v>73</v>
      </c>
      <c r="Z103" t="s">
        <v>1937</v>
      </c>
      <c r="AA103" t="s">
        <v>19</v>
      </c>
      <c r="AB103" t="s">
        <v>179</v>
      </c>
      <c r="AC103" t="s">
        <v>109</v>
      </c>
      <c r="AD103" t="s">
        <v>237</v>
      </c>
      <c r="AE103" t="s">
        <v>406</v>
      </c>
      <c r="AF103">
        <v>27</v>
      </c>
      <c r="AG103" t="s">
        <v>238</v>
      </c>
      <c r="AJ103" t="s">
        <v>1938</v>
      </c>
      <c r="AK103" t="s">
        <v>183</v>
      </c>
      <c r="AL103" t="s">
        <v>1939</v>
      </c>
      <c r="AM103">
        <v>2.41</v>
      </c>
      <c r="AN103" t="s">
        <v>116</v>
      </c>
      <c r="AO103">
        <v>48</v>
      </c>
      <c r="AP103">
        <v>4</v>
      </c>
      <c r="AQ103" t="s">
        <v>610</v>
      </c>
      <c r="AT103" t="s">
        <v>152</v>
      </c>
      <c r="AU103" t="s">
        <v>163</v>
      </c>
      <c r="AV103" t="s">
        <v>1940</v>
      </c>
      <c r="AW103" t="s">
        <v>122</v>
      </c>
    </row>
    <row r="104" spans="1:50" x14ac:dyDescent="0.25">
      <c r="A104" t="s">
        <v>1941</v>
      </c>
      <c r="B104" t="s">
        <v>1942</v>
      </c>
      <c r="C104" t="s">
        <v>1943</v>
      </c>
      <c r="D104" t="s">
        <v>1944</v>
      </c>
      <c r="E104" t="s">
        <v>1945</v>
      </c>
      <c r="F104" t="s">
        <v>222</v>
      </c>
      <c r="G104" t="s">
        <v>795</v>
      </c>
      <c r="H104" t="s">
        <v>1946</v>
      </c>
      <c r="I104">
        <v>0</v>
      </c>
      <c r="J104" t="s">
        <v>142</v>
      </c>
      <c r="K104" t="s">
        <v>59</v>
      </c>
      <c r="L104" t="s">
        <v>1947</v>
      </c>
      <c r="M104" t="s">
        <v>1669</v>
      </c>
      <c r="N104" t="s">
        <v>95</v>
      </c>
      <c r="O104" t="s">
        <v>760</v>
      </c>
      <c r="P104" t="s">
        <v>1948</v>
      </c>
      <c r="Q104" t="s">
        <v>1949</v>
      </c>
      <c r="R104" t="s">
        <v>286</v>
      </c>
      <c r="S104" t="s">
        <v>1950</v>
      </c>
      <c r="T104" t="s">
        <v>1951</v>
      </c>
      <c r="U104" t="s">
        <v>1952</v>
      </c>
      <c r="V104" t="s">
        <v>205</v>
      </c>
      <c r="W104" t="s">
        <v>71</v>
      </c>
      <c r="X104" t="s">
        <v>105</v>
      </c>
      <c r="Y104" t="s">
        <v>337</v>
      </c>
      <c r="Z104" t="s">
        <v>1953</v>
      </c>
      <c r="AA104" t="s">
        <v>236</v>
      </c>
      <c r="AB104" t="s">
        <v>108</v>
      </c>
      <c r="AC104" t="s">
        <v>1313</v>
      </c>
      <c r="AD104" t="s">
        <v>237</v>
      </c>
      <c r="AE104" t="s">
        <v>406</v>
      </c>
      <c r="AF104">
        <v>14</v>
      </c>
      <c r="AG104">
        <v>0.08</v>
      </c>
      <c r="AJ104" t="s">
        <v>1954</v>
      </c>
      <c r="AK104" t="s">
        <v>79</v>
      </c>
      <c r="AL104" t="s">
        <v>1955</v>
      </c>
      <c r="AM104" t="s">
        <v>1956</v>
      </c>
      <c r="AN104" t="s">
        <v>186</v>
      </c>
      <c r="AQ104" t="s">
        <v>151</v>
      </c>
      <c r="AR104" t="s">
        <v>243</v>
      </c>
      <c r="AS104" t="s">
        <v>215</v>
      </c>
      <c r="AT104">
        <v>0.3</v>
      </c>
      <c r="AV104" t="s">
        <v>1957</v>
      </c>
      <c r="AW104" t="s">
        <v>122</v>
      </c>
    </row>
    <row r="105" spans="1:50" x14ac:dyDescent="0.25">
      <c r="A105" t="s">
        <v>1958</v>
      </c>
      <c r="B105" t="s">
        <v>1959</v>
      </c>
      <c r="C105" t="s">
        <v>1960</v>
      </c>
      <c r="D105" t="s">
        <v>926</v>
      </c>
      <c r="E105" t="s">
        <v>1961</v>
      </c>
      <c r="F105" t="s">
        <v>1962</v>
      </c>
      <c r="G105">
        <v>25</v>
      </c>
      <c r="H105" t="s">
        <v>1963</v>
      </c>
      <c r="I105" t="s">
        <v>162</v>
      </c>
      <c r="J105" t="s">
        <v>1964</v>
      </c>
      <c r="K105" t="s">
        <v>92</v>
      </c>
      <c r="L105" t="s">
        <v>581</v>
      </c>
      <c r="M105" t="s">
        <v>1965</v>
      </c>
      <c r="N105" t="s">
        <v>417</v>
      </c>
      <c r="O105" t="s">
        <v>1230</v>
      </c>
      <c r="P105" t="s">
        <v>1794</v>
      </c>
      <c r="Q105" t="s">
        <v>1966</v>
      </c>
      <c r="R105" t="s">
        <v>1450</v>
      </c>
      <c r="S105" t="s">
        <v>1967</v>
      </c>
      <c r="T105" t="s">
        <v>1968</v>
      </c>
      <c r="U105" t="s">
        <v>1969</v>
      </c>
      <c r="V105" t="s">
        <v>70</v>
      </c>
      <c r="W105" t="s">
        <v>726</v>
      </c>
      <c r="X105" t="s">
        <v>424</v>
      </c>
      <c r="Y105" t="s">
        <v>234</v>
      </c>
      <c r="Z105" t="s">
        <v>1970</v>
      </c>
      <c r="AA105" t="s">
        <v>19</v>
      </c>
      <c r="AB105" t="s">
        <v>263</v>
      </c>
      <c r="AC105" t="s">
        <v>180</v>
      </c>
      <c r="AD105" t="s">
        <v>146</v>
      </c>
      <c r="AE105" t="s">
        <v>110</v>
      </c>
      <c r="AF105">
        <v>90</v>
      </c>
      <c r="AG105">
        <v>0.08</v>
      </c>
      <c r="AJ105" t="s">
        <v>1971</v>
      </c>
      <c r="AK105" t="s">
        <v>147</v>
      </c>
      <c r="AL105" t="s">
        <v>1972</v>
      </c>
      <c r="AM105" t="s">
        <v>1973</v>
      </c>
      <c r="AN105" t="s">
        <v>82</v>
      </c>
      <c r="AO105">
        <v>497</v>
      </c>
      <c r="AP105">
        <v>5</v>
      </c>
      <c r="AR105" t="s">
        <v>243</v>
      </c>
      <c r="AU105" t="s">
        <v>1974</v>
      </c>
      <c r="AV105" t="s">
        <v>1975</v>
      </c>
      <c r="AW105" t="s">
        <v>944</v>
      </c>
      <c r="AX105" t="s">
        <v>246</v>
      </c>
    </row>
    <row r="106" spans="1:50" x14ac:dyDescent="0.25">
      <c r="A106" t="s">
        <v>1976</v>
      </c>
      <c r="B106" t="s">
        <v>1977</v>
      </c>
      <c r="C106" t="s">
        <v>1978</v>
      </c>
      <c r="D106" t="s">
        <v>89</v>
      </c>
      <c r="E106" t="s">
        <v>988</v>
      </c>
      <c r="F106" t="s">
        <v>1979</v>
      </c>
      <c r="G106" t="s">
        <v>1980</v>
      </c>
      <c r="H106" t="s">
        <v>1981</v>
      </c>
      <c r="I106">
        <v>0</v>
      </c>
      <c r="J106" t="s">
        <v>134</v>
      </c>
      <c r="K106" t="s">
        <v>59</v>
      </c>
      <c r="L106" t="s">
        <v>1175</v>
      </c>
      <c r="M106" t="s">
        <v>1785</v>
      </c>
      <c r="N106" t="s">
        <v>62</v>
      </c>
      <c r="O106" t="s">
        <v>1028</v>
      </c>
      <c r="P106" t="s">
        <v>1982</v>
      </c>
      <c r="Q106" t="s">
        <v>1983</v>
      </c>
      <c r="R106" t="s">
        <v>1984</v>
      </c>
      <c r="S106" t="s">
        <v>1985</v>
      </c>
      <c r="T106" t="s">
        <v>1986</v>
      </c>
      <c r="U106" t="s">
        <v>1987</v>
      </c>
      <c r="V106" t="s">
        <v>205</v>
      </c>
      <c r="W106" t="s">
        <v>71</v>
      </c>
      <c r="X106" t="s">
        <v>424</v>
      </c>
      <c r="Y106" t="s">
        <v>73</v>
      </c>
      <c r="Z106" t="s">
        <v>1988</v>
      </c>
      <c r="AA106" t="s">
        <v>144</v>
      </c>
      <c r="AB106" t="s">
        <v>108</v>
      </c>
      <c r="AC106" t="s">
        <v>109</v>
      </c>
      <c r="AD106" t="s">
        <v>314</v>
      </c>
      <c r="AE106" t="s">
        <v>110</v>
      </c>
      <c r="AF106">
        <v>35</v>
      </c>
      <c r="AG106" t="s">
        <v>238</v>
      </c>
      <c r="AJ106" t="s">
        <v>1989</v>
      </c>
      <c r="AK106" t="s">
        <v>79</v>
      </c>
      <c r="AL106" t="s">
        <v>1990</v>
      </c>
      <c r="AM106" t="s">
        <v>1590</v>
      </c>
      <c r="AN106" t="s">
        <v>116</v>
      </c>
      <c r="AO106">
        <v>368</v>
      </c>
      <c r="AP106">
        <v>4</v>
      </c>
      <c r="AR106">
        <v>0</v>
      </c>
      <c r="AU106" t="s">
        <v>1991</v>
      </c>
      <c r="AV106" t="s">
        <v>1992</v>
      </c>
      <c r="AX106" t="s">
        <v>191</v>
      </c>
    </row>
    <row r="107" spans="1:50" x14ac:dyDescent="0.25">
      <c r="A107" t="s">
        <v>1993</v>
      </c>
      <c r="B107" t="s">
        <v>1994</v>
      </c>
      <c r="C107" t="s">
        <v>1995</v>
      </c>
      <c r="D107" t="s">
        <v>1996</v>
      </c>
      <c r="E107" t="s">
        <v>1997</v>
      </c>
      <c r="F107" t="s">
        <v>1876</v>
      </c>
      <c r="G107" t="s">
        <v>1980</v>
      </c>
      <c r="H107">
        <v>978.15</v>
      </c>
      <c r="I107" t="s">
        <v>253</v>
      </c>
      <c r="J107" t="s">
        <v>1998</v>
      </c>
      <c r="K107" t="s">
        <v>330</v>
      </c>
      <c r="L107" t="s">
        <v>1999</v>
      </c>
      <c r="M107" t="s">
        <v>2000</v>
      </c>
      <c r="N107" t="s">
        <v>62</v>
      </c>
      <c r="O107" t="s">
        <v>1230</v>
      </c>
      <c r="P107" t="s">
        <v>2001</v>
      </c>
      <c r="Q107" t="s">
        <v>2002</v>
      </c>
      <c r="R107" t="s">
        <v>1359</v>
      </c>
      <c r="S107" t="s">
        <v>2003</v>
      </c>
      <c r="T107" t="s">
        <v>2004</v>
      </c>
      <c r="U107" t="s">
        <v>2005</v>
      </c>
      <c r="V107" t="s">
        <v>103</v>
      </c>
      <c r="W107" t="s">
        <v>174</v>
      </c>
      <c r="X107" t="s">
        <v>105</v>
      </c>
      <c r="Y107" t="s">
        <v>106</v>
      </c>
      <c r="Z107" t="s">
        <v>2006</v>
      </c>
      <c r="AA107" t="s">
        <v>75</v>
      </c>
      <c r="AB107" t="s">
        <v>108</v>
      </c>
      <c r="AC107" t="s">
        <v>313</v>
      </c>
      <c r="AD107">
        <v>2026</v>
      </c>
      <c r="AE107" t="s">
        <v>406</v>
      </c>
      <c r="AF107">
        <v>83</v>
      </c>
      <c r="AG107">
        <v>0.08</v>
      </c>
      <c r="AJ107" t="s">
        <v>2007</v>
      </c>
      <c r="AK107" t="s">
        <v>113</v>
      </c>
      <c r="AL107" t="s">
        <v>2008</v>
      </c>
      <c r="AM107">
        <v>9.8699999999999992</v>
      </c>
      <c r="AN107" t="s">
        <v>267</v>
      </c>
      <c r="AO107">
        <v>97</v>
      </c>
      <c r="AP107">
        <v>4.5</v>
      </c>
      <c r="AQ107" t="s">
        <v>117</v>
      </c>
      <c r="AR107" t="s">
        <v>118</v>
      </c>
      <c r="AS107" t="s">
        <v>215</v>
      </c>
      <c r="AT107" t="s">
        <v>361</v>
      </c>
      <c r="AU107" t="s">
        <v>2009</v>
      </c>
      <c r="AV107" t="s">
        <v>2010</v>
      </c>
      <c r="AW107" t="s">
        <v>1593</v>
      </c>
      <c r="AX107" t="s">
        <v>191</v>
      </c>
    </row>
    <row r="108" spans="1:50" x14ac:dyDescent="0.25">
      <c r="A108" t="s">
        <v>2011</v>
      </c>
      <c r="B108" t="s">
        <v>2012</v>
      </c>
      <c r="C108" t="s">
        <v>2013</v>
      </c>
      <c r="D108" t="s">
        <v>810</v>
      </c>
      <c r="F108" t="s">
        <v>222</v>
      </c>
      <c r="G108" t="s">
        <v>498</v>
      </c>
      <c r="H108" t="s">
        <v>2014</v>
      </c>
      <c r="I108">
        <v>0.1</v>
      </c>
      <c r="J108" t="s">
        <v>134</v>
      </c>
      <c r="K108" t="s">
        <v>132</v>
      </c>
      <c r="L108" t="s">
        <v>1601</v>
      </c>
      <c r="N108" t="s">
        <v>396</v>
      </c>
      <c r="O108" t="s">
        <v>96</v>
      </c>
      <c r="P108" t="s">
        <v>137</v>
      </c>
      <c r="Q108" t="s">
        <v>2015</v>
      </c>
      <c r="R108" t="s">
        <v>646</v>
      </c>
      <c r="S108" t="s">
        <v>2016</v>
      </c>
      <c r="T108" t="s">
        <v>2017</v>
      </c>
      <c r="U108" t="s">
        <v>2018</v>
      </c>
      <c r="V108" t="s">
        <v>103</v>
      </c>
      <c r="W108" t="s">
        <v>71</v>
      </c>
      <c r="X108" t="s">
        <v>175</v>
      </c>
      <c r="Y108" t="s">
        <v>106</v>
      </c>
      <c r="Z108" t="s">
        <v>2019</v>
      </c>
      <c r="AA108" t="s">
        <v>236</v>
      </c>
      <c r="AB108" t="s">
        <v>405</v>
      </c>
      <c r="AC108">
        <v>7</v>
      </c>
      <c r="AD108">
        <v>2026</v>
      </c>
      <c r="AE108" t="s">
        <v>181</v>
      </c>
      <c r="AF108">
        <v>47</v>
      </c>
      <c r="AG108">
        <v>0.08</v>
      </c>
      <c r="AJ108" t="s">
        <v>1870</v>
      </c>
      <c r="AK108" t="s">
        <v>79</v>
      </c>
      <c r="AL108" t="s">
        <v>2020</v>
      </c>
      <c r="AM108" t="s">
        <v>2021</v>
      </c>
      <c r="AN108" t="s">
        <v>267</v>
      </c>
      <c r="AO108">
        <v>298</v>
      </c>
      <c r="AP108">
        <v>5</v>
      </c>
      <c r="AQ108" t="s">
        <v>318</v>
      </c>
      <c r="AS108" t="s">
        <v>215</v>
      </c>
      <c r="AT108" t="s">
        <v>361</v>
      </c>
      <c r="AU108" t="s">
        <v>134</v>
      </c>
      <c r="AV108" t="s">
        <v>2022</v>
      </c>
      <c r="AW108" t="s">
        <v>122</v>
      </c>
      <c r="AX108" t="s">
        <v>246</v>
      </c>
    </row>
    <row r="109" spans="1:50" x14ac:dyDescent="0.25">
      <c r="A109" t="s">
        <v>2023</v>
      </c>
      <c r="B109" t="s">
        <v>2024</v>
      </c>
      <c r="C109" t="s">
        <v>2025</v>
      </c>
      <c r="D109" t="s">
        <v>1223</v>
      </c>
      <c r="E109" t="s">
        <v>2026</v>
      </c>
      <c r="F109" t="s">
        <v>142</v>
      </c>
      <c r="G109" t="s">
        <v>1773</v>
      </c>
      <c r="H109" t="s">
        <v>2027</v>
      </c>
      <c r="I109">
        <v>0.1</v>
      </c>
      <c r="J109" t="s">
        <v>2028</v>
      </c>
      <c r="K109" t="s">
        <v>132</v>
      </c>
      <c r="L109" t="s">
        <v>2029</v>
      </c>
      <c r="M109" t="s">
        <v>2030</v>
      </c>
      <c r="N109" t="s">
        <v>417</v>
      </c>
      <c r="O109" t="s">
        <v>1122</v>
      </c>
      <c r="P109" t="s">
        <v>2031</v>
      </c>
      <c r="Q109" t="s">
        <v>2032</v>
      </c>
      <c r="R109" t="s">
        <v>1722</v>
      </c>
      <c r="S109" t="s">
        <v>2033</v>
      </c>
      <c r="T109" t="s">
        <v>2034</v>
      </c>
      <c r="U109" t="s">
        <v>163</v>
      </c>
      <c r="V109" t="s">
        <v>70</v>
      </c>
      <c r="W109" t="s">
        <v>206</v>
      </c>
      <c r="X109" t="s">
        <v>424</v>
      </c>
      <c r="Y109" t="s">
        <v>106</v>
      </c>
      <c r="Z109" t="s">
        <v>2035</v>
      </c>
      <c r="AA109" t="s">
        <v>178</v>
      </c>
      <c r="AB109" t="s">
        <v>108</v>
      </c>
      <c r="AC109" t="s">
        <v>2036</v>
      </c>
      <c r="AD109" t="s">
        <v>237</v>
      </c>
      <c r="AE109" t="s">
        <v>110</v>
      </c>
      <c r="AF109">
        <v>59</v>
      </c>
      <c r="AG109" t="s">
        <v>211</v>
      </c>
      <c r="AJ109" t="s">
        <v>2037</v>
      </c>
      <c r="AK109" t="s">
        <v>79</v>
      </c>
      <c r="AL109" t="s">
        <v>2038</v>
      </c>
      <c r="AM109">
        <v>7.92</v>
      </c>
      <c r="AN109" t="s">
        <v>186</v>
      </c>
      <c r="AO109">
        <v>271</v>
      </c>
      <c r="AQ109" t="s">
        <v>318</v>
      </c>
      <c r="AS109" t="s">
        <v>83</v>
      </c>
      <c r="AU109" t="s">
        <v>163</v>
      </c>
      <c r="AV109" t="s">
        <v>2039</v>
      </c>
      <c r="AW109" t="s">
        <v>2039</v>
      </c>
    </row>
    <row r="110" spans="1:50" x14ac:dyDescent="0.25">
      <c r="A110" t="s">
        <v>2040</v>
      </c>
      <c r="B110" t="s">
        <v>2041</v>
      </c>
      <c r="C110" t="s">
        <v>2042</v>
      </c>
      <c r="D110" t="s">
        <v>948</v>
      </c>
      <c r="E110" t="s">
        <v>2043</v>
      </c>
      <c r="F110" t="s">
        <v>56</v>
      </c>
      <c r="G110">
        <v>9</v>
      </c>
      <c r="H110" t="s">
        <v>2044</v>
      </c>
      <c r="I110">
        <v>0</v>
      </c>
      <c r="J110" t="s">
        <v>163</v>
      </c>
      <c r="K110" t="s">
        <v>59</v>
      </c>
      <c r="L110" t="s">
        <v>2045</v>
      </c>
      <c r="M110" t="s">
        <v>2046</v>
      </c>
      <c r="N110" t="s">
        <v>417</v>
      </c>
      <c r="O110" t="s">
        <v>621</v>
      </c>
      <c r="P110" t="s">
        <v>2047</v>
      </c>
      <c r="Q110" t="s">
        <v>2048</v>
      </c>
      <c r="R110" t="s">
        <v>1359</v>
      </c>
      <c r="S110" t="s">
        <v>2049</v>
      </c>
      <c r="T110" t="s">
        <v>2050</v>
      </c>
      <c r="U110" t="s">
        <v>2051</v>
      </c>
      <c r="V110" t="s">
        <v>290</v>
      </c>
      <c r="W110" t="s">
        <v>174</v>
      </c>
      <c r="X110" t="s">
        <v>233</v>
      </c>
      <c r="Y110" t="s">
        <v>337</v>
      </c>
      <c r="Z110" t="s">
        <v>2052</v>
      </c>
      <c r="AA110" t="s">
        <v>144</v>
      </c>
      <c r="AB110" t="s">
        <v>263</v>
      </c>
      <c r="AC110" t="s">
        <v>145</v>
      </c>
      <c r="AD110">
        <v>2025</v>
      </c>
      <c r="AE110" t="s">
        <v>181</v>
      </c>
      <c r="AF110" t="s">
        <v>91</v>
      </c>
      <c r="AG110" t="s">
        <v>238</v>
      </c>
      <c r="AJ110" t="s">
        <v>2053</v>
      </c>
      <c r="AK110" t="s">
        <v>240</v>
      </c>
      <c r="AL110" t="s">
        <v>2054</v>
      </c>
      <c r="AM110">
        <v>27.54</v>
      </c>
      <c r="AN110" t="s">
        <v>82</v>
      </c>
      <c r="AO110">
        <v>286</v>
      </c>
      <c r="AP110">
        <v>2</v>
      </c>
      <c r="AR110">
        <v>0</v>
      </c>
      <c r="AS110" t="s">
        <v>83</v>
      </c>
      <c r="AT110" t="s">
        <v>361</v>
      </c>
      <c r="AU110">
        <v>34.39</v>
      </c>
      <c r="AV110" t="s">
        <v>1367</v>
      </c>
      <c r="AW110" t="s">
        <v>122</v>
      </c>
      <c r="AX110" t="s">
        <v>85</v>
      </c>
    </row>
    <row r="111" spans="1:50" x14ac:dyDescent="0.25">
      <c r="A111" t="s">
        <v>2055</v>
      </c>
      <c r="B111" t="s">
        <v>2056</v>
      </c>
      <c r="C111" t="s">
        <v>2057</v>
      </c>
      <c r="D111" t="s">
        <v>578</v>
      </c>
      <c r="E111" t="s">
        <v>1209</v>
      </c>
      <c r="F111" t="s">
        <v>56</v>
      </c>
      <c r="G111" t="s">
        <v>1862</v>
      </c>
      <c r="H111" t="s">
        <v>580</v>
      </c>
      <c r="I111" t="s">
        <v>162</v>
      </c>
      <c r="J111" t="s">
        <v>91</v>
      </c>
      <c r="K111" t="s">
        <v>330</v>
      </c>
      <c r="L111" t="s">
        <v>1686</v>
      </c>
      <c r="M111" t="s">
        <v>91</v>
      </c>
      <c r="N111" t="s">
        <v>95</v>
      </c>
      <c r="O111" t="s">
        <v>1122</v>
      </c>
      <c r="P111" t="s">
        <v>2058</v>
      </c>
      <c r="Q111" t="s">
        <v>2059</v>
      </c>
      <c r="R111" t="s">
        <v>139</v>
      </c>
      <c r="S111" t="s">
        <v>2060</v>
      </c>
      <c r="T111" t="s">
        <v>2061</v>
      </c>
      <c r="U111" t="s">
        <v>2062</v>
      </c>
      <c r="V111" t="s">
        <v>70</v>
      </c>
      <c r="W111" t="s">
        <v>104</v>
      </c>
      <c r="X111" t="s">
        <v>72</v>
      </c>
      <c r="Y111" t="s">
        <v>73</v>
      </c>
      <c r="Z111" t="s">
        <v>2063</v>
      </c>
      <c r="AA111" t="s">
        <v>144</v>
      </c>
      <c r="AB111" t="s">
        <v>108</v>
      </c>
      <c r="AC111" t="s">
        <v>357</v>
      </c>
      <c r="AD111" t="s">
        <v>210</v>
      </c>
      <c r="AE111" t="s">
        <v>110</v>
      </c>
      <c r="AF111">
        <v>11</v>
      </c>
      <c r="AG111">
        <v>0.08</v>
      </c>
      <c r="AJ111">
        <v>25.38</v>
      </c>
      <c r="AK111" t="s">
        <v>183</v>
      </c>
      <c r="AL111" t="s">
        <v>2064</v>
      </c>
      <c r="AM111" t="s">
        <v>2065</v>
      </c>
      <c r="AN111" t="s">
        <v>116</v>
      </c>
      <c r="AO111">
        <v>76</v>
      </c>
      <c r="AP111">
        <v>4.5</v>
      </c>
      <c r="AQ111" t="s">
        <v>117</v>
      </c>
      <c r="AR111">
        <v>0</v>
      </c>
      <c r="AT111">
        <v>0.3</v>
      </c>
      <c r="AU111" t="s">
        <v>2066</v>
      </c>
      <c r="AV111" t="s">
        <v>2067</v>
      </c>
      <c r="AW111" t="s">
        <v>122</v>
      </c>
      <c r="AX111" t="s">
        <v>270</v>
      </c>
    </row>
    <row r="112" spans="1:50" x14ac:dyDescent="0.25">
      <c r="A112" t="s">
        <v>2068</v>
      </c>
      <c r="B112" t="s">
        <v>2069</v>
      </c>
      <c r="C112" t="s">
        <v>2070</v>
      </c>
      <c r="D112" t="s">
        <v>2071</v>
      </c>
      <c r="E112" t="s">
        <v>2072</v>
      </c>
      <c r="F112" t="s">
        <v>90</v>
      </c>
      <c r="G112" t="s">
        <v>2073</v>
      </c>
      <c r="H112" t="s">
        <v>2074</v>
      </c>
      <c r="J112" t="s">
        <v>163</v>
      </c>
      <c r="K112" t="s">
        <v>92</v>
      </c>
      <c r="L112" t="s">
        <v>1009</v>
      </c>
      <c r="M112" t="s">
        <v>91</v>
      </c>
      <c r="N112" t="s">
        <v>135</v>
      </c>
      <c r="O112" t="s">
        <v>226</v>
      </c>
      <c r="P112" t="s">
        <v>398</v>
      </c>
      <c r="Q112" t="s">
        <v>2075</v>
      </c>
      <c r="R112" t="s">
        <v>2076</v>
      </c>
      <c r="S112" t="s">
        <v>2077</v>
      </c>
      <c r="T112" t="s">
        <v>2078</v>
      </c>
      <c r="U112" t="s">
        <v>2079</v>
      </c>
      <c r="V112" t="s">
        <v>103</v>
      </c>
      <c r="W112" t="s">
        <v>71</v>
      </c>
      <c r="X112" t="s">
        <v>424</v>
      </c>
      <c r="Y112" t="s">
        <v>176</v>
      </c>
      <c r="Z112" t="s">
        <v>2080</v>
      </c>
      <c r="AA112" t="s">
        <v>75</v>
      </c>
      <c r="AB112" t="s">
        <v>405</v>
      </c>
      <c r="AC112" t="s">
        <v>447</v>
      </c>
      <c r="AD112" t="s">
        <v>237</v>
      </c>
      <c r="AE112" t="s">
        <v>181</v>
      </c>
      <c r="AF112">
        <v>44</v>
      </c>
      <c r="AG112" t="s">
        <v>111</v>
      </c>
      <c r="AJ112" t="s">
        <v>2081</v>
      </c>
      <c r="AK112" t="s">
        <v>240</v>
      </c>
      <c r="AL112" t="s">
        <v>2082</v>
      </c>
      <c r="AM112" t="s">
        <v>2083</v>
      </c>
      <c r="AN112" t="s">
        <v>82</v>
      </c>
      <c r="AO112">
        <v>190</v>
      </c>
      <c r="AP112">
        <v>4.5</v>
      </c>
      <c r="AQ112" t="s">
        <v>117</v>
      </c>
      <c r="AR112">
        <v>0</v>
      </c>
      <c r="AT112" t="s">
        <v>361</v>
      </c>
      <c r="AU112" t="s">
        <v>91</v>
      </c>
      <c r="AV112" t="s">
        <v>2084</v>
      </c>
      <c r="AW112" t="s">
        <v>122</v>
      </c>
      <c r="AX112" t="s">
        <v>270</v>
      </c>
    </row>
    <row r="113" spans="1:50" x14ac:dyDescent="0.25">
      <c r="A113" t="s">
        <v>2085</v>
      </c>
      <c r="B113" t="s">
        <v>2086</v>
      </c>
      <c r="C113" t="s">
        <v>2087</v>
      </c>
      <c r="D113" t="s">
        <v>2088</v>
      </c>
      <c r="E113" t="s">
        <v>2089</v>
      </c>
      <c r="F113" t="s">
        <v>134</v>
      </c>
      <c r="G113" t="s">
        <v>579</v>
      </c>
      <c r="H113">
        <v>801.23</v>
      </c>
      <c r="I113" t="s">
        <v>162</v>
      </c>
      <c r="J113" t="s">
        <v>2090</v>
      </c>
      <c r="K113" t="s">
        <v>330</v>
      </c>
      <c r="L113" t="s">
        <v>2029</v>
      </c>
      <c r="M113" t="s">
        <v>91</v>
      </c>
      <c r="N113" t="s">
        <v>396</v>
      </c>
      <c r="O113" t="s">
        <v>1230</v>
      </c>
      <c r="P113" t="s">
        <v>1844</v>
      </c>
      <c r="Q113" t="s">
        <v>2091</v>
      </c>
      <c r="R113" t="s">
        <v>229</v>
      </c>
      <c r="S113" t="s">
        <v>2092</v>
      </c>
      <c r="T113" t="s">
        <v>2093</v>
      </c>
      <c r="U113" t="s">
        <v>2094</v>
      </c>
      <c r="V113" t="s">
        <v>103</v>
      </c>
      <c r="W113" t="s">
        <v>726</v>
      </c>
      <c r="X113" t="s">
        <v>105</v>
      </c>
      <c r="Y113" t="s">
        <v>337</v>
      </c>
      <c r="Z113" t="s">
        <v>2095</v>
      </c>
      <c r="AA113" t="s">
        <v>19</v>
      </c>
      <c r="AB113" t="s">
        <v>179</v>
      </c>
      <c r="AC113" t="s">
        <v>1107</v>
      </c>
      <c r="AD113" t="s">
        <v>314</v>
      </c>
      <c r="AE113" t="s">
        <v>77</v>
      </c>
      <c r="AF113">
        <v>36</v>
      </c>
      <c r="AG113" t="s">
        <v>238</v>
      </c>
      <c r="AJ113" t="s">
        <v>2096</v>
      </c>
      <c r="AK113" t="s">
        <v>147</v>
      </c>
      <c r="AL113" t="s">
        <v>2097</v>
      </c>
      <c r="AM113" t="s">
        <v>2098</v>
      </c>
      <c r="AN113" t="s">
        <v>186</v>
      </c>
      <c r="AO113">
        <v>155</v>
      </c>
      <c r="AP113">
        <v>4</v>
      </c>
      <c r="AQ113" t="s">
        <v>242</v>
      </c>
      <c r="AT113" t="s">
        <v>119</v>
      </c>
      <c r="AU113" t="s">
        <v>2099</v>
      </c>
      <c r="AV113" t="s">
        <v>1872</v>
      </c>
    </row>
    <row r="114" spans="1:50" x14ac:dyDescent="0.25">
      <c r="A114" t="s">
        <v>2100</v>
      </c>
      <c r="B114" t="s">
        <v>2101</v>
      </c>
      <c r="C114" t="s">
        <v>2102</v>
      </c>
      <c r="D114" t="s">
        <v>2103</v>
      </c>
      <c r="F114" t="s">
        <v>56</v>
      </c>
      <c r="G114" t="s">
        <v>2104</v>
      </c>
      <c r="H114" t="s">
        <v>2105</v>
      </c>
      <c r="I114">
        <v>0.1</v>
      </c>
      <c r="J114" t="s">
        <v>2106</v>
      </c>
      <c r="K114" t="s">
        <v>330</v>
      </c>
      <c r="L114" t="s">
        <v>416</v>
      </c>
      <c r="M114" t="s">
        <v>2107</v>
      </c>
      <c r="N114" t="s">
        <v>417</v>
      </c>
      <c r="O114" t="s">
        <v>1566</v>
      </c>
      <c r="P114" t="s">
        <v>2108</v>
      </c>
      <c r="Q114" t="s">
        <v>2109</v>
      </c>
      <c r="R114" t="s">
        <v>142</v>
      </c>
      <c r="S114" t="s">
        <v>2110</v>
      </c>
      <c r="T114" t="s">
        <v>2111</v>
      </c>
      <c r="U114" t="s">
        <v>2112</v>
      </c>
      <c r="V114" t="s">
        <v>173</v>
      </c>
      <c r="W114" t="s">
        <v>311</v>
      </c>
      <c r="X114" t="s">
        <v>105</v>
      </c>
      <c r="Y114" t="s">
        <v>73</v>
      </c>
      <c r="Z114" t="s">
        <v>2113</v>
      </c>
      <c r="AA114" t="s">
        <v>144</v>
      </c>
      <c r="AB114" t="s">
        <v>405</v>
      </c>
      <c r="AC114" t="s">
        <v>145</v>
      </c>
      <c r="AD114" t="s">
        <v>237</v>
      </c>
      <c r="AE114" t="s">
        <v>110</v>
      </c>
      <c r="AF114">
        <v>27</v>
      </c>
      <c r="AG114">
        <v>0.08</v>
      </c>
      <c r="AJ114" t="s">
        <v>2114</v>
      </c>
      <c r="AK114" t="s">
        <v>571</v>
      </c>
      <c r="AL114" t="s">
        <v>2115</v>
      </c>
      <c r="AM114" t="s">
        <v>2116</v>
      </c>
      <c r="AN114" t="s">
        <v>82</v>
      </c>
      <c r="AO114">
        <v>267</v>
      </c>
      <c r="AP114" t="s">
        <v>214</v>
      </c>
      <c r="AQ114" t="s">
        <v>786</v>
      </c>
      <c r="AR114" t="s">
        <v>118</v>
      </c>
      <c r="AS114" t="s">
        <v>429</v>
      </c>
      <c r="AT114" t="s">
        <v>119</v>
      </c>
      <c r="AU114" t="s">
        <v>2117</v>
      </c>
      <c r="AV114" t="s">
        <v>1317</v>
      </c>
      <c r="AW114" t="s">
        <v>1697</v>
      </c>
      <c r="AX114" t="s">
        <v>85</v>
      </c>
    </row>
    <row r="115" spans="1:50" x14ac:dyDescent="0.25">
      <c r="A115" t="s">
        <v>2118</v>
      </c>
      <c r="B115" t="s">
        <v>2119</v>
      </c>
      <c r="C115" t="s">
        <v>2120</v>
      </c>
      <c r="D115" t="s">
        <v>2121</v>
      </c>
      <c r="E115" t="s">
        <v>2122</v>
      </c>
      <c r="F115" t="s">
        <v>1563</v>
      </c>
      <c r="G115" t="s">
        <v>2123</v>
      </c>
      <c r="H115" t="s">
        <v>2124</v>
      </c>
      <c r="I115" t="s">
        <v>253</v>
      </c>
      <c r="K115" t="s">
        <v>330</v>
      </c>
      <c r="L115" t="s">
        <v>642</v>
      </c>
      <c r="M115" t="s">
        <v>2125</v>
      </c>
      <c r="N115" t="s">
        <v>135</v>
      </c>
      <c r="O115" t="s">
        <v>461</v>
      </c>
      <c r="P115" t="s">
        <v>2126</v>
      </c>
      <c r="Q115" t="s">
        <v>2127</v>
      </c>
      <c r="R115" t="s">
        <v>99</v>
      </c>
      <c r="S115" t="s">
        <v>2128</v>
      </c>
      <c r="T115" t="s">
        <v>2129</v>
      </c>
      <c r="U115" t="s">
        <v>2130</v>
      </c>
      <c r="V115" t="s">
        <v>173</v>
      </c>
      <c r="W115" t="s">
        <v>174</v>
      </c>
      <c r="X115" t="s">
        <v>72</v>
      </c>
      <c r="Y115" t="s">
        <v>337</v>
      </c>
      <c r="Z115" t="s">
        <v>2131</v>
      </c>
      <c r="AA115" t="s">
        <v>144</v>
      </c>
      <c r="AB115" t="s">
        <v>528</v>
      </c>
      <c r="AC115">
        <v>6</v>
      </c>
      <c r="AD115">
        <v>2025</v>
      </c>
      <c r="AE115" t="s">
        <v>406</v>
      </c>
      <c r="AF115">
        <v>70</v>
      </c>
      <c r="AG115" t="s">
        <v>238</v>
      </c>
      <c r="AJ115">
        <v>18.84</v>
      </c>
      <c r="AK115" t="s">
        <v>183</v>
      </c>
      <c r="AL115" t="s">
        <v>2132</v>
      </c>
      <c r="AM115" t="s">
        <v>2133</v>
      </c>
      <c r="AN115" t="s">
        <v>186</v>
      </c>
      <c r="AO115">
        <v>81</v>
      </c>
      <c r="AP115">
        <v>1</v>
      </c>
      <c r="AQ115" t="s">
        <v>242</v>
      </c>
      <c r="AR115" t="s">
        <v>188</v>
      </c>
      <c r="AU115">
        <v>10.67</v>
      </c>
      <c r="AV115" t="s">
        <v>2134</v>
      </c>
      <c r="AW115" t="s">
        <v>122</v>
      </c>
      <c r="AX115" t="s">
        <v>246</v>
      </c>
    </row>
    <row r="116" spans="1:50" x14ac:dyDescent="0.25">
      <c r="A116" t="s">
        <v>2135</v>
      </c>
      <c r="B116" t="s">
        <v>2136</v>
      </c>
      <c r="C116" t="s">
        <v>2137</v>
      </c>
      <c r="D116" t="s">
        <v>1079</v>
      </c>
      <c r="E116" t="s">
        <v>2138</v>
      </c>
      <c r="F116" t="s">
        <v>1024</v>
      </c>
      <c r="G116">
        <v>32</v>
      </c>
      <c r="H116" t="s">
        <v>872</v>
      </c>
      <c r="I116" t="s">
        <v>253</v>
      </c>
      <c r="J116" t="s">
        <v>2139</v>
      </c>
      <c r="K116" t="s">
        <v>330</v>
      </c>
      <c r="L116" t="s">
        <v>395</v>
      </c>
      <c r="M116" t="s">
        <v>91</v>
      </c>
      <c r="N116" t="s">
        <v>396</v>
      </c>
      <c r="O116" t="s">
        <v>226</v>
      </c>
      <c r="P116" t="s">
        <v>2140</v>
      </c>
      <c r="Q116" t="s">
        <v>2141</v>
      </c>
      <c r="R116" t="s">
        <v>99</v>
      </c>
      <c r="S116" t="s">
        <v>2142</v>
      </c>
      <c r="T116" t="s">
        <v>2143</v>
      </c>
      <c r="U116" t="s">
        <v>91</v>
      </c>
      <c r="V116" t="s">
        <v>103</v>
      </c>
      <c r="W116" t="s">
        <v>174</v>
      </c>
      <c r="X116" t="s">
        <v>175</v>
      </c>
      <c r="Y116" t="s">
        <v>106</v>
      </c>
      <c r="Z116" t="s">
        <v>2144</v>
      </c>
      <c r="AA116" t="s">
        <v>75</v>
      </c>
      <c r="AB116" t="s">
        <v>108</v>
      </c>
      <c r="AC116" t="s">
        <v>264</v>
      </c>
      <c r="AD116" t="s">
        <v>210</v>
      </c>
      <c r="AE116" t="s">
        <v>406</v>
      </c>
      <c r="AF116">
        <v>81</v>
      </c>
      <c r="AG116">
        <v>0.08</v>
      </c>
      <c r="AJ116" t="s">
        <v>2145</v>
      </c>
      <c r="AK116" t="s">
        <v>147</v>
      </c>
      <c r="AL116" t="s">
        <v>2146</v>
      </c>
      <c r="AM116" t="s">
        <v>2147</v>
      </c>
      <c r="AN116" t="s">
        <v>82</v>
      </c>
      <c r="AO116">
        <v>376</v>
      </c>
      <c r="AP116">
        <v>1</v>
      </c>
      <c r="AR116" t="s">
        <v>319</v>
      </c>
      <c r="AT116" t="s">
        <v>361</v>
      </c>
      <c r="AU116" t="s">
        <v>134</v>
      </c>
      <c r="AV116" t="s">
        <v>2148</v>
      </c>
      <c r="AW116" t="s">
        <v>122</v>
      </c>
    </row>
    <row r="117" spans="1:50" x14ac:dyDescent="0.25">
      <c r="A117" t="s">
        <v>2149</v>
      </c>
      <c r="B117" t="s">
        <v>2150</v>
      </c>
      <c r="C117" t="s">
        <v>2151</v>
      </c>
      <c r="D117" t="s">
        <v>2152</v>
      </c>
      <c r="E117" t="s">
        <v>2153</v>
      </c>
      <c r="F117" t="s">
        <v>2154</v>
      </c>
      <c r="G117" t="s">
        <v>2155</v>
      </c>
      <c r="H117" t="s">
        <v>163</v>
      </c>
      <c r="I117">
        <v>0.1</v>
      </c>
      <c r="J117">
        <v>299.39</v>
      </c>
      <c r="K117" t="s">
        <v>330</v>
      </c>
      <c r="L117" t="s">
        <v>1498</v>
      </c>
      <c r="N117" t="s">
        <v>166</v>
      </c>
      <c r="O117" t="s">
        <v>375</v>
      </c>
      <c r="P117" t="s">
        <v>376</v>
      </c>
      <c r="Q117" t="s">
        <v>2156</v>
      </c>
      <c r="R117" t="s">
        <v>1271</v>
      </c>
      <c r="S117" t="s">
        <v>2157</v>
      </c>
      <c r="T117" t="s">
        <v>2158</v>
      </c>
      <c r="U117" t="s">
        <v>2159</v>
      </c>
      <c r="V117" t="s">
        <v>103</v>
      </c>
      <c r="W117" t="s">
        <v>174</v>
      </c>
      <c r="X117" t="s">
        <v>72</v>
      </c>
      <c r="Y117" t="s">
        <v>106</v>
      </c>
      <c r="Z117" t="s">
        <v>2160</v>
      </c>
      <c r="AA117" t="s">
        <v>75</v>
      </c>
      <c r="AB117" t="s">
        <v>108</v>
      </c>
      <c r="AC117">
        <v>7</v>
      </c>
      <c r="AD117" t="s">
        <v>314</v>
      </c>
      <c r="AE117" t="s">
        <v>110</v>
      </c>
      <c r="AG117" t="s">
        <v>111</v>
      </c>
      <c r="AJ117" t="s">
        <v>2161</v>
      </c>
      <c r="AK117" t="s">
        <v>113</v>
      </c>
      <c r="AL117" t="s">
        <v>2162</v>
      </c>
      <c r="AM117" t="s">
        <v>1677</v>
      </c>
      <c r="AN117" t="s">
        <v>82</v>
      </c>
      <c r="AO117">
        <v>484</v>
      </c>
      <c r="AQ117" t="s">
        <v>610</v>
      </c>
      <c r="AR117" t="s">
        <v>243</v>
      </c>
      <c r="AT117" t="s">
        <v>361</v>
      </c>
      <c r="AU117" t="s">
        <v>134</v>
      </c>
      <c r="AV117" t="s">
        <v>1281</v>
      </c>
      <c r="AW117" t="s">
        <v>965</v>
      </c>
      <c r="AX117" t="s">
        <v>85</v>
      </c>
    </row>
    <row r="118" spans="1:50" x14ac:dyDescent="0.25">
      <c r="A118" t="s">
        <v>1302</v>
      </c>
      <c r="B118" t="s">
        <v>1303</v>
      </c>
      <c r="C118" t="s">
        <v>1304</v>
      </c>
      <c r="D118" t="s">
        <v>456</v>
      </c>
      <c r="E118" t="s">
        <v>457</v>
      </c>
      <c r="F118" t="s">
        <v>222</v>
      </c>
      <c r="G118" t="s">
        <v>1305</v>
      </c>
      <c r="H118" t="s">
        <v>438</v>
      </c>
      <c r="I118" t="s">
        <v>162</v>
      </c>
      <c r="J118" t="s">
        <v>1306</v>
      </c>
      <c r="K118" t="s">
        <v>132</v>
      </c>
      <c r="L118" t="s">
        <v>373</v>
      </c>
      <c r="M118" t="s">
        <v>1307</v>
      </c>
      <c r="N118" t="s">
        <v>95</v>
      </c>
      <c r="O118" t="s">
        <v>226</v>
      </c>
      <c r="P118" t="s">
        <v>284</v>
      </c>
      <c r="Q118" t="s">
        <v>1308</v>
      </c>
      <c r="R118" t="s">
        <v>99</v>
      </c>
      <c r="S118" t="s">
        <v>1309</v>
      </c>
      <c r="T118" t="s">
        <v>1310</v>
      </c>
      <c r="U118" t="s">
        <v>1311</v>
      </c>
      <c r="V118" t="s">
        <v>290</v>
      </c>
      <c r="W118" t="s">
        <v>726</v>
      </c>
      <c r="X118" t="s">
        <v>105</v>
      </c>
      <c r="Y118" t="s">
        <v>337</v>
      </c>
      <c r="Z118" t="s">
        <v>1312</v>
      </c>
      <c r="AA118" t="s">
        <v>236</v>
      </c>
      <c r="AB118" t="s">
        <v>76</v>
      </c>
      <c r="AC118" t="s">
        <v>1313</v>
      </c>
      <c r="AD118">
        <v>2026</v>
      </c>
      <c r="AE118" t="s">
        <v>181</v>
      </c>
      <c r="AF118">
        <v>41</v>
      </c>
      <c r="AG118" t="s">
        <v>211</v>
      </c>
      <c r="AJ118" t="s">
        <v>1314</v>
      </c>
      <c r="AK118" t="s">
        <v>240</v>
      </c>
      <c r="AL118" t="s">
        <v>1315</v>
      </c>
      <c r="AM118" t="s">
        <v>1316</v>
      </c>
      <c r="AN118" t="s">
        <v>82</v>
      </c>
      <c r="AO118">
        <v>284</v>
      </c>
      <c r="AP118">
        <v>2</v>
      </c>
      <c r="AQ118" t="s">
        <v>786</v>
      </c>
      <c r="AR118">
        <v>1</v>
      </c>
      <c r="AS118" t="s">
        <v>215</v>
      </c>
      <c r="AT118" t="s">
        <v>119</v>
      </c>
      <c r="AV118" t="s">
        <v>1317</v>
      </c>
      <c r="AW118" t="s">
        <v>122</v>
      </c>
      <c r="AX118" t="s">
        <v>191</v>
      </c>
    </row>
    <row r="119" spans="1:50" x14ac:dyDescent="0.25">
      <c r="A119" t="s">
        <v>1715</v>
      </c>
      <c r="B119" t="s">
        <v>1716</v>
      </c>
      <c r="C119" t="s">
        <v>163</v>
      </c>
      <c r="D119" t="s">
        <v>1717</v>
      </c>
      <c r="E119" t="s">
        <v>850</v>
      </c>
      <c r="F119" t="s">
        <v>142</v>
      </c>
      <c r="G119" t="s">
        <v>1718</v>
      </c>
      <c r="H119" t="s">
        <v>1719</v>
      </c>
      <c r="I119" t="s">
        <v>58</v>
      </c>
      <c r="J119" t="s">
        <v>1720</v>
      </c>
      <c r="K119" t="s">
        <v>92</v>
      </c>
      <c r="L119" t="s">
        <v>501</v>
      </c>
      <c r="M119" t="s">
        <v>91</v>
      </c>
      <c r="N119" t="s">
        <v>396</v>
      </c>
      <c r="O119" t="s">
        <v>561</v>
      </c>
      <c r="P119" t="s">
        <v>1010</v>
      </c>
      <c r="Q119" t="s">
        <v>1721</v>
      </c>
      <c r="R119" t="s">
        <v>1722</v>
      </c>
      <c r="S119" t="s">
        <v>1723</v>
      </c>
      <c r="T119" t="s">
        <v>1724</v>
      </c>
      <c r="U119" t="s">
        <v>1725</v>
      </c>
      <c r="V119" t="s">
        <v>290</v>
      </c>
      <c r="W119" t="s">
        <v>104</v>
      </c>
      <c r="X119" t="s">
        <v>175</v>
      </c>
      <c r="Y119" t="s">
        <v>337</v>
      </c>
      <c r="Z119" t="s">
        <v>1726</v>
      </c>
      <c r="AA119" t="s">
        <v>178</v>
      </c>
      <c r="AB119" t="s">
        <v>108</v>
      </c>
      <c r="AC119" t="s">
        <v>180</v>
      </c>
      <c r="AD119">
        <v>2025</v>
      </c>
      <c r="AE119" t="s">
        <v>110</v>
      </c>
      <c r="AF119">
        <v>14</v>
      </c>
      <c r="AG119" t="s">
        <v>211</v>
      </c>
      <c r="AJ119" t="s">
        <v>1727</v>
      </c>
      <c r="AK119" t="s">
        <v>147</v>
      </c>
      <c r="AL119" t="s">
        <v>1728</v>
      </c>
      <c r="AM119" t="s">
        <v>1729</v>
      </c>
      <c r="AN119" t="s">
        <v>186</v>
      </c>
      <c r="AO119">
        <v>465</v>
      </c>
      <c r="AP119">
        <v>4</v>
      </c>
      <c r="AQ119" t="s">
        <v>318</v>
      </c>
      <c r="AR119">
        <v>0</v>
      </c>
      <c r="AU119" t="s">
        <v>1730</v>
      </c>
      <c r="AV119" t="s">
        <v>1558</v>
      </c>
      <c r="AW119" t="s">
        <v>1558</v>
      </c>
      <c r="AX119" t="s">
        <v>191</v>
      </c>
    </row>
    <row r="120" spans="1:50" x14ac:dyDescent="0.25">
      <c r="A120" t="s">
        <v>2163</v>
      </c>
      <c r="B120" t="s">
        <v>2164</v>
      </c>
      <c r="C120" t="s">
        <v>2165</v>
      </c>
      <c r="D120" t="s">
        <v>969</v>
      </c>
      <c r="E120" t="s">
        <v>2166</v>
      </c>
      <c r="F120" t="s">
        <v>56</v>
      </c>
      <c r="G120" t="s">
        <v>2104</v>
      </c>
      <c r="H120" t="s">
        <v>2167</v>
      </c>
      <c r="I120" t="s">
        <v>162</v>
      </c>
      <c r="J120" t="s">
        <v>2168</v>
      </c>
      <c r="K120" t="s">
        <v>280</v>
      </c>
      <c r="L120" t="s">
        <v>600</v>
      </c>
      <c r="M120" t="s">
        <v>282</v>
      </c>
      <c r="N120" t="s">
        <v>95</v>
      </c>
      <c r="O120" t="s">
        <v>397</v>
      </c>
      <c r="P120" t="s">
        <v>2169</v>
      </c>
      <c r="Q120" t="s">
        <v>2170</v>
      </c>
      <c r="R120" t="s">
        <v>1292</v>
      </c>
      <c r="S120" t="s">
        <v>2171</v>
      </c>
      <c r="T120" t="s">
        <v>2172</v>
      </c>
      <c r="U120" t="s">
        <v>2173</v>
      </c>
      <c r="V120" t="s">
        <v>205</v>
      </c>
      <c r="W120" t="s">
        <v>71</v>
      </c>
      <c r="X120" t="s">
        <v>72</v>
      </c>
      <c r="Y120" t="s">
        <v>176</v>
      </c>
      <c r="Z120" t="s">
        <v>2174</v>
      </c>
      <c r="AA120" t="s">
        <v>19</v>
      </c>
      <c r="AB120" t="s">
        <v>76</v>
      </c>
      <c r="AC120" t="s">
        <v>2175</v>
      </c>
      <c r="AD120">
        <v>2025</v>
      </c>
      <c r="AE120" t="s">
        <v>110</v>
      </c>
      <c r="AG120" t="s">
        <v>238</v>
      </c>
      <c r="AJ120" t="s">
        <v>2176</v>
      </c>
      <c r="AK120" t="s">
        <v>147</v>
      </c>
      <c r="AL120" t="s">
        <v>2177</v>
      </c>
      <c r="AM120" t="s">
        <v>2178</v>
      </c>
      <c r="AN120" t="s">
        <v>116</v>
      </c>
      <c r="AO120">
        <v>135</v>
      </c>
      <c r="AP120" t="s">
        <v>214</v>
      </c>
      <c r="AQ120" t="s">
        <v>117</v>
      </c>
      <c r="AS120" t="s">
        <v>83</v>
      </c>
      <c r="AU120" t="s">
        <v>2179</v>
      </c>
      <c r="AV120" t="s">
        <v>2180</v>
      </c>
      <c r="AW120" t="s">
        <v>1301</v>
      </c>
      <c r="AX120" t="s">
        <v>270</v>
      </c>
    </row>
    <row r="121" spans="1:50" x14ac:dyDescent="0.25">
      <c r="A121" t="s">
        <v>2181</v>
      </c>
      <c r="B121" t="s">
        <v>2182</v>
      </c>
      <c r="C121" t="s">
        <v>2183</v>
      </c>
      <c r="D121" t="s">
        <v>2184</v>
      </c>
      <c r="E121" t="s">
        <v>2185</v>
      </c>
      <c r="F121" t="s">
        <v>1861</v>
      </c>
      <c r="G121" t="s">
        <v>480</v>
      </c>
      <c r="H121" t="s">
        <v>1703</v>
      </c>
      <c r="I121" t="s">
        <v>58</v>
      </c>
      <c r="J121" t="s">
        <v>2186</v>
      </c>
      <c r="K121" t="s">
        <v>330</v>
      </c>
      <c r="L121" t="s">
        <v>1480</v>
      </c>
      <c r="M121" t="s">
        <v>2187</v>
      </c>
      <c r="N121" t="s">
        <v>135</v>
      </c>
      <c r="O121" t="s">
        <v>332</v>
      </c>
      <c r="P121" t="s">
        <v>2188</v>
      </c>
      <c r="Q121" t="s">
        <v>2189</v>
      </c>
      <c r="R121" t="s">
        <v>2076</v>
      </c>
      <c r="S121" t="s">
        <v>2190</v>
      </c>
      <c r="T121" t="s">
        <v>2191</v>
      </c>
      <c r="U121" t="s">
        <v>2192</v>
      </c>
      <c r="V121" t="s">
        <v>290</v>
      </c>
      <c r="W121" t="s">
        <v>174</v>
      </c>
      <c r="X121" t="s">
        <v>72</v>
      </c>
      <c r="Y121" t="s">
        <v>234</v>
      </c>
      <c r="Z121" t="s">
        <v>2193</v>
      </c>
      <c r="AA121" t="s">
        <v>75</v>
      </c>
      <c r="AB121" t="s">
        <v>76</v>
      </c>
      <c r="AC121" t="s">
        <v>109</v>
      </c>
      <c r="AD121" t="s">
        <v>314</v>
      </c>
      <c r="AE121" t="s">
        <v>406</v>
      </c>
      <c r="AF121">
        <v>43</v>
      </c>
      <c r="AG121">
        <v>0.08</v>
      </c>
      <c r="AJ121">
        <v>19.079999999999998</v>
      </c>
      <c r="AK121" t="s">
        <v>240</v>
      </c>
      <c r="AL121" t="s">
        <v>2194</v>
      </c>
      <c r="AM121" t="s">
        <v>2195</v>
      </c>
      <c r="AN121" t="s">
        <v>186</v>
      </c>
      <c r="AO121">
        <v>201</v>
      </c>
      <c r="AQ121" t="s">
        <v>242</v>
      </c>
      <c r="AR121" t="s">
        <v>188</v>
      </c>
      <c r="AT121" t="s">
        <v>119</v>
      </c>
      <c r="AU121" t="s">
        <v>2196</v>
      </c>
      <c r="AV121" t="s">
        <v>2197</v>
      </c>
      <c r="AW121" t="s">
        <v>343</v>
      </c>
      <c r="AX121" t="s">
        <v>270</v>
      </c>
    </row>
    <row r="122" spans="1:50" x14ac:dyDescent="0.25">
      <c r="A122" t="s">
        <v>2198</v>
      </c>
      <c r="B122" t="s">
        <v>2199</v>
      </c>
      <c r="C122" t="s">
        <v>2200</v>
      </c>
      <c r="D122" t="s">
        <v>2201</v>
      </c>
      <c r="E122" t="s">
        <v>479</v>
      </c>
      <c r="F122" t="s">
        <v>2202</v>
      </c>
      <c r="G122" t="s">
        <v>1322</v>
      </c>
      <c r="H122" t="s">
        <v>852</v>
      </c>
      <c r="I122" t="s">
        <v>162</v>
      </c>
      <c r="J122" t="s">
        <v>142</v>
      </c>
      <c r="K122" t="s">
        <v>280</v>
      </c>
      <c r="L122" t="s">
        <v>2203</v>
      </c>
      <c r="M122" t="s">
        <v>513</v>
      </c>
      <c r="N122" t="s">
        <v>62</v>
      </c>
      <c r="O122" t="s">
        <v>461</v>
      </c>
      <c r="P122" t="s">
        <v>2204</v>
      </c>
      <c r="Q122" t="s">
        <v>2205</v>
      </c>
      <c r="R122" t="s">
        <v>1359</v>
      </c>
      <c r="S122" t="s">
        <v>2206</v>
      </c>
      <c r="T122" t="s">
        <v>2207</v>
      </c>
      <c r="U122" t="s">
        <v>2208</v>
      </c>
      <c r="V122" t="s">
        <v>290</v>
      </c>
      <c r="W122" t="s">
        <v>104</v>
      </c>
      <c r="X122" t="s">
        <v>72</v>
      </c>
      <c r="Y122" t="s">
        <v>118</v>
      </c>
      <c r="Z122" t="s">
        <v>2209</v>
      </c>
      <c r="AA122" t="s">
        <v>178</v>
      </c>
      <c r="AB122" t="s">
        <v>108</v>
      </c>
      <c r="AC122" t="s">
        <v>1313</v>
      </c>
      <c r="AD122">
        <v>2026</v>
      </c>
      <c r="AE122" t="s">
        <v>406</v>
      </c>
      <c r="AF122">
        <v>14</v>
      </c>
      <c r="AG122" t="s">
        <v>211</v>
      </c>
      <c r="AJ122" t="s">
        <v>2210</v>
      </c>
      <c r="AK122" t="s">
        <v>113</v>
      </c>
      <c r="AL122" t="s">
        <v>2211</v>
      </c>
      <c r="AM122" t="s">
        <v>2212</v>
      </c>
      <c r="AN122" t="s">
        <v>150</v>
      </c>
      <c r="AO122">
        <v>241</v>
      </c>
      <c r="AP122">
        <v>1</v>
      </c>
      <c r="AQ122" t="s">
        <v>117</v>
      </c>
      <c r="AR122" t="s">
        <v>118</v>
      </c>
      <c r="AT122" t="s">
        <v>152</v>
      </c>
      <c r="AV122" t="s">
        <v>2213</v>
      </c>
      <c r="AX122" t="s">
        <v>270</v>
      </c>
    </row>
    <row r="123" spans="1:50" x14ac:dyDescent="0.25">
      <c r="A123" t="s">
        <v>2214</v>
      </c>
      <c r="B123" t="s">
        <v>2215</v>
      </c>
      <c r="C123" t="s">
        <v>2216</v>
      </c>
      <c r="D123" t="s">
        <v>2217</v>
      </c>
      <c r="E123" t="s">
        <v>2218</v>
      </c>
      <c r="F123" t="s">
        <v>2219</v>
      </c>
      <c r="G123" t="s">
        <v>2220</v>
      </c>
      <c r="H123">
        <v>978.15</v>
      </c>
      <c r="I123">
        <v>0.1</v>
      </c>
      <c r="J123" t="s">
        <v>2221</v>
      </c>
      <c r="K123" t="s">
        <v>92</v>
      </c>
      <c r="L123" t="s">
        <v>197</v>
      </c>
      <c r="M123" t="s">
        <v>2222</v>
      </c>
      <c r="N123" t="s">
        <v>135</v>
      </c>
      <c r="O123" t="s">
        <v>954</v>
      </c>
      <c r="P123" t="s">
        <v>2223</v>
      </c>
      <c r="Q123" t="s">
        <v>2224</v>
      </c>
      <c r="R123" t="s">
        <v>400</v>
      </c>
      <c r="S123" t="s">
        <v>2225</v>
      </c>
      <c r="T123" t="s">
        <v>2226</v>
      </c>
      <c r="U123" t="s">
        <v>2227</v>
      </c>
      <c r="V123" t="s">
        <v>290</v>
      </c>
      <c r="W123" t="s">
        <v>104</v>
      </c>
      <c r="X123" t="s">
        <v>72</v>
      </c>
      <c r="Y123" t="s">
        <v>234</v>
      </c>
      <c r="Z123" t="s">
        <v>2228</v>
      </c>
      <c r="AA123" t="s">
        <v>19</v>
      </c>
      <c r="AB123" t="s">
        <v>528</v>
      </c>
      <c r="AC123" t="s">
        <v>1313</v>
      </c>
      <c r="AD123" t="s">
        <v>237</v>
      </c>
      <c r="AE123" t="s">
        <v>406</v>
      </c>
      <c r="AF123">
        <v>88</v>
      </c>
      <c r="AG123" t="s">
        <v>111</v>
      </c>
      <c r="AJ123" t="s">
        <v>2229</v>
      </c>
      <c r="AK123" t="s">
        <v>79</v>
      </c>
      <c r="AL123" t="s">
        <v>2230</v>
      </c>
      <c r="AM123" t="s">
        <v>2231</v>
      </c>
      <c r="AN123" t="s">
        <v>150</v>
      </c>
      <c r="AO123">
        <v>185</v>
      </c>
      <c r="AP123">
        <v>1</v>
      </c>
      <c r="AQ123" t="s">
        <v>318</v>
      </c>
      <c r="AR123" t="s">
        <v>319</v>
      </c>
      <c r="AS123" t="s">
        <v>429</v>
      </c>
      <c r="AT123" t="s">
        <v>119</v>
      </c>
      <c r="AU123" t="s">
        <v>142</v>
      </c>
      <c r="AV123" t="s">
        <v>2232</v>
      </c>
      <c r="AW123" t="s">
        <v>1113</v>
      </c>
      <c r="AX123" t="s">
        <v>85</v>
      </c>
    </row>
    <row r="124" spans="1:50" x14ac:dyDescent="0.25">
      <c r="A124" t="s">
        <v>2233</v>
      </c>
      <c r="B124" t="s">
        <v>2234</v>
      </c>
      <c r="C124" t="s">
        <v>2235</v>
      </c>
      <c r="D124" t="s">
        <v>325</v>
      </c>
      <c r="E124" t="s">
        <v>2236</v>
      </c>
      <c r="F124" t="s">
        <v>1225</v>
      </c>
      <c r="G124">
        <v>32</v>
      </c>
      <c r="H124" t="s">
        <v>2237</v>
      </c>
      <c r="I124">
        <v>0.1</v>
      </c>
      <c r="J124" t="s">
        <v>2238</v>
      </c>
      <c r="K124" t="s">
        <v>92</v>
      </c>
      <c r="L124" t="s">
        <v>60</v>
      </c>
      <c r="M124" t="s">
        <v>2239</v>
      </c>
      <c r="N124" t="s">
        <v>135</v>
      </c>
      <c r="O124" t="s">
        <v>136</v>
      </c>
      <c r="P124" t="s">
        <v>1269</v>
      </c>
      <c r="Q124" t="s">
        <v>2240</v>
      </c>
      <c r="R124" t="s">
        <v>1232</v>
      </c>
      <c r="S124" t="s">
        <v>2241</v>
      </c>
      <c r="T124" t="s">
        <v>2242</v>
      </c>
      <c r="U124" t="s">
        <v>2243</v>
      </c>
      <c r="V124" t="s">
        <v>103</v>
      </c>
      <c r="W124" t="s">
        <v>206</v>
      </c>
      <c r="X124" t="s">
        <v>424</v>
      </c>
      <c r="Y124" t="s">
        <v>118</v>
      </c>
      <c r="Z124" t="s">
        <v>2244</v>
      </c>
      <c r="AA124" t="s">
        <v>236</v>
      </c>
      <c r="AB124" t="s">
        <v>108</v>
      </c>
      <c r="AC124" t="s">
        <v>145</v>
      </c>
      <c r="AD124" t="s">
        <v>210</v>
      </c>
      <c r="AE124" t="s">
        <v>110</v>
      </c>
      <c r="AG124">
        <v>0.08</v>
      </c>
      <c r="AJ124" t="s">
        <v>2245</v>
      </c>
      <c r="AK124" t="s">
        <v>571</v>
      </c>
      <c r="AL124" t="s">
        <v>2246</v>
      </c>
      <c r="AM124">
        <v>22.51</v>
      </c>
      <c r="AN124" t="s">
        <v>267</v>
      </c>
      <c r="AO124">
        <v>356</v>
      </c>
      <c r="AP124">
        <v>4.5</v>
      </c>
      <c r="AQ124" t="s">
        <v>786</v>
      </c>
      <c r="AR124" t="s">
        <v>319</v>
      </c>
      <c r="AT124" t="s">
        <v>119</v>
      </c>
      <c r="AU124" t="s">
        <v>2247</v>
      </c>
      <c r="AV124" t="s">
        <v>2248</v>
      </c>
      <c r="AW124" t="s">
        <v>122</v>
      </c>
    </row>
    <row r="125" spans="1:50" x14ac:dyDescent="0.25">
      <c r="A125" t="s">
        <v>2249</v>
      </c>
      <c r="B125" t="s">
        <v>2250</v>
      </c>
      <c r="C125" t="s">
        <v>2251</v>
      </c>
      <c r="D125" t="s">
        <v>1578</v>
      </c>
      <c r="E125" t="s">
        <v>1579</v>
      </c>
      <c r="F125" t="s">
        <v>1563</v>
      </c>
      <c r="G125" t="s">
        <v>776</v>
      </c>
      <c r="H125" t="s">
        <v>142</v>
      </c>
      <c r="I125" t="s">
        <v>253</v>
      </c>
      <c r="K125" t="s">
        <v>59</v>
      </c>
      <c r="L125" t="s">
        <v>932</v>
      </c>
      <c r="M125" t="s">
        <v>163</v>
      </c>
      <c r="N125" t="s">
        <v>396</v>
      </c>
      <c r="O125" t="s">
        <v>226</v>
      </c>
      <c r="P125" t="s">
        <v>418</v>
      </c>
      <c r="Q125" t="s">
        <v>2252</v>
      </c>
      <c r="R125" t="s">
        <v>2253</v>
      </c>
      <c r="S125" t="s">
        <v>2254</v>
      </c>
      <c r="T125" t="s">
        <v>2255</v>
      </c>
      <c r="U125" t="s">
        <v>2256</v>
      </c>
      <c r="V125" t="s">
        <v>173</v>
      </c>
      <c r="W125" t="s">
        <v>104</v>
      </c>
      <c r="X125" t="s">
        <v>424</v>
      </c>
      <c r="Y125" t="s">
        <v>234</v>
      </c>
      <c r="Z125" t="s">
        <v>2257</v>
      </c>
      <c r="AA125" t="s">
        <v>19</v>
      </c>
      <c r="AB125" t="s">
        <v>179</v>
      </c>
      <c r="AC125" t="s">
        <v>209</v>
      </c>
      <c r="AD125">
        <v>2025</v>
      </c>
      <c r="AE125" t="s">
        <v>181</v>
      </c>
      <c r="AF125">
        <v>14</v>
      </c>
      <c r="AG125" t="s">
        <v>238</v>
      </c>
      <c r="AJ125">
        <v>11.97</v>
      </c>
      <c r="AK125" t="s">
        <v>147</v>
      </c>
      <c r="AL125" t="s">
        <v>2258</v>
      </c>
      <c r="AM125" t="s">
        <v>2259</v>
      </c>
      <c r="AN125" t="s">
        <v>82</v>
      </c>
      <c r="AO125">
        <v>476</v>
      </c>
      <c r="AP125">
        <v>4</v>
      </c>
      <c r="AQ125" t="s">
        <v>786</v>
      </c>
      <c r="AR125" t="s">
        <v>319</v>
      </c>
      <c r="AS125" t="s">
        <v>429</v>
      </c>
      <c r="AT125" t="s">
        <v>361</v>
      </c>
      <c r="AU125" t="s">
        <v>2260</v>
      </c>
      <c r="AV125" t="s">
        <v>2261</v>
      </c>
      <c r="AW125" t="s">
        <v>1019</v>
      </c>
      <c r="AX125" t="s">
        <v>85</v>
      </c>
    </row>
    <row r="126" spans="1:50" x14ac:dyDescent="0.25">
      <c r="A126" t="s">
        <v>2262</v>
      </c>
      <c r="B126" t="s">
        <v>2263</v>
      </c>
      <c r="C126" t="s">
        <v>134</v>
      </c>
      <c r="D126" t="s">
        <v>2264</v>
      </c>
      <c r="E126" t="s">
        <v>2265</v>
      </c>
      <c r="F126" t="s">
        <v>928</v>
      </c>
      <c r="G126" t="s">
        <v>2266</v>
      </c>
      <c r="H126" t="s">
        <v>2267</v>
      </c>
      <c r="I126" t="s">
        <v>58</v>
      </c>
      <c r="J126" t="s">
        <v>2268</v>
      </c>
      <c r="K126" t="s">
        <v>92</v>
      </c>
      <c r="L126" t="s">
        <v>2269</v>
      </c>
      <c r="M126" t="s">
        <v>2270</v>
      </c>
      <c r="N126" t="s">
        <v>62</v>
      </c>
      <c r="O126" t="s">
        <v>136</v>
      </c>
      <c r="P126" t="s">
        <v>137</v>
      </c>
      <c r="Q126" t="s">
        <v>2271</v>
      </c>
      <c r="R126" t="s">
        <v>378</v>
      </c>
      <c r="S126" t="s">
        <v>2272</v>
      </c>
      <c r="T126" t="s">
        <v>2273</v>
      </c>
      <c r="U126" t="s">
        <v>2274</v>
      </c>
      <c r="V126" t="s">
        <v>70</v>
      </c>
      <c r="W126" t="s">
        <v>726</v>
      </c>
      <c r="X126" t="s">
        <v>175</v>
      </c>
      <c r="Y126" t="s">
        <v>106</v>
      </c>
      <c r="Z126" t="s">
        <v>2275</v>
      </c>
      <c r="AA126" t="s">
        <v>144</v>
      </c>
      <c r="AB126" t="s">
        <v>405</v>
      </c>
      <c r="AC126" t="s">
        <v>264</v>
      </c>
      <c r="AD126">
        <v>2026</v>
      </c>
      <c r="AE126" t="s">
        <v>110</v>
      </c>
      <c r="AG126" t="s">
        <v>111</v>
      </c>
      <c r="AJ126" t="s">
        <v>2276</v>
      </c>
      <c r="AK126" t="s">
        <v>113</v>
      </c>
      <c r="AL126" t="s">
        <v>2277</v>
      </c>
      <c r="AM126">
        <v>22.08</v>
      </c>
      <c r="AN126" t="s">
        <v>116</v>
      </c>
      <c r="AO126">
        <v>71</v>
      </c>
      <c r="AQ126" t="s">
        <v>242</v>
      </c>
      <c r="AS126" t="s">
        <v>83</v>
      </c>
      <c r="AT126" t="s">
        <v>361</v>
      </c>
      <c r="AU126" t="s">
        <v>2278</v>
      </c>
      <c r="AV126" t="s">
        <v>2279</v>
      </c>
      <c r="AW126" t="s">
        <v>2280</v>
      </c>
    </row>
    <row r="127" spans="1:50" x14ac:dyDescent="0.25">
      <c r="A127" t="s">
        <v>2281</v>
      </c>
      <c r="B127" t="s">
        <v>2282</v>
      </c>
      <c r="C127" t="s">
        <v>774</v>
      </c>
      <c r="D127" t="s">
        <v>676</v>
      </c>
      <c r="E127" t="s">
        <v>2283</v>
      </c>
      <c r="F127" t="s">
        <v>91</v>
      </c>
      <c r="G127">
        <v>14</v>
      </c>
      <c r="H127">
        <v>1313.33</v>
      </c>
      <c r="J127" t="s">
        <v>163</v>
      </c>
      <c r="K127" t="s">
        <v>280</v>
      </c>
      <c r="L127" t="s">
        <v>2284</v>
      </c>
      <c r="N127" t="s">
        <v>396</v>
      </c>
      <c r="O127" t="s">
        <v>777</v>
      </c>
      <c r="P127" t="s">
        <v>2285</v>
      </c>
      <c r="Q127" t="s">
        <v>2286</v>
      </c>
      <c r="R127" t="s">
        <v>722</v>
      </c>
      <c r="S127" t="s">
        <v>2287</v>
      </c>
      <c r="T127" t="s">
        <v>2288</v>
      </c>
      <c r="U127" t="s">
        <v>2289</v>
      </c>
      <c r="V127" t="s">
        <v>173</v>
      </c>
      <c r="W127" t="s">
        <v>311</v>
      </c>
      <c r="X127" t="s">
        <v>175</v>
      </c>
      <c r="Y127" t="s">
        <v>118</v>
      </c>
      <c r="Z127" t="s">
        <v>2290</v>
      </c>
      <c r="AA127" t="s">
        <v>75</v>
      </c>
      <c r="AB127" t="s">
        <v>528</v>
      </c>
      <c r="AC127" t="s">
        <v>766</v>
      </c>
      <c r="AD127">
        <v>2025</v>
      </c>
      <c r="AE127" t="s">
        <v>110</v>
      </c>
      <c r="AF127">
        <v>16</v>
      </c>
      <c r="AG127" t="s">
        <v>111</v>
      </c>
      <c r="AJ127" t="s">
        <v>2291</v>
      </c>
      <c r="AK127" t="s">
        <v>571</v>
      </c>
      <c r="AL127" t="s">
        <v>2292</v>
      </c>
      <c r="AM127">
        <v>12.3</v>
      </c>
      <c r="AN127" t="s">
        <v>186</v>
      </c>
      <c r="AO127">
        <v>408</v>
      </c>
      <c r="AQ127" t="s">
        <v>610</v>
      </c>
      <c r="AR127" t="s">
        <v>188</v>
      </c>
      <c r="AT127" t="s">
        <v>119</v>
      </c>
      <c r="AU127" t="s">
        <v>2293</v>
      </c>
      <c r="AV127" t="s">
        <v>2294</v>
      </c>
      <c r="AX127" t="s">
        <v>191</v>
      </c>
    </row>
    <row r="128" spans="1:50" x14ac:dyDescent="0.25">
      <c r="A128" t="s">
        <v>2295</v>
      </c>
      <c r="B128" t="s">
        <v>2296</v>
      </c>
      <c r="C128" t="s">
        <v>2297</v>
      </c>
      <c r="D128" t="s">
        <v>2298</v>
      </c>
      <c r="E128" t="s">
        <v>2299</v>
      </c>
      <c r="F128" t="s">
        <v>2300</v>
      </c>
      <c r="G128" t="s">
        <v>2301</v>
      </c>
      <c r="H128" t="s">
        <v>2302</v>
      </c>
      <c r="J128" t="s">
        <v>2303</v>
      </c>
      <c r="K128" t="s">
        <v>280</v>
      </c>
      <c r="L128" t="s">
        <v>2304</v>
      </c>
      <c r="M128" t="s">
        <v>2305</v>
      </c>
      <c r="N128" t="s">
        <v>417</v>
      </c>
      <c r="O128" t="s">
        <v>854</v>
      </c>
      <c r="P128" t="s">
        <v>2306</v>
      </c>
      <c r="Q128" t="s">
        <v>2307</v>
      </c>
      <c r="R128" t="s">
        <v>201</v>
      </c>
      <c r="S128" t="s">
        <v>2308</v>
      </c>
      <c r="T128" t="s">
        <v>2309</v>
      </c>
      <c r="U128" t="s">
        <v>2310</v>
      </c>
      <c r="V128" t="s">
        <v>173</v>
      </c>
      <c r="W128" t="s">
        <v>726</v>
      </c>
      <c r="X128" t="s">
        <v>105</v>
      </c>
      <c r="Y128" t="s">
        <v>176</v>
      </c>
      <c r="Z128" t="s">
        <v>2311</v>
      </c>
      <c r="AA128" t="s">
        <v>178</v>
      </c>
      <c r="AB128" t="s">
        <v>405</v>
      </c>
      <c r="AC128">
        <v>2</v>
      </c>
      <c r="AD128">
        <v>2026</v>
      </c>
      <c r="AE128" t="s">
        <v>77</v>
      </c>
      <c r="AF128">
        <v>37</v>
      </c>
      <c r="AG128" t="s">
        <v>211</v>
      </c>
      <c r="AJ128" t="s">
        <v>2312</v>
      </c>
      <c r="AK128" t="s">
        <v>113</v>
      </c>
      <c r="AL128" t="s">
        <v>2313</v>
      </c>
      <c r="AM128" t="s">
        <v>2314</v>
      </c>
      <c r="AN128" t="s">
        <v>267</v>
      </c>
      <c r="AO128">
        <v>385</v>
      </c>
      <c r="AP128">
        <v>4</v>
      </c>
      <c r="AQ128" t="s">
        <v>318</v>
      </c>
      <c r="AR128" t="s">
        <v>188</v>
      </c>
      <c r="AS128" t="s">
        <v>83</v>
      </c>
      <c r="AT128" t="s">
        <v>361</v>
      </c>
      <c r="AU128" t="s">
        <v>163</v>
      </c>
      <c r="AV128" t="s">
        <v>2315</v>
      </c>
      <c r="AX128" t="s">
        <v>246</v>
      </c>
    </row>
    <row r="129" spans="1:50" x14ac:dyDescent="0.25">
      <c r="A129" t="s">
        <v>2316</v>
      </c>
      <c r="B129" t="s">
        <v>2317</v>
      </c>
      <c r="C129" t="s">
        <v>2318</v>
      </c>
      <c r="D129" t="s">
        <v>2319</v>
      </c>
      <c r="E129" t="s">
        <v>2026</v>
      </c>
      <c r="F129" t="s">
        <v>928</v>
      </c>
      <c r="G129" t="s">
        <v>2320</v>
      </c>
      <c r="H129">
        <v>823.88</v>
      </c>
      <c r="I129" t="s">
        <v>58</v>
      </c>
      <c r="J129" t="s">
        <v>2321</v>
      </c>
      <c r="K129" t="s">
        <v>280</v>
      </c>
      <c r="L129" t="s">
        <v>560</v>
      </c>
      <c r="M129" t="s">
        <v>719</v>
      </c>
      <c r="N129" t="s">
        <v>135</v>
      </c>
      <c r="O129" t="s">
        <v>543</v>
      </c>
      <c r="P129" t="s">
        <v>2322</v>
      </c>
      <c r="Q129" t="s">
        <v>2323</v>
      </c>
      <c r="R129" t="s">
        <v>1359</v>
      </c>
      <c r="S129" t="s">
        <v>2324</v>
      </c>
      <c r="T129" t="s">
        <v>2325</v>
      </c>
      <c r="U129" t="s">
        <v>2326</v>
      </c>
      <c r="V129" t="s">
        <v>103</v>
      </c>
      <c r="W129" t="s">
        <v>71</v>
      </c>
      <c r="X129" t="s">
        <v>233</v>
      </c>
      <c r="Y129" t="s">
        <v>234</v>
      </c>
      <c r="Z129" t="s">
        <v>2327</v>
      </c>
      <c r="AA129" t="s">
        <v>144</v>
      </c>
      <c r="AB129" t="s">
        <v>108</v>
      </c>
      <c r="AC129">
        <v>6</v>
      </c>
      <c r="AD129" t="s">
        <v>210</v>
      </c>
      <c r="AE129" t="s">
        <v>77</v>
      </c>
      <c r="AF129">
        <v>50</v>
      </c>
      <c r="AG129" t="s">
        <v>111</v>
      </c>
      <c r="AJ129" t="s">
        <v>2328</v>
      </c>
      <c r="AK129" t="s">
        <v>79</v>
      </c>
      <c r="AL129" t="s">
        <v>2329</v>
      </c>
      <c r="AM129" t="s">
        <v>2330</v>
      </c>
      <c r="AN129" t="s">
        <v>116</v>
      </c>
      <c r="AO129">
        <v>494</v>
      </c>
      <c r="AP129">
        <v>4</v>
      </c>
      <c r="AQ129" t="s">
        <v>151</v>
      </c>
      <c r="AR129" t="s">
        <v>188</v>
      </c>
      <c r="AS129" t="s">
        <v>429</v>
      </c>
      <c r="AU129" t="s">
        <v>2331</v>
      </c>
      <c r="AV129" t="s">
        <v>1367</v>
      </c>
      <c r="AX129" t="s">
        <v>85</v>
      </c>
    </row>
    <row r="130" spans="1:50" x14ac:dyDescent="0.25">
      <c r="A130" t="s">
        <v>2332</v>
      </c>
      <c r="B130" t="s">
        <v>2333</v>
      </c>
      <c r="C130" t="s">
        <v>2334</v>
      </c>
      <c r="D130" t="s">
        <v>2335</v>
      </c>
      <c r="E130" t="s">
        <v>2336</v>
      </c>
      <c r="F130" t="s">
        <v>2337</v>
      </c>
      <c r="G130" t="s">
        <v>2338</v>
      </c>
      <c r="H130" t="s">
        <v>1666</v>
      </c>
      <c r="I130" t="s">
        <v>162</v>
      </c>
      <c r="J130" t="s">
        <v>163</v>
      </c>
      <c r="K130" t="s">
        <v>92</v>
      </c>
      <c r="L130" t="s">
        <v>1498</v>
      </c>
      <c r="M130" t="s">
        <v>2339</v>
      </c>
      <c r="N130" t="s">
        <v>135</v>
      </c>
      <c r="O130" t="s">
        <v>136</v>
      </c>
      <c r="P130" t="s">
        <v>2340</v>
      </c>
      <c r="Q130" t="s">
        <v>2341</v>
      </c>
      <c r="R130" t="s">
        <v>876</v>
      </c>
      <c r="S130" t="s">
        <v>2342</v>
      </c>
      <c r="T130" t="s">
        <v>2343</v>
      </c>
      <c r="U130" t="s">
        <v>2344</v>
      </c>
      <c r="V130" t="s">
        <v>70</v>
      </c>
      <c r="W130" t="s">
        <v>206</v>
      </c>
      <c r="X130" t="s">
        <v>424</v>
      </c>
      <c r="Y130" t="s">
        <v>234</v>
      </c>
      <c r="Z130" t="s">
        <v>2345</v>
      </c>
      <c r="AA130" t="s">
        <v>144</v>
      </c>
      <c r="AB130" t="s">
        <v>108</v>
      </c>
      <c r="AC130" t="s">
        <v>180</v>
      </c>
      <c r="AD130">
        <v>2025</v>
      </c>
      <c r="AE130" t="s">
        <v>406</v>
      </c>
      <c r="AF130">
        <v>76</v>
      </c>
      <c r="AG130">
        <v>0.08</v>
      </c>
      <c r="AJ130" t="s">
        <v>2346</v>
      </c>
      <c r="AK130" t="s">
        <v>183</v>
      </c>
      <c r="AL130" t="s">
        <v>2347</v>
      </c>
      <c r="AM130" t="s">
        <v>2348</v>
      </c>
      <c r="AN130" t="s">
        <v>82</v>
      </c>
      <c r="AO130">
        <v>259</v>
      </c>
      <c r="AP130">
        <v>2</v>
      </c>
      <c r="AQ130" t="s">
        <v>318</v>
      </c>
      <c r="AR130">
        <v>0</v>
      </c>
      <c r="AS130" t="s">
        <v>215</v>
      </c>
      <c r="AU130" t="s">
        <v>163</v>
      </c>
      <c r="AV130" t="s">
        <v>2349</v>
      </c>
      <c r="AW130" t="s">
        <v>944</v>
      </c>
      <c r="AX130" t="s">
        <v>246</v>
      </c>
    </row>
    <row r="131" spans="1:50" x14ac:dyDescent="0.25">
      <c r="A131" t="s">
        <v>2350</v>
      </c>
      <c r="B131" t="s">
        <v>2351</v>
      </c>
      <c r="C131" t="s">
        <v>2352</v>
      </c>
      <c r="D131" t="s">
        <v>2353</v>
      </c>
      <c r="E131" t="s">
        <v>2354</v>
      </c>
      <c r="F131" t="s">
        <v>2355</v>
      </c>
      <c r="G131" t="s">
        <v>2356</v>
      </c>
      <c r="H131" t="s">
        <v>134</v>
      </c>
      <c r="I131">
        <v>0.1</v>
      </c>
      <c r="J131" t="s">
        <v>2357</v>
      </c>
      <c r="K131" t="s">
        <v>59</v>
      </c>
      <c r="L131" t="s">
        <v>1175</v>
      </c>
      <c r="M131" t="s">
        <v>1785</v>
      </c>
      <c r="N131" t="s">
        <v>396</v>
      </c>
      <c r="O131" t="s">
        <v>461</v>
      </c>
      <c r="P131" t="s">
        <v>2358</v>
      </c>
      <c r="Q131" t="s">
        <v>2359</v>
      </c>
      <c r="R131" t="s">
        <v>1815</v>
      </c>
      <c r="S131" t="s">
        <v>2360</v>
      </c>
      <c r="T131" t="s">
        <v>2361</v>
      </c>
      <c r="U131" t="s">
        <v>2362</v>
      </c>
      <c r="V131" t="s">
        <v>205</v>
      </c>
      <c r="W131" t="s">
        <v>71</v>
      </c>
      <c r="X131" t="s">
        <v>175</v>
      </c>
      <c r="Y131" t="s">
        <v>106</v>
      </c>
      <c r="Z131" t="s">
        <v>2363</v>
      </c>
      <c r="AA131" t="s">
        <v>19</v>
      </c>
      <c r="AB131" t="s">
        <v>528</v>
      </c>
      <c r="AC131" t="s">
        <v>1107</v>
      </c>
      <c r="AD131">
        <v>2025</v>
      </c>
      <c r="AE131" t="s">
        <v>406</v>
      </c>
      <c r="AG131" t="s">
        <v>238</v>
      </c>
      <c r="AJ131" t="s">
        <v>2364</v>
      </c>
      <c r="AK131" t="s">
        <v>240</v>
      </c>
      <c r="AL131" t="s">
        <v>2365</v>
      </c>
      <c r="AM131" t="s">
        <v>2366</v>
      </c>
      <c r="AN131" t="s">
        <v>150</v>
      </c>
      <c r="AO131">
        <v>473</v>
      </c>
      <c r="AQ131" t="s">
        <v>117</v>
      </c>
      <c r="AR131" t="s">
        <v>118</v>
      </c>
      <c r="AS131" t="s">
        <v>429</v>
      </c>
      <c r="AT131" t="s">
        <v>119</v>
      </c>
      <c r="AU131" t="s">
        <v>2367</v>
      </c>
      <c r="AV131" t="s">
        <v>2368</v>
      </c>
      <c r="AW131" t="s">
        <v>1113</v>
      </c>
      <c r="AX131" t="s">
        <v>85</v>
      </c>
    </row>
    <row r="132" spans="1:50" x14ac:dyDescent="0.25">
      <c r="A132" t="s">
        <v>2369</v>
      </c>
      <c r="B132" t="s">
        <v>2370</v>
      </c>
      <c r="C132" t="s">
        <v>2371</v>
      </c>
      <c r="D132" t="s">
        <v>2372</v>
      </c>
      <c r="E132" t="s">
        <v>1340</v>
      </c>
      <c r="F132" t="s">
        <v>299</v>
      </c>
      <c r="G132" t="s">
        <v>2373</v>
      </c>
      <c r="H132" t="s">
        <v>2374</v>
      </c>
      <c r="I132" t="s">
        <v>162</v>
      </c>
      <c r="K132" t="s">
        <v>132</v>
      </c>
      <c r="L132" t="s">
        <v>600</v>
      </c>
      <c r="M132" t="s">
        <v>884</v>
      </c>
      <c r="N132" t="s">
        <v>417</v>
      </c>
      <c r="O132" t="s">
        <v>1028</v>
      </c>
      <c r="P132" t="s">
        <v>601</v>
      </c>
      <c r="Q132" t="s">
        <v>2375</v>
      </c>
      <c r="R132" t="s">
        <v>1450</v>
      </c>
      <c r="S132" t="s">
        <v>2376</v>
      </c>
      <c r="T132" t="s">
        <v>2377</v>
      </c>
      <c r="U132" t="s">
        <v>2378</v>
      </c>
      <c r="V132" t="s">
        <v>290</v>
      </c>
      <c r="W132" t="s">
        <v>206</v>
      </c>
      <c r="X132" t="s">
        <v>424</v>
      </c>
      <c r="Y132" t="s">
        <v>106</v>
      </c>
      <c r="Z132" t="s">
        <v>2379</v>
      </c>
      <c r="AA132" t="s">
        <v>144</v>
      </c>
      <c r="AB132" t="s">
        <v>108</v>
      </c>
      <c r="AC132">
        <v>1</v>
      </c>
      <c r="AD132" t="s">
        <v>210</v>
      </c>
      <c r="AE132" t="s">
        <v>406</v>
      </c>
      <c r="AF132">
        <v>61</v>
      </c>
      <c r="AG132" t="s">
        <v>111</v>
      </c>
      <c r="AJ132">
        <v>24.5</v>
      </c>
      <c r="AK132" t="s">
        <v>79</v>
      </c>
      <c r="AL132" t="s">
        <v>2380</v>
      </c>
      <c r="AM132" t="s">
        <v>2381</v>
      </c>
      <c r="AN132" t="s">
        <v>116</v>
      </c>
      <c r="AO132">
        <v>151</v>
      </c>
      <c r="AP132" t="s">
        <v>187</v>
      </c>
      <c r="AQ132" t="s">
        <v>117</v>
      </c>
      <c r="AR132" t="s">
        <v>118</v>
      </c>
      <c r="AT132" t="s">
        <v>361</v>
      </c>
      <c r="AU132">
        <v>453.96</v>
      </c>
      <c r="AV132" t="s">
        <v>2349</v>
      </c>
      <c r="AW132" t="s">
        <v>1220</v>
      </c>
      <c r="AX132" t="s">
        <v>85</v>
      </c>
    </row>
    <row r="133" spans="1:50" x14ac:dyDescent="0.25">
      <c r="A133" t="s">
        <v>247</v>
      </c>
      <c r="B133" t="s">
        <v>248</v>
      </c>
      <c r="C133" t="s">
        <v>249</v>
      </c>
      <c r="D133" t="s">
        <v>250</v>
      </c>
      <c r="E133" t="s">
        <v>251</v>
      </c>
      <c r="F133" t="s">
        <v>142</v>
      </c>
      <c r="G133" t="s">
        <v>252</v>
      </c>
      <c r="H133">
        <v>364.79</v>
      </c>
      <c r="I133" t="s">
        <v>253</v>
      </c>
      <c r="J133" t="s">
        <v>134</v>
      </c>
      <c r="K133" t="s">
        <v>92</v>
      </c>
      <c r="L133" t="s">
        <v>254</v>
      </c>
      <c r="M133" t="s">
        <v>255</v>
      </c>
      <c r="N133" t="s">
        <v>135</v>
      </c>
      <c r="O133" t="s">
        <v>63</v>
      </c>
      <c r="P133" t="s">
        <v>256</v>
      </c>
      <c r="Q133" t="s">
        <v>257</v>
      </c>
      <c r="R133" t="s">
        <v>258</v>
      </c>
      <c r="S133" t="s">
        <v>259</v>
      </c>
      <c r="T133" t="s">
        <v>260</v>
      </c>
      <c r="U133" t="s">
        <v>261</v>
      </c>
      <c r="V133" t="s">
        <v>173</v>
      </c>
      <c r="W133" t="s">
        <v>71</v>
      </c>
      <c r="X133" t="s">
        <v>233</v>
      </c>
      <c r="Y133" t="s">
        <v>73</v>
      </c>
      <c r="Z133" t="s">
        <v>262</v>
      </c>
      <c r="AA133" t="s">
        <v>75</v>
      </c>
      <c r="AB133" t="s">
        <v>263</v>
      </c>
      <c r="AC133" t="s">
        <v>264</v>
      </c>
      <c r="AD133">
        <v>2026</v>
      </c>
      <c r="AE133" t="s">
        <v>181</v>
      </c>
      <c r="AF133">
        <v>34</v>
      </c>
      <c r="AG133" t="s">
        <v>111</v>
      </c>
      <c r="AJ133">
        <v>40.909999999999997</v>
      </c>
      <c r="AK133" t="s">
        <v>79</v>
      </c>
      <c r="AL133" t="s">
        <v>265</v>
      </c>
      <c r="AM133" t="s">
        <v>266</v>
      </c>
      <c r="AN133" t="s">
        <v>267</v>
      </c>
      <c r="AO133">
        <v>56</v>
      </c>
      <c r="AP133" t="s">
        <v>187</v>
      </c>
      <c r="AR133" t="s">
        <v>118</v>
      </c>
      <c r="AS133" t="s">
        <v>215</v>
      </c>
      <c r="AT133" t="s">
        <v>119</v>
      </c>
      <c r="AU133" t="s">
        <v>268</v>
      </c>
      <c r="AV133" t="s">
        <v>269</v>
      </c>
      <c r="AX133" t="s">
        <v>270</v>
      </c>
    </row>
    <row r="134" spans="1:50" x14ac:dyDescent="0.25">
      <c r="A134" t="s">
        <v>2382</v>
      </c>
      <c r="B134" t="s">
        <v>2383</v>
      </c>
      <c r="C134" t="s">
        <v>2182</v>
      </c>
      <c r="D134" t="s">
        <v>2384</v>
      </c>
      <c r="E134" t="s">
        <v>2385</v>
      </c>
      <c r="F134" t="s">
        <v>90</v>
      </c>
      <c r="G134" t="s">
        <v>2386</v>
      </c>
      <c r="H134">
        <v>198.36</v>
      </c>
      <c r="J134" t="s">
        <v>163</v>
      </c>
      <c r="K134" t="s">
        <v>132</v>
      </c>
      <c r="L134" t="s">
        <v>2387</v>
      </c>
      <c r="M134" t="s">
        <v>2388</v>
      </c>
      <c r="N134" t="s">
        <v>95</v>
      </c>
      <c r="O134" t="s">
        <v>777</v>
      </c>
      <c r="P134" t="s">
        <v>2389</v>
      </c>
      <c r="Q134" t="s">
        <v>2390</v>
      </c>
      <c r="R134" t="s">
        <v>505</v>
      </c>
      <c r="S134" t="s">
        <v>2391</v>
      </c>
      <c r="T134" t="s">
        <v>2392</v>
      </c>
      <c r="U134" t="s">
        <v>2393</v>
      </c>
      <c r="V134" t="s">
        <v>103</v>
      </c>
      <c r="W134" t="s">
        <v>311</v>
      </c>
      <c r="X134" t="s">
        <v>105</v>
      </c>
      <c r="Y134" t="s">
        <v>234</v>
      </c>
      <c r="Z134" t="s">
        <v>2394</v>
      </c>
      <c r="AA134" t="s">
        <v>236</v>
      </c>
      <c r="AB134" t="s">
        <v>76</v>
      </c>
      <c r="AC134" t="s">
        <v>728</v>
      </c>
      <c r="AD134" t="s">
        <v>237</v>
      </c>
      <c r="AE134" t="s">
        <v>110</v>
      </c>
      <c r="AF134" t="s">
        <v>163</v>
      </c>
      <c r="AG134" t="s">
        <v>211</v>
      </c>
      <c r="AJ134" t="s">
        <v>2395</v>
      </c>
      <c r="AK134" t="s">
        <v>147</v>
      </c>
      <c r="AL134" t="s">
        <v>2396</v>
      </c>
      <c r="AM134" t="s">
        <v>2397</v>
      </c>
      <c r="AN134" t="s">
        <v>186</v>
      </c>
      <c r="AO134">
        <v>439</v>
      </c>
      <c r="AP134" t="s">
        <v>187</v>
      </c>
      <c r="AQ134" t="s">
        <v>117</v>
      </c>
      <c r="AS134" t="s">
        <v>429</v>
      </c>
      <c r="AT134">
        <v>0.3</v>
      </c>
      <c r="AU134" t="s">
        <v>142</v>
      </c>
      <c r="AV134" t="s">
        <v>2398</v>
      </c>
      <c r="AW134" t="s">
        <v>1527</v>
      </c>
      <c r="AX134" t="s">
        <v>85</v>
      </c>
    </row>
    <row r="135" spans="1:50" x14ac:dyDescent="0.25">
      <c r="A135" t="s">
        <v>2399</v>
      </c>
      <c r="B135" t="s">
        <v>2400</v>
      </c>
      <c r="C135" t="s">
        <v>2401</v>
      </c>
      <c r="D135" t="s">
        <v>2402</v>
      </c>
      <c r="E135" t="s">
        <v>2403</v>
      </c>
      <c r="F135" t="s">
        <v>2404</v>
      </c>
      <c r="G135" t="s">
        <v>2405</v>
      </c>
      <c r="H135" t="s">
        <v>2406</v>
      </c>
      <c r="I135" t="s">
        <v>58</v>
      </c>
      <c r="J135" t="s">
        <v>134</v>
      </c>
      <c r="K135" t="s">
        <v>280</v>
      </c>
      <c r="L135" t="s">
        <v>2407</v>
      </c>
      <c r="M135" t="s">
        <v>1687</v>
      </c>
      <c r="N135" t="s">
        <v>135</v>
      </c>
      <c r="O135" t="s">
        <v>96</v>
      </c>
      <c r="P135" t="s">
        <v>1602</v>
      </c>
      <c r="Q135" t="s">
        <v>2408</v>
      </c>
      <c r="R135" t="s">
        <v>378</v>
      </c>
      <c r="S135" t="s">
        <v>2409</v>
      </c>
      <c r="T135" t="s">
        <v>2410</v>
      </c>
      <c r="U135" t="s">
        <v>2411</v>
      </c>
      <c r="V135" t="s">
        <v>290</v>
      </c>
      <c r="W135" t="s">
        <v>206</v>
      </c>
      <c r="X135" t="s">
        <v>105</v>
      </c>
      <c r="Y135" t="s">
        <v>73</v>
      </c>
      <c r="Z135" t="s">
        <v>2412</v>
      </c>
      <c r="AA135" t="s">
        <v>19</v>
      </c>
      <c r="AB135" t="s">
        <v>528</v>
      </c>
      <c r="AC135">
        <v>1</v>
      </c>
      <c r="AD135" t="s">
        <v>210</v>
      </c>
      <c r="AE135" t="s">
        <v>77</v>
      </c>
      <c r="AF135">
        <v>29</v>
      </c>
      <c r="AG135" t="s">
        <v>238</v>
      </c>
      <c r="AJ135" t="s">
        <v>2413</v>
      </c>
      <c r="AK135" t="s">
        <v>79</v>
      </c>
      <c r="AL135" t="s">
        <v>2414</v>
      </c>
      <c r="AM135" t="s">
        <v>2415</v>
      </c>
      <c r="AN135" t="s">
        <v>150</v>
      </c>
      <c r="AO135">
        <v>88</v>
      </c>
      <c r="AP135">
        <v>4</v>
      </c>
      <c r="AQ135" t="s">
        <v>242</v>
      </c>
      <c r="AT135" t="s">
        <v>119</v>
      </c>
      <c r="AU135" t="s">
        <v>2416</v>
      </c>
      <c r="AV135" t="s">
        <v>2417</v>
      </c>
      <c r="AW135" t="s">
        <v>122</v>
      </c>
      <c r="AX135" t="s">
        <v>246</v>
      </c>
    </row>
    <row r="136" spans="1:50" x14ac:dyDescent="0.25">
      <c r="A136" t="s">
        <v>2418</v>
      </c>
      <c r="B136" t="s">
        <v>1304</v>
      </c>
      <c r="C136" t="s">
        <v>412</v>
      </c>
      <c r="D136" t="s">
        <v>2419</v>
      </c>
      <c r="E136" t="s">
        <v>2420</v>
      </c>
      <c r="F136" t="s">
        <v>1827</v>
      </c>
      <c r="G136" t="s">
        <v>776</v>
      </c>
      <c r="H136" t="s">
        <v>2421</v>
      </c>
      <c r="J136" t="s">
        <v>2422</v>
      </c>
      <c r="K136" t="s">
        <v>92</v>
      </c>
      <c r="L136" t="s">
        <v>164</v>
      </c>
      <c r="M136" t="s">
        <v>91</v>
      </c>
      <c r="N136" t="s">
        <v>396</v>
      </c>
      <c r="O136" t="s">
        <v>854</v>
      </c>
      <c r="P136" t="s">
        <v>2423</v>
      </c>
      <c r="Q136" t="s">
        <v>2424</v>
      </c>
      <c r="R136" t="s">
        <v>1232</v>
      </c>
      <c r="S136" t="s">
        <v>2425</v>
      </c>
      <c r="T136" t="s">
        <v>2426</v>
      </c>
      <c r="U136" t="s">
        <v>2427</v>
      </c>
      <c r="V136" t="s">
        <v>103</v>
      </c>
      <c r="W136" t="s">
        <v>311</v>
      </c>
      <c r="X136" t="s">
        <v>424</v>
      </c>
      <c r="Y136" t="s">
        <v>234</v>
      </c>
      <c r="Z136" t="s">
        <v>2428</v>
      </c>
      <c r="AA136" t="s">
        <v>144</v>
      </c>
      <c r="AB136" t="s">
        <v>405</v>
      </c>
      <c r="AC136">
        <v>4</v>
      </c>
      <c r="AD136">
        <v>2026</v>
      </c>
      <c r="AE136" t="s">
        <v>110</v>
      </c>
      <c r="AF136" t="s">
        <v>134</v>
      </c>
      <c r="AG136" t="s">
        <v>238</v>
      </c>
      <c r="AJ136" t="s">
        <v>2429</v>
      </c>
      <c r="AK136" t="s">
        <v>240</v>
      </c>
      <c r="AL136" t="s">
        <v>2430</v>
      </c>
      <c r="AM136" t="s">
        <v>2431</v>
      </c>
      <c r="AN136" t="s">
        <v>82</v>
      </c>
      <c r="AO136">
        <v>132</v>
      </c>
      <c r="AQ136" t="s">
        <v>242</v>
      </c>
      <c r="AR136" t="s">
        <v>118</v>
      </c>
      <c r="AT136" t="s">
        <v>361</v>
      </c>
      <c r="AU136" t="s">
        <v>2432</v>
      </c>
      <c r="AV136" t="s">
        <v>2433</v>
      </c>
      <c r="AW136" t="s">
        <v>789</v>
      </c>
      <c r="AX136" t="s">
        <v>85</v>
      </c>
    </row>
    <row r="137" spans="1:50" x14ac:dyDescent="0.25">
      <c r="A137" t="s">
        <v>2434</v>
      </c>
      <c r="B137" t="s">
        <v>2435</v>
      </c>
      <c r="C137" t="s">
        <v>2436</v>
      </c>
      <c r="D137" t="s">
        <v>2437</v>
      </c>
      <c r="E137" t="s">
        <v>1809</v>
      </c>
      <c r="F137" t="s">
        <v>1827</v>
      </c>
      <c r="G137" t="s">
        <v>2438</v>
      </c>
      <c r="H137" t="s">
        <v>2439</v>
      </c>
      <c r="I137" t="s">
        <v>253</v>
      </c>
      <c r="J137" t="s">
        <v>134</v>
      </c>
      <c r="K137" t="s">
        <v>59</v>
      </c>
      <c r="L137" t="s">
        <v>481</v>
      </c>
      <c r="M137" t="s">
        <v>134</v>
      </c>
      <c r="N137" t="s">
        <v>95</v>
      </c>
      <c r="O137" t="s">
        <v>136</v>
      </c>
      <c r="P137" t="s">
        <v>2440</v>
      </c>
      <c r="Q137" t="s">
        <v>2441</v>
      </c>
      <c r="R137" t="s">
        <v>142</v>
      </c>
      <c r="S137" t="s">
        <v>2442</v>
      </c>
      <c r="T137" t="s">
        <v>2443</v>
      </c>
      <c r="U137" t="s">
        <v>2444</v>
      </c>
      <c r="V137" t="s">
        <v>205</v>
      </c>
      <c r="W137" t="s">
        <v>104</v>
      </c>
      <c r="X137" t="s">
        <v>233</v>
      </c>
      <c r="Y137" t="s">
        <v>176</v>
      </c>
      <c r="Z137" t="s">
        <v>2445</v>
      </c>
      <c r="AA137" t="s">
        <v>75</v>
      </c>
      <c r="AB137" t="s">
        <v>263</v>
      </c>
      <c r="AC137" t="s">
        <v>1107</v>
      </c>
      <c r="AD137" t="s">
        <v>314</v>
      </c>
      <c r="AE137" t="s">
        <v>406</v>
      </c>
      <c r="AF137">
        <v>27</v>
      </c>
      <c r="AG137">
        <v>0.08</v>
      </c>
      <c r="AJ137" t="s">
        <v>2446</v>
      </c>
      <c r="AK137" t="s">
        <v>571</v>
      </c>
      <c r="AL137" t="s">
        <v>2447</v>
      </c>
      <c r="AM137">
        <v>3.99</v>
      </c>
      <c r="AN137" t="s">
        <v>116</v>
      </c>
      <c r="AO137">
        <v>363</v>
      </c>
      <c r="AP137" t="s">
        <v>187</v>
      </c>
      <c r="AQ137" t="s">
        <v>117</v>
      </c>
      <c r="AR137" t="s">
        <v>319</v>
      </c>
      <c r="AU137" t="s">
        <v>2448</v>
      </c>
      <c r="AV137" t="s">
        <v>2449</v>
      </c>
      <c r="AW137" t="s">
        <v>2450</v>
      </c>
      <c r="AX137" t="s">
        <v>270</v>
      </c>
    </row>
    <row r="138" spans="1:50" x14ac:dyDescent="0.25">
      <c r="A138" t="s">
        <v>2451</v>
      </c>
      <c r="B138" t="s">
        <v>2452</v>
      </c>
      <c r="C138" t="s">
        <v>2453</v>
      </c>
      <c r="D138" t="s">
        <v>2454</v>
      </c>
      <c r="E138" t="s">
        <v>2455</v>
      </c>
      <c r="F138" t="s">
        <v>928</v>
      </c>
      <c r="G138" t="s">
        <v>579</v>
      </c>
      <c r="H138" t="s">
        <v>2456</v>
      </c>
      <c r="I138" t="s">
        <v>162</v>
      </c>
      <c r="J138" t="s">
        <v>2457</v>
      </c>
      <c r="K138" t="s">
        <v>280</v>
      </c>
      <c r="L138" t="s">
        <v>2458</v>
      </c>
      <c r="N138" t="s">
        <v>417</v>
      </c>
      <c r="O138" t="s">
        <v>1028</v>
      </c>
      <c r="P138" t="s">
        <v>418</v>
      </c>
      <c r="Q138" t="s">
        <v>2459</v>
      </c>
      <c r="R138" t="s">
        <v>1395</v>
      </c>
      <c r="S138" t="s">
        <v>2460</v>
      </c>
      <c r="T138" t="s">
        <v>2461</v>
      </c>
      <c r="U138" t="s">
        <v>2462</v>
      </c>
      <c r="V138" t="s">
        <v>290</v>
      </c>
      <c r="W138" t="s">
        <v>726</v>
      </c>
      <c r="X138" t="s">
        <v>233</v>
      </c>
      <c r="Y138" t="s">
        <v>234</v>
      </c>
      <c r="Z138" t="s">
        <v>2463</v>
      </c>
      <c r="AA138" t="s">
        <v>75</v>
      </c>
      <c r="AB138" t="s">
        <v>76</v>
      </c>
      <c r="AC138" t="s">
        <v>1313</v>
      </c>
      <c r="AD138" t="s">
        <v>237</v>
      </c>
      <c r="AE138" t="s">
        <v>77</v>
      </c>
      <c r="AF138">
        <v>75</v>
      </c>
      <c r="AG138">
        <v>0.08</v>
      </c>
      <c r="AJ138">
        <v>14.26</v>
      </c>
      <c r="AK138" t="s">
        <v>571</v>
      </c>
      <c r="AL138" t="s">
        <v>2464</v>
      </c>
      <c r="AM138" t="s">
        <v>2465</v>
      </c>
      <c r="AN138" t="s">
        <v>116</v>
      </c>
      <c r="AO138">
        <v>186</v>
      </c>
      <c r="AP138">
        <v>2</v>
      </c>
      <c r="AQ138" t="s">
        <v>610</v>
      </c>
      <c r="AS138" t="s">
        <v>215</v>
      </c>
      <c r="AT138" t="s">
        <v>119</v>
      </c>
      <c r="AU138" t="s">
        <v>2466</v>
      </c>
      <c r="AV138" t="s">
        <v>2467</v>
      </c>
      <c r="AW138" t="s">
        <v>1687</v>
      </c>
      <c r="AX138" t="s">
        <v>191</v>
      </c>
    </row>
    <row r="140" spans="1:50" x14ac:dyDescent="0.25">
      <c r="A140" t="s">
        <v>2468</v>
      </c>
      <c r="B140" t="s">
        <v>2469</v>
      </c>
      <c r="C140" t="s">
        <v>2470</v>
      </c>
      <c r="D140" t="s">
        <v>2471</v>
      </c>
      <c r="E140" t="s">
        <v>2472</v>
      </c>
      <c r="F140" t="s">
        <v>2473</v>
      </c>
      <c r="G140" t="s">
        <v>370</v>
      </c>
      <c r="H140" t="s">
        <v>2474</v>
      </c>
      <c r="J140" t="s">
        <v>2475</v>
      </c>
      <c r="K140" t="s">
        <v>132</v>
      </c>
      <c r="L140" t="s">
        <v>460</v>
      </c>
      <c r="M140" t="s">
        <v>134</v>
      </c>
      <c r="N140" t="s">
        <v>95</v>
      </c>
      <c r="O140" t="s">
        <v>1566</v>
      </c>
      <c r="P140" t="s">
        <v>816</v>
      </c>
      <c r="Q140" t="s">
        <v>2476</v>
      </c>
      <c r="R140" t="s">
        <v>1815</v>
      </c>
      <c r="S140" t="s">
        <v>2477</v>
      </c>
      <c r="T140" t="s">
        <v>2478</v>
      </c>
      <c r="U140" t="s">
        <v>2479</v>
      </c>
      <c r="V140" t="s">
        <v>70</v>
      </c>
      <c r="W140" t="s">
        <v>726</v>
      </c>
      <c r="X140" t="s">
        <v>105</v>
      </c>
      <c r="Y140" t="s">
        <v>337</v>
      </c>
      <c r="Z140" t="s">
        <v>2480</v>
      </c>
      <c r="AA140" t="s">
        <v>236</v>
      </c>
      <c r="AB140" t="s">
        <v>76</v>
      </c>
      <c r="AC140" t="s">
        <v>569</v>
      </c>
      <c r="AD140">
        <v>2026</v>
      </c>
      <c r="AE140" t="s">
        <v>406</v>
      </c>
      <c r="AF140">
        <v>78</v>
      </c>
      <c r="AG140" t="s">
        <v>111</v>
      </c>
      <c r="AJ140" t="s">
        <v>163</v>
      </c>
      <c r="AK140" t="s">
        <v>571</v>
      </c>
      <c r="AL140" t="s">
        <v>2481</v>
      </c>
      <c r="AM140">
        <v>16.239999999999998</v>
      </c>
      <c r="AN140" t="s">
        <v>116</v>
      </c>
      <c r="AO140">
        <v>477</v>
      </c>
      <c r="AQ140" t="s">
        <v>117</v>
      </c>
      <c r="AR140" t="s">
        <v>243</v>
      </c>
      <c r="AS140" t="s">
        <v>83</v>
      </c>
      <c r="AT140" t="s">
        <v>152</v>
      </c>
      <c r="AU140" t="s">
        <v>2482</v>
      </c>
      <c r="AV140" t="s">
        <v>2483</v>
      </c>
      <c r="AW140" t="s">
        <v>122</v>
      </c>
      <c r="AX140" t="s">
        <v>270</v>
      </c>
    </row>
    <row r="141" spans="1:50" x14ac:dyDescent="0.25">
      <c r="A141" t="s">
        <v>2484</v>
      </c>
      <c r="B141" t="s">
        <v>2485</v>
      </c>
      <c r="C141" t="s">
        <v>2486</v>
      </c>
      <c r="D141" t="s">
        <v>1171</v>
      </c>
      <c r="E141" t="s">
        <v>2487</v>
      </c>
      <c r="F141" t="s">
        <v>90</v>
      </c>
      <c r="G141" t="s">
        <v>252</v>
      </c>
      <c r="H141" t="s">
        <v>2488</v>
      </c>
      <c r="K141" t="s">
        <v>92</v>
      </c>
      <c r="L141" t="s">
        <v>2304</v>
      </c>
      <c r="M141" t="s">
        <v>2489</v>
      </c>
      <c r="N141" t="s">
        <v>166</v>
      </c>
      <c r="O141" t="s">
        <v>1566</v>
      </c>
      <c r="P141" t="s">
        <v>2490</v>
      </c>
      <c r="Q141" t="s">
        <v>2491</v>
      </c>
      <c r="R141" t="s">
        <v>229</v>
      </c>
      <c r="S141" t="s">
        <v>2492</v>
      </c>
      <c r="T141" t="s">
        <v>2493</v>
      </c>
      <c r="U141" t="s">
        <v>2494</v>
      </c>
      <c r="V141" t="s">
        <v>103</v>
      </c>
      <c r="W141" t="s">
        <v>174</v>
      </c>
      <c r="X141" t="s">
        <v>105</v>
      </c>
      <c r="Y141" t="s">
        <v>337</v>
      </c>
      <c r="Z141" t="s">
        <v>2495</v>
      </c>
      <c r="AA141" t="s">
        <v>178</v>
      </c>
      <c r="AB141" t="s">
        <v>108</v>
      </c>
      <c r="AC141" t="s">
        <v>766</v>
      </c>
      <c r="AD141" t="s">
        <v>146</v>
      </c>
      <c r="AE141" t="s">
        <v>181</v>
      </c>
      <c r="AF141">
        <v>49</v>
      </c>
      <c r="AG141" t="s">
        <v>238</v>
      </c>
      <c r="AJ141">
        <v>18.23</v>
      </c>
      <c r="AK141" t="s">
        <v>240</v>
      </c>
      <c r="AL141" t="s">
        <v>2496</v>
      </c>
      <c r="AM141" t="s">
        <v>1729</v>
      </c>
      <c r="AN141" t="s">
        <v>186</v>
      </c>
      <c r="AO141">
        <v>348</v>
      </c>
      <c r="AP141">
        <v>4</v>
      </c>
      <c r="AQ141" t="s">
        <v>151</v>
      </c>
      <c r="AR141" t="s">
        <v>188</v>
      </c>
      <c r="AT141" t="s">
        <v>152</v>
      </c>
      <c r="AU141" t="s">
        <v>2497</v>
      </c>
      <c r="AV141" t="s">
        <v>2498</v>
      </c>
      <c r="AW141" t="s">
        <v>2499</v>
      </c>
      <c r="AX141" t="s">
        <v>191</v>
      </c>
    </row>
    <row r="142" spans="1:50" x14ac:dyDescent="0.25">
      <c r="A142" t="s">
        <v>2500</v>
      </c>
      <c r="B142" t="s">
        <v>2501</v>
      </c>
      <c r="C142" t="s">
        <v>2502</v>
      </c>
      <c r="D142" t="s">
        <v>2503</v>
      </c>
      <c r="E142" t="s">
        <v>2504</v>
      </c>
      <c r="F142" t="s">
        <v>222</v>
      </c>
      <c r="G142" t="s">
        <v>1649</v>
      </c>
      <c r="H142" t="s">
        <v>833</v>
      </c>
      <c r="J142" t="s">
        <v>163</v>
      </c>
      <c r="K142" t="s">
        <v>59</v>
      </c>
      <c r="L142" t="s">
        <v>1027</v>
      </c>
      <c r="M142" t="s">
        <v>91</v>
      </c>
      <c r="N142" t="s">
        <v>62</v>
      </c>
      <c r="O142" t="s">
        <v>136</v>
      </c>
      <c r="P142" t="s">
        <v>2505</v>
      </c>
      <c r="Q142" t="s">
        <v>2506</v>
      </c>
      <c r="R142" t="s">
        <v>1359</v>
      </c>
      <c r="S142" t="s">
        <v>2507</v>
      </c>
      <c r="T142" t="s">
        <v>2508</v>
      </c>
      <c r="U142" t="s">
        <v>142</v>
      </c>
      <c r="V142" t="s">
        <v>290</v>
      </c>
      <c r="W142" t="s">
        <v>174</v>
      </c>
      <c r="X142" t="s">
        <v>72</v>
      </c>
      <c r="Y142" t="s">
        <v>73</v>
      </c>
      <c r="Z142" t="s">
        <v>2509</v>
      </c>
      <c r="AA142" t="s">
        <v>178</v>
      </c>
      <c r="AB142" t="s">
        <v>108</v>
      </c>
      <c r="AC142">
        <v>2</v>
      </c>
      <c r="AD142">
        <v>2026</v>
      </c>
      <c r="AE142" t="s">
        <v>110</v>
      </c>
      <c r="AF142">
        <v>90</v>
      </c>
      <c r="AG142">
        <v>0.08</v>
      </c>
      <c r="AJ142" t="s">
        <v>2510</v>
      </c>
      <c r="AK142" t="s">
        <v>79</v>
      </c>
      <c r="AL142" t="s">
        <v>2511</v>
      </c>
      <c r="AM142">
        <v>2.65</v>
      </c>
      <c r="AN142" t="s">
        <v>82</v>
      </c>
      <c r="AO142">
        <v>122</v>
      </c>
      <c r="AP142" t="s">
        <v>187</v>
      </c>
      <c r="AQ142" t="s">
        <v>242</v>
      </c>
      <c r="AR142" t="s">
        <v>243</v>
      </c>
      <c r="AT142" t="s">
        <v>152</v>
      </c>
      <c r="AU142" t="s">
        <v>2512</v>
      </c>
      <c r="AV142" t="s">
        <v>2513</v>
      </c>
      <c r="AW142" t="s">
        <v>1593</v>
      </c>
      <c r="AX142" t="s">
        <v>270</v>
      </c>
    </row>
    <row r="143" spans="1:50" x14ac:dyDescent="0.25">
      <c r="A143" t="s">
        <v>2514</v>
      </c>
      <c r="B143" t="s">
        <v>2515</v>
      </c>
      <c r="C143" t="s">
        <v>2516</v>
      </c>
      <c r="D143" t="s">
        <v>2517</v>
      </c>
      <c r="E143" t="s">
        <v>2518</v>
      </c>
      <c r="F143" t="s">
        <v>327</v>
      </c>
      <c r="G143" t="s">
        <v>2338</v>
      </c>
      <c r="H143">
        <v>551.70000000000005</v>
      </c>
      <c r="I143">
        <v>0.1</v>
      </c>
      <c r="J143" t="s">
        <v>2519</v>
      </c>
      <c r="K143" t="s">
        <v>92</v>
      </c>
      <c r="L143" t="s">
        <v>1581</v>
      </c>
      <c r="M143" t="s">
        <v>142</v>
      </c>
      <c r="N143" t="s">
        <v>135</v>
      </c>
      <c r="O143" t="s">
        <v>1028</v>
      </c>
      <c r="P143" t="s">
        <v>2520</v>
      </c>
      <c r="Q143" t="s">
        <v>2521</v>
      </c>
      <c r="R143" t="s">
        <v>400</v>
      </c>
      <c r="S143" t="s">
        <v>2522</v>
      </c>
      <c r="T143" t="s">
        <v>2523</v>
      </c>
      <c r="U143" t="s">
        <v>2524</v>
      </c>
      <c r="V143" t="s">
        <v>205</v>
      </c>
      <c r="W143" t="s">
        <v>726</v>
      </c>
      <c r="X143" t="s">
        <v>175</v>
      </c>
      <c r="Y143" t="s">
        <v>176</v>
      </c>
      <c r="Z143" t="s">
        <v>2525</v>
      </c>
      <c r="AA143" t="s">
        <v>236</v>
      </c>
      <c r="AB143" t="s">
        <v>528</v>
      </c>
      <c r="AC143" t="s">
        <v>264</v>
      </c>
      <c r="AD143" t="s">
        <v>314</v>
      </c>
      <c r="AE143" t="s">
        <v>77</v>
      </c>
      <c r="AF143">
        <v>63</v>
      </c>
      <c r="AG143" t="s">
        <v>238</v>
      </c>
      <c r="AJ143" t="s">
        <v>2526</v>
      </c>
      <c r="AK143" t="s">
        <v>183</v>
      </c>
      <c r="AL143" t="s">
        <v>2527</v>
      </c>
      <c r="AM143">
        <v>4.99</v>
      </c>
      <c r="AN143" t="s">
        <v>150</v>
      </c>
      <c r="AO143">
        <v>398</v>
      </c>
      <c r="AP143">
        <v>4</v>
      </c>
      <c r="AQ143" t="s">
        <v>151</v>
      </c>
      <c r="AR143">
        <v>1</v>
      </c>
      <c r="AT143" t="s">
        <v>361</v>
      </c>
      <c r="AU143" t="s">
        <v>2528</v>
      </c>
      <c r="AV143" t="s">
        <v>2529</v>
      </c>
      <c r="AW143" t="s">
        <v>1113</v>
      </c>
      <c r="AX143" t="s">
        <v>85</v>
      </c>
    </row>
    <row r="144" spans="1:50" x14ac:dyDescent="0.25">
      <c r="A144" t="s">
        <v>2530</v>
      </c>
      <c r="B144" t="s">
        <v>2531</v>
      </c>
      <c r="C144" t="s">
        <v>2532</v>
      </c>
      <c r="D144" t="s">
        <v>2533</v>
      </c>
      <c r="E144" t="s">
        <v>2534</v>
      </c>
      <c r="F144" t="s">
        <v>1876</v>
      </c>
      <c r="G144">
        <v>34</v>
      </c>
      <c r="H144" t="s">
        <v>2535</v>
      </c>
      <c r="I144" t="s">
        <v>58</v>
      </c>
      <c r="J144">
        <v>46771.76</v>
      </c>
      <c r="K144" t="s">
        <v>59</v>
      </c>
      <c r="L144" t="s">
        <v>1410</v>
      </c>
      <c r="M144" t="s">
        <v>884</v>
      </c>
      <c r="N144" t="s">
        <v>62</v>
      </c>
      <c r="O144" t="s">
        <v>502</v>
      </c>
      <c r="P144" t="s">
        <v>2536</v>
      </c>
      <c r="Q144" t="s">
        <v>2537</v>
      </c>
      <c r="R144" t="s">
        <v>646</v>
      </c>
      <c r="S144" t="s">
        <v>2538</v>
      </c>
      <c r="T144" t="s">
        <v>2539</v>
      </c>
      <c r="U144" t="s">
        <v>2540</v>
      </c>
      <c r="V144" t="s">
        <v>290</v>
      </c>
      <c r="W144" t="s">
        <v>311</v>
      </c>
      <c r="X144" t="s">
        <v>175</v>
      </c>
      <c r="Y144" t="s">
        <v>73</v>
      </c>
      <c r="Z144" t="s">
        <v>2541</v>
      </c>
      <c r="AA144" t="s">
        <v>144</v>
      </c>
      <c r="AB144" t="s">
        <v>405</v>
      </c>
      <c r="AC144">
        <v>8</v>
      </c>
      <c r="AD144" t="s">
        <v>146</v>
      </c>
      <c r="AE144" t="s">
        <v>181</v>
      </c>
      <c r="AF144">
        <v>6</v>
      </c>
      <c r="AG144" t="s">
        <v>111</v>
      </c>
      <c r="AJ144">
        <v>13.86</v>
      </c>
      <c r="AK144" t="s">
        <v>183</v>
      </c>
      <c r="AL144" t="s">
        <v>2542</v>
      </c>
      <c r="AM144" t="s">
        <v>2543</v>
      </c>
      <c r="AN144" t="s">
        <v>267</v>
      </c>
      <c r="AO144">
        <v>239</v>
      </c>
      <c r="AP144">
        <v>2</v>
      </c>
      <c r="AQ144" t="s">
        <v>610</v>
      </c>
      <c r="AR144" t="s">
        <v>243</v>
      </c>
      <c r="AS144" t="s">
        <v>215</v>
      </c>
      <c r="AT144" t="s">
        <v>361</v>
      </c>
      <c r="AU144">
        <v>1403.15</v>
      </c>
      <c r="AV144" t="s">
        <v>2544</v>
      </c>
      <c r="AW144" t="s">
        <v>122</v>
      </c>
      <c r="AX144" t="s">
        <v>246</v>
      </c>
    </row>
    <row r="145" spans="1:50" x14ac:dyDescent="0.25">
      <c r="A145" t="s">
        <v>2545</v>
      </c>
      <c r="B145" t="s">
        <v>2546</v>
      </c>
      <c r="C145" t="s">
        <v>2547</v>
      </c>
      <c r="D145" t="s">
        <v>2548</v>
      </c>
      <c r="E145" t="s">
        <v>2549</v>
      </c>
      <c r="F145" t="s">
        <v>299</v>
      </c>
      <c r="G145" t="s">
        <v>2550</v>
      </c>
      <c r="H145" t="s">
        <v>2551</v>
      </c>
      <c r="I145">
        <v>0.1</v>
      </c>
      <c r="J145" t="s">
        <v>2552</v>
      </c>
      <c r="K145" t="s">
        <v>132</v>
      </c>
      <c r="L145" t="s">
        <v>225</v>
      </c>
      <c r="M145" t="s">
        <v>142</v>
      </c>
      <c r="N145" t="s">
        <v>417</v>
      </c>
      <c r="O145" t="s">
        <v>543</v>
      </c>
      <c r="P145" t="s">
        <v>1844</v>
      </c>
      <c r="Q145" t="s">
        <v>2553</v>
      </c>
      <c r="R145" t="s">
        <v>1232</v>
      </c>
      <c r="S145" t="s">
        <v>2554</v>
      </c>
      <c r="T145" t="s">
        <v>2555</v>
      </c>
      <c r="U145" t="s">
        <v>2556</v>
      </c>
      <c r="V145" t="s">
        <v>290</v>
      </c>
      <c r="W145" t="s">
        <v>206</v>
      </c>
      <c r="X145" t="s">
        <v>72</v>
      </c>
      <c r="Y145" t="s">
        <v>106</v>
      </c>
      <c r="Z145" t="s">
        <v>2557</v>
      </c>
      <c r="AA145" t="s">
        <v>19</v>
      </c>
      <c r="AB145" t="s">
        <v>263</v>
      </c>
      <c r="AC145" t="s">
        <v>589</v>
      </c>
      <c r="AD145">
        <v>2026</v>
      </c>
      <c r="AE145" t="s">
        <v>406</v>
      </c>
      <c r="AF145">
        <v>60</v>
      </c>
      <c r="AG145" t="s">
        <v>238</v>
      </c>
      <c r="AJ145">
        <v>3.94</v>
      </c>
      <c r="AK145" t="s">
        <v>79</v>
      </c>
      <c r="AL145" t="s">
        <v>2558</v>
      </c>
      <c r="AM145">
        <v>20.13</v>
      </c>
      <c r="AN145" t="s">
        <v>150</v>
      </c>
      <c r="AO145">
        <v>4</v>
      </c>
      <c r="AP145">
        <v>4.5</v>
      </c>
      <c r="AQ145" t="s">
        <v>151</v>
      </c>
      <c r="AR145" t="s">
        <v>188</v>
      </c>
      <c r="AS145" t="s">
        <v>429</v>
      </c>
      <c r="AV145" t="s">
        <v>84</v>
      </c>
      <c r="AW145" t="s">
        <v>789</v>
      </c>
      <c r="AX145" t="s">
        <v>246</v>
      </c>
    </row>
    <row r="146" spans="1:50" x14ac:dyDescent="0.25">
      <c r="A146" t="s">
        <v>2559</v>
      </c>
      <c r="B146" t="s">
        <v>2560</v>
      </c>
      <c r="C146" t="s">
        <v>2561</v>
      </c>
      <c r="D146" t="s">
        <v>1996</v>
      </c>
      <c r="E146" t="s">
        <v>2562</v>
      </c>
      <c r="F146" t="s">
        <v>1876</v>
      </c>
      <c r="G146" t="s">
        <v>2563</v>
      </c>
      <c r="H146" t="s">
        <v>2564</v>
      </c>
      <c r="I146" t="s">
        <v>253</v>
      </c>
      <c r="J146" t="s">
        <v>2565</v>
      </c>
      <c r="K146" t="s">
        <v>59</v>
      </c>
      <c r="L146" t="s">
        <v>2566</v>
      </c>
      <c r="M146" t="s">
        <v>91</v>
      </c>
      <c r="N146" t="s">
        <v>166</v>
      </c>
      <c r="O146" t="s">
        <v>375</v>
      </c>
      <c r="P146" t="s">
        <v>137</v>
      </c>
      <c r="Q146" t="s">
        <v>2567</v>
      </c>
      <c r="R146" t="s">
        <v>1815</v>
      </c>
      <c r="S146" t="s">
        <v>2568</v>
      </c>
      <c r="T146" t="s">
        <v>2569</v>
      </c>
      <c r="U146" t="s">
        <v>134</v>
      </c>
      <c r="V146" t="s">
        <v>173</v>
      </c>
      <c r="W146" t="s">
        <v>174</v>
      </c>
      <c r="X146" t="s">
        <v>105</v>
      </c>
      <c r="Y146" t="s">
        <v>106</v>
      </c>
      <c r="Z146" t="s">
        <v>2570</v>
      </c>
      <c r="AA146" t="s">
        <v>75</v>
      </c>
      <c r="AB146" t="s">
        <v>528</v>
      </c>
      <c r="AC146" t="s">
        <v>313</v>
      </c>
      <c r="AD146" t="s">
        <v>146</v>
      </c>
      <c r="AE146" t="s">
        <v>181</v>
      </c>
      <c r="AF146">
        <v>6</v>
      </c>
      <c r="AG146" t="s">
        <v>211</v>
      </c>
      <c r="AJ146" t="s">
        <v>2571</v>
      </c>
      <c r="AK146" t="s">
        <v>571</v>
      </c>
      <c r="AL146" t="s">
        <v>2572</v>
      </c>
      <c r="AM146" t="s">
        <v>2573</v>
      </c>
      <c r="AN146" t="s">
        <v>82</v>
      </c>
      <c r="AO146">
        <v>155</v>
      </c>
      <c r="AP146">
        <v>1</v>
      </c>
      <c r="AQ146" t="s">
        <v>786</v>
      </c>
      <c r="AR146" t="s">
        <v>243</v>
      </c>
      <c r="AS146" t="s">
        <v>215</v>
      </c>
      <c r="AU146" t="s">
        <v>2574</v>
      </c>
      <c r="AV146" t="s">
        <v>533</v>
      </c>
      <c r="AW146" t="s">
        <v>122</v>
      </c>
    </row>
    <row r="147" spans="1:50" x14ac:dyDescent="0.25">
      <c r="A147" t="s">
        <v>2575</v>
      </c>
      <c r="B147" t="s">
        <v>2576</v>
      </c>
      <c r="C147" t="s">
        <v>2577</v>
      </c>
      <c r="D147" t="s">
        <v>948</v>
      </c>
      <c r="E147" t="s">
        <v>949</v>
      </c>
      <c r="F147" t="s">
        <v>134</v>
      </c>
      <c r="G147">
        <v>38</v>
      </c>
      <c r="H147" t="s">
        <v>2044</v>
      </c>
      <c r="I147" t="s">
        <v>58</v>
      </c>
      <c r="J147" t="s">
        <v>2578</v>
      </c>
      <c r="K147" t="s">
        <v>132</v>
      </c>
      <c r="L147" t="s">
        <v>2579</v>
      </c>
      <c r="M147" t="s">
        <v>1002</v>
      </c>
      <c r="N147" t="s">
        <v>417</v>
      </c>
      <c r="O147" t="s">
        <v>543</v>
      </c>
      <c r="P147" t="s">
        <v>2580</v>
      </c>
      <c r="Q147" t="s">
        <v>2581</v>
      </c>
      <c r="R147" t="s">
        <v>1815</v>
      </c>
      <c r="S147" t="s">
        <v>2582</v>
      </c>
      <c r="T147" t="s">
        <v>2583</v>
      </c>
      <c r="U147" t="s">
        <v>2584</v>
      </c>
      <c r="V147" t="s">
        <v>290</v>
      </c>
      <c r="W147" t="s">
        <v>726</v>
      </c>
      <c r="X147" t="s">
        <v>233</v>
      </c>
      <c r="Y147" t="s">
        <v>73</v>
      </c>
      <c r="Z147" t="s">
        <v>2585</v>
      </c>
      <c r="AA147" t="s">
        <v>178</v>
      </c>
      <c r="AB147" t="s">
        <v>528</v>
      </c>
      <c r="AC147" t="s">
        <v>2586</v>
      </c>
      <c r="AD147" t="s">
        <v>314</v>
      </c>
      <c r="AE147" t="s">
        <v>181</v>
      </c>
      <c r="AF147">
        <v>22</v>
      </c>
      <c r="AG147" t="s">
        <v>111</v>
      </c>
      <c r="AJ147" t="s">
        <v>2587</v>
      </c>
      <c r="AK147" t="s">
        <v>79</v>
      </c>
      <c r="AL147" t="s">
        <v>2588</v>
      </c>
      <c r="AM147" t="s">
        <v>2589</v>
      </c>
      <c r="AN147" t="s">
        <v>267</v>
      </c>
      <c r="AO147">
        <v>366</v>
      </c>
      <c r="AR147" t="s">
        <v>319</v>
      </c>
      <c r="AT147" t="s">
        <v>152</v>
      </c>
      <c r="AU147" t="s">
        <v>2590</v>
      </c>
      <c r="AV147" t="s">
        <v>2591</v>
      </c>
      <c r="AW147" t="s">
        <v>122</v>
      </c>
      <c r="AX147" t="s">
        <v>85</v>
      </c>
    </row>
    <row r="148" spans="1:50" x14ac:dyDescent="0.25">
      <c r="A148" t="s">
        <v>2592</v>
      </c>
      <c r="B148" t="s">
        <v>2593</v>
      </c>
      <c r="C148" t="s">
        <v>2594</v>
      </c>
      <c r="D148" t="s">
        <v>1874</v>
      </c>
      <c r="E148" t="s">
        <v>2595</v>
      </c>
      <c r="F148" t="s">
        <v>2202</v>
      </c>
      <c r="G148" t="s">
        <v>253</v>
      </c>
      <c r="H148" t="s">
        <v>2596</v>
      </c>
      <c r="J148">
        <v>14896.9</v>
      </c>
      <c r="K148" t="s">
        <v>92</v>
      </c>
      <c r="L148" t="s">
        <v>164</v>
      </c>
      <c r="M148" t="s">
        <v>2597</v>
      </c>
      <c r="N148" t="s">
        <v>135</v>
      </c>
      <c r="O148" t="s">
        <v>836</v>
      </c>
      <c r="P148" t="s">
        <v>2598</v>
      </c>
      <c r="Q148" t="s">
        <v>2599</v>
      </c>
      <c r="R148" t="s">
        <v>134</v>
      </c>
      <c r="S148" t="s">
        <v>2600</v>
      </c>
      <c r="T148" t="s">
        <v>2601</v>
      </c>
      <c r="U148" t="s">
        <v>2602</v>
      </c>
      <c r="V148" t="s">
        <v>103</v>
      </c>
      <c r="W148" t="s">
        <v>206</v>
      </c>
      <c r="X148" t="s">
        <v>72</v>
      </c>
      <c r="Y148" t="s">
        <v>337</v>
      </c>
      <c r="Z148" t="s">
        <v>2603</v>
      </c>
      <c r="AA148" t="s">
        <v>19</v>
      </c>
      <c r="AB148" t="s">
        <v>179</v>
      </c>
      <c r="AC148">
        <v>1</v>
      </c>
      <c r="AD148" t="s">
        <v>210</v>
      </c>
      <c r="AE148" t="s">
        <v>77</v>
      </c>
      <c r="AF148">
        <v>76</v>
      </c>
      <c r="AG148" t="s">
        <v>111</v>
      </c>
      <c r="AJ148" t="s">
        <v>2604</v>
      </c>
      <c r="AK148" t="s">
        <v>183</v>
      </c>
      <c r="AL148" t="s">
        <v>2605</v>
      </c>
      <c r="AM148" t="s">
        <v>825</v>
      </c>
      <c r="AN148" t="s">
        <v>116</v>
      </c>
      <c r="AO148">
        <v>32</v>
      </c>
      <c r="AP148" t="s">
        <v>187</v>
      </c>
      <c r="AQ148" t="s">
        <v>151</v>
      </c>
      <c r="AR148" t="s">
        <v>118</v>
      </c>
      <c r="AS148" t="s">
        <v>429</v>
      </c>
      <c r="AU148" t="s">
        <v>134</v>
      </c>
      <c r="AV148" t="s">
        <v>216</v>
      </c>
      <c r="AW148" t="s">
        <v>122</v>
      </c>
      <c r="AX148" t="s">
        <v>246</v>
      </c>
    </row>
    <row r="149" spans="1:50" x14ac:dyDescent="0.25">
      <c r="A149" t="s">
        <v>2606</v>
      </c>
      <c r="B149" t="s">
        <v>2607</v>
      </c>
      <c r="C149" t="s">
        <v>2608</v>
      </c>
      <c r="D149" t="s">
        <v>2609</v>
      </c>
      <c r="E149" t="s">
        <v>2610</v>
      </c>
      <c r="F149" t="s">
        <v>2473</v>
      </c>
      <c r="G149" t="s">
        <v>2611</v>
      </c>
      <c r="H149" t="s">
        <v>163</v>
      </c>
      <c r="I149" t="s">
        <v>162</v>
      </c>
      <c r="J149" t="s">
        <v>2612</v>
      </c>
      <c r="K149" t="s">
        <v>92</v>
      </c>
      <c r="L149" t="s">
        <v>2613</v>
      </c>
      <c r="M149" t="s">
        <v>2614</v>
      </c>
      <c r="N149" t="s">
        <v>62</v>
      </c>
      <c r="O149" t="s">
        <v>760</v>
      </c>
      <c r="P149" t="s">
        <v>2615</v>
      </c>
      <c r="Q149" t="s">
        <v>2616</v>
      </c>
      <c r="R149" t="s">
        <v>307</v>
      </c>
      <c r="S149" t="s">
        <v>2617</v>
      </c>
      <c r="T149" t="s">
        <v>2618</v>
      </c>
      <c r="U149" t="s">
        <v>2619</v>
      </c>
      <c r="V149" t="s">
        <v>205</v>
      </c>
      <c r="W149" t="s">
        <v>174</v>
      </c>
      <c r="X149" t="s">
        <v>207</v>
      </c>
      <c r="Y149" t="s">
        <v>73</v>
      </c>
      <c r="Z149" t="s">
        <v>2620</v>
      </c>
      <c r="AA149" t="s">
        <v>19</v>
      </c>
      <c r="AB149" t="s">
        <v>76</v>
      </c>
      <c r="AC149" t="s">
        <v>651</v>
      </c>
      <c r="AD149" t="s">
        <v>314</v>
      </c>
      <c r="AE149" t="s">
        <v>77</v>
      </c>
      <c r="AF149">
        <v>19</v>
      </c>
      <c r="AG149" t="s">
        <v>238</v>
      </c>
      <c r="AJ149">
        <v>47.73</v>
      </c>
      <c r="AK149" t="s">
        <v>183</v>
      </c>
      <c r="AL149" t="s">
        <v>2621</v>
      </c>
      <c r="AM149" t="s">
        <v>2622</v>
      </c>
      <c r="AN149" t="s">
        <v>186</v>
      </c>
      <c r="AO149">
        <v>475</v>
      </c>
      <c r="AP149">
        <v>4.5</v>
      </c>
      <c r="AS149" t="s">
        <v>429</v>
      </c>
      <c r="AT149" t="s">
        <v>119</v>
      </c>
      <c r="AU149" t="s">
        <v>2623</v>
      </c>
      <c r="AV149" t="s">
        <v>2624</v>
      </c>
      <c r="AW149" t="s">
        <v>2625</v>
      </c>
      <c r="AX149" t="s">
        <v>85</v>
      </c>
    </row>
    <row r="150" spans="1:50" x14ac:dyDescent="0.25">
      <c r="A150" t="s">
        <v>2626</v>
      </c>
      <c r="B150" t="s">
        <v>2627</v>
      </c>
      <c r="C150" t="s">
        <v>2628</v>
      </c>
      <c r="D150" t="s">
        <v>2629</v>
      </c>
      <c r="E150" t="s">
        <v>2630</v>
      </c>
      <c r="F150" t="s">
        <v>2631</v>
      </c>
      <c r="G150">
        <v>40</v>
      </c>
      <c r="H150" t="s">
        <v>2632</v>
      </c>
      <c r="J150" t="s">
        <v>2633</v>
      </c>
      <c r="K150" t="s">
        <v>132</v>
      </c>
      <c r="L150" t="s">
        <v>350</v>
      </c>
      <c r="M150" t="s">
        <v>2634</v>
      </c>
      <c r="N150" t="s">
        <v>396</v>
      </c>
      <c r="O150" t="s">
        <v>760</v>
      </c>
      <c r="P150" t="s">
        <v>992</v>
      </c>
      <c r="Q150" t="s">
        <v>2635</v>
      </c>
      <c r="R150" t="s">
        <v>1232</v>
      </c>
      <c r="S150" t="s">
        <v>2636</v>
      </c>
      <c r="T150" t="s">
        <v>2637</v>
      </c>
      <c r="U150" t="s">
        <v>2638</v>
      </c>
      <c r="V150" t="s">
        <v>290</v>
      </c>
      <c r="W150" t="s">
        <v>311</v>
      </c>
      <c r="X150" t="s">
        <v>72</v>
      </c>
      <c r="Y150" t="s">
        <v>234</v>
      </c>
      <c r="Z150" t="s">
        <v>2639</v>
      </c>
      <c r="AA150" t="s">
        <v>144</v>
      </c>
      <c r="AB150" t="s">
        <v>179</v>
      </c>
      <c r="AC150" t="s">
        <v>651</v>
      </c>
      <c r="AD150" t="s">
        <v>314</v>
      </c>
      <c r="AE150" t="s">
        <v>110</v>
      </c>
      <c r="AF150">
        <v>13</v>
      </c>
      <c r="AG150" t="s">
        <v>238</v>
      </c>
      <c r="AJ150" t="s">
        <v>2640</v>
      </c>
      <c r="AK150" t="s">
        <v>571</v>
      </c>
      <c r="AL150" t="s">
        <v>2641</v>
      </c>
      <c r="AM150">
        <v>9.18</v>
      </c>
      <c r="AN150" t="s">
        <v>82</v>
      </c>
      <c r="AO150">
        <v>392</v>
      </c>
      <c r="AP150" t="s">
        <v>214</v>
      </c>
      <c r="AQ150" t="s">
        <v>318</v>
      </c>
      <c r="AR150" t="s">
        <v>188</v>
      </c>
      <c r="AT150" t="s">
        <v>119</v>
      </c>
      <c r="AU150" t="s">
        <v>163</v>
      </c>
      <c r="AV150" t="s">
        <v>2642</v>
      </c>
      <c r="AX150" t="s">
        <v>85</v>
      </c>
    </row>
    <row r="151" spans="1:50" x14ac:dyDescent="0.25">
      <c r="A151" t="s">
        <v>2643</v>
      </c>
      <c r="B151" t="s">
        <v>2644</v>
      </c>
      <c r="C151" t="s">
        <v>2645</v>
      </c>
      <c r="D151" t="s">
        <v>2646</v>
      </c>
      <c r="E151" t="s">
        <v>163</v>
      </c>
      <c r="F151" t="s">
        <v>142</v>
      </c>
      <c r="G151" t="s">
        <v>2647</v>
      </c>
      <c r="H151" t="s">
        <v>1666</v>
      </c>
      <c r="I151">
        <v>0.1</v>
      </c>
      <c r="J151" t="s">
        <v>2648</v>
      </c>
      <c r="K151" t="s">
        <v>92</v>
      </c>
      <c r="L151" t="s">
        <v>2613</v>
      </c>
      <c r="M151" t="s">
        <v>2649</v>
      </c>
      <c r="N151" t="s">
        <v>135</v>
      </c>
      <c r="O151" t="s">
        <v>332</v>
      </c>
      <c r="P151" t="s">
        <v>482</v>
      </c>
      <c r="Q151" t="s">
        <v>2650</v>
      </c>
      <c r="R151" t="s">
        <v>1232</v>
      </c>
      <c r="S151" t="s">
        <v>2651</v>
      </c>
      <c r="T151" t="s">
        <v>2652</v>
      </c>
      <c r="U151" t="s">
        <v>2653</v>
      </c>
      <c r="V151" t="s">
        <v>103</v>
      </c>
      <c r="W151" t="s">
        <v>71</v>
      </c>
      <c r="X151" t="s">
        <v>175</v>
      </c>
      <c r="Y151" t="s">
        <v>176</v>
      </c>
      <c r="Z151" t="s">
        <v>2654</v>
      </c>
      <c r="AA151" t="s">
        <v>75</v>
      </c>
      <c r="AB151" t="s">
        <v>108</v>
      </c>
      <c r="AC151" t="s">
        <v>651</v>
      </c>
      <c r="AD151">
        <v>2025</v>
      </c>
      <c r="AE151" t="s">
        <v>77</v>
      </c>
      <c r="AF151" t="s">
        <v>134</v>
      </c>
      <c r="AG151" t="s">
        <v>111</v>
      </c>
      <c r="AJ151" t="s">
        <v>2655</v>
      </c>
      <c r="AK151" t="s">
        <v>113</v>
      </c>
      <c r="AL151" t="s">
        <v>2656</v>
      </c>
      <c r="AM151" t="s">
        <v>2657</v>
      </c>
      <c r="AN151" t="s">
        <v>82</v>
      </c>
      <c r="AO151">
        <v>406</v>
      </c>
      <c r="AP151">
        <v>2</v>
      </c>
      <c r="AQ151" t="s">
        <v>117</v>
      </c>
      <c r="AR151">
        <v>0</v>
      </c>
      <c r="AT151">
        <v>0.3</v>
      </c>
      <c r="AU151" t="s">
        <v>2658</v>
      </c>
      <c r="AV151" t="s">
        <v>2659</v>
      </c>
      <c r="AW151" t="s">
        <v>122</v>
      </c>
      <c r="AX151" t="s">
        <v>191</v>
      </c>
    </row>
    <row r="152" spans="1:50" x14ac:dyDescent="0.25">
      <c r="A152" t="s">
        <v>2660</v>
      </c>
      <c r="B152" t="s">
        <v>2661</v>
      </c>
      <c r="C152" t="s">
        <v>91</v>
      </c>
      <c r="D152" t="s">
        <v>2662</v>
      </c>
      <c r="E152" t="s">
        <v>794</v>
      </c>
      <c r="F152" t="s">
        <v>2663</v>
      </c>
      <c r="G152">
        <v>39</v>
      </c>
      <c r="H152" t="s">
        <v>2664</v>
      </c>
      <c r="I152">
        <v>0</v>
      </c>
      <c r="J152" t="s">
        <v>2665</v>
      </c>
      <c r="K152" t="s">
        <v>280</v>
      </c>
      <c r="L152" t="s">
        <v>2387</v>
      </c>
      <c r="M152" t="s">
        <v>134</v>
      </c>
      <c r="N152" t="s">
        <v>417</v>
      </c>
      <c r="O152" t="s">
        <v>304</v>
      </c>
      <c r="P152" t="s">
        <v>992</v>
      </c>
      <c r="Q152" t="s">
        <v>2666</v>
      </c>
      <c r="R152" t="s">
        <v>1502</v>
      </c>
      <c r="S152" t="s">
        <v>2667</v>
      </c>
      <c r="T152" t="s">
        <v>2668</v>
      </c>
      <c r="U152" t="s">
        <v>91</v>
      </c>
      <c r="V152" t="s">
        <v>173</v>
      </c>
      <c r="W152" t="s">
        <v>174</v>
      </c>
      <c r="X152" t="s">
        <v>207</v>
      </c>
      <c r="Y152" t="s">
        <v>73</v>
      </c>
      <c r="Z152" t="s">
        <v>2669</v>
      </c>
      <c r="AA152" t="s">
        <v>236</v>
      </c>
      <c r="AB152" t="s">
        <v>76</v>
      </c>
      <c r="AC152" t="s">
        <v>728</v>
      </c>
      <c r="AD152">
        <v>2026</v>
      </c>
      <c r="AE152" t="s">
        <v>181</v>
      </c>
      <c r="AG152" t="s">
        <v>238</v>
      </c>
      <c r="AJ152">
        <v>15.52</v>
      </c>
      <c r="AK152" t="s">
        <v>240</v>
      </c>
      <c r="AL152" t="s">
        <v>2670</v>
      </c>
      <c r="AM152" t="s">
        <v>2671</v>
      </c>
      <c r="AN152" t="s">
        <v>267</v>
      </c>
      <c r="AO152">
        <v>231</v>
      </c>
      <c r="AP152">
        <v>2</v>
      </c>
      <c r="AQ152" t="s">
        <v>786</v>
      </c>
      <c r="AR152" t="s">
        <v>319</v>
      </c>
      <c r="AT152" t="s">
        <v>152</v>
      </c>
      <c r="AU152" t="s">
        <v>2672</v>
      </c>
      <c r="AV152" t="s">
        <v>2673</v>
      </c>
      <c r="AX152" t="s">
        <v>85</v>
      </c>
    </row>
    <row r="153" spans="1:50" x14ac:dyDescent="0.25">
      <c r="A153" t="s">
        <v>2674</v>
      </c>
      <c r="B153" t="s">
        <v>2675</v>
      </c>
      <c r="C153" t="s">
        <v>2676</v>
      </c>
      <c r="D153" t="s">
        <v>2677</v>
      </c>
      <c r="E153" t="s">
        <v>2678</v>
      </c>
      <c r="F153" t="s">
        <v>299</v>
      </c>
      <c r="G153" t="s">
        <v>1138</v>
      </c>
      <c r="H153" t="s">
        <v>2679</v>
      </c>
      <c r="I153" t="s">
        <v>58</v>
      </c>
      <c r="J153" t="s">
        <v>2680</v>
      </c>
      <c r="K153" t="s">
        <v>92</v>
      </c>
      <c r="L153" t="s">
        <v>1099</v>
      </c>
      <c r="M153" t="s">
        <v>1100</v>
      </c>
      <c r="N153" t="s">
        <v>135</v>
      </c>
      <c r="O153" t="s">
        <v>1028</v>
      </c>
      <c r="P153" t="s">
        <v>2681</v>
      </c>
      <c r="Q153" t="s">
        <v>2682</v>
      </c>
      <c r="R153" t="s">
        <v>1251</v>
      </c>
      <c r="S153" t="s">
        <v>2683</v>
      </c>
      <c r="T153" t="s">
        <v>2684</v>
      </c>
      <c r="U153" t="s">
        <v>2685</v>
      </c>
      <c r="V153" t="s">
        <v>70</v>
      </c>
      <c r="W153" t="s">
        <v>206</v>
      </c>
      <c r="X153" t="s">
        <v>207</v>
      </c>
      <c r="Y153" t="s">
        <v>234</v>
      </c>
      <c r="Z153" t="s">
        <v>2686</v>
      </c>
      <c r="AA153" t="s">
        <v>75</v>
      </c>
      <c r="AB153" t="s">
        <v>76</v>
      </c>
      <c r="AC153" t="s">
        <v>569</v>
      </c>
      <c r="AD153">
        <v>2026</v>
      </c>
      <c r="AE153" t="s">
        <v>77</v>
      </c>
      <c r="AF153">
        <v>89</v>
      </c>
      <c r="AG153">
        <v>0.08</v>
      </c>
      <c r="AJ153" t="s">
        <v>2687</v>
      </c>
      <c r="AK153" t="s">
        <v>147</v>
      </c>
      <c r="AL153" t="s">
        <v>2688</v>
      </c>
      <c r="AM153" t="s">
        <v>2689</v>
      </c>
      <c r="AN153" t="s">
        <v>150</v>
      </c>
      <c r="AO153">
        <v>251</v>
      </c>
      <c r="AP153" t="s">
        <v>214</v>
      </c>
      <c r="AQ153" t="s">
        <v>117</v>
      </c>
      <c r="AR153" t="s">
        <v>118</v>
      </c>
      <c r="AT153" t="s">
        <v>152</v>
      </c>
      <c r="AU153" t="s">
        <v>134</v>
      </c>
      <c r="AV153" t="s">
        <v>2690</v>
      </c>
      <c r="AX153" t="s">
        <v>191</v>
      </c>
    </row>
    <row r="154" spans="1:50" x14ac:dyDescent="0.25">
      <c r="A154" t="s">
        <v>2691</v>
      </c>
      <c r="B154" t="s">
        <v>2692</v>
      </c>
      <c r="C154" t="s">
        <v>142</v>
      </c>
      <c r="D154" t="s">
        <v>2693</v>
      </c>
      <c r="E154" t="s">
        <v>2694</v>
      </c>
      <c r="F154" t="s">
        <v>2695</v>
      </c>
      <c r="G154">
        <v>26</v>
      </c>
      <c r="H154" t="s">
        <v>2696</v>
      </c>
      <c r="I154" t="s">
        <v>58</v>
      </c>
      <c r="J154" t="s">
        <v>163</v>
      </c>
      <c r="K154" t="s">
        <v>59</v>
      </c>
      <c r="L154" t="s">
        <v>2697</v>
      </c>
      <c r="M154" t="s">
        <v>827</v>
      </c>
      <c r="N154" t="s">
        <v>135</v>
      </c>
      <c r="O154" t="s">
        <v>621</v>
      </c>
      <c r="P154" t="s">
        <v>284</v>
      </c>
      <c r="Q154" t="s">
        <v>2698</v>
      </c>
      <c r="R154" t="s">
        <v>1846</v>
      </c>
      <c r="S154" t="s">
        <v>2699</v>
      </c>
      <c r="T154" t="s">
        <v>2700</v>
      </c>
      <c r="U154" t="s">
        <v>2701</v>
      </c>
      <c r="V154" t="s">
        <v>173</v>
      </c>
      <c r="W154" t="s">
        <v>206</v>
      </c>
      <c r="X154" t="s">
        <v>233</v>
      </c>
      <c r="Y154" t="s">
        <v>106</v>
      </c>
      <c r="Z154" t="s">
        <v>2702</v>
      </c>
      <c r="AA154" t="s">
        <v>236</v>
      </c>
      <c r="AB154" t="s">
        <v>179</v>
      </c>
      <c r="AC154">
        <v>7</v>
      </c>
      <c r="AD154">
        <v>2025</v>
      </c>
      <c r="AE154" t="s">
        <v>181</v>
      </c>
      <c r="AF154">
        <v>32</v>
      </c>
      <c r="AG154" t="s">
        <v>211</v>
      </c>
      <c r="AJ154" t="s">
        <v>2703</v>
      </c>
      <c r="AK154" t="s">
        <v>240</v>
      </c>
      <c r="AL154" t="s">
        <v>2704</v>
      </c>
      <c r="AM154" t="s">
        <v>671</v>
      </c>
      <c r="AN154" t="s">
        <v>82</v>
      </c>
      <c r="AO154">
        <v>252</v>
      </c>
      <c r="AP154">
        <v>1</v>
      </c>
      <c r="AQ154" t="s">
        <v>786</v>
      </c>
      <c r="AS154" t="s">
        <v>215</v>
      </c>
      <c r="AT154">
        <v>0.3</v>
      </c>
      <c r="AU154" t="s">
        <v>142</v>
      </c>
      <c r="AV154" t="s">
        <v>2705</v>
      </c>
      <c r="AW154" t="s">
        <v>122</v>
      </c>
      <c r="AX154" t="s">
        <v>85</v>
      </c>
    </row>
    <row r="155" spans="1:50" x14ac:dyDescent="0.25">
      <c r="A155" t="s">
        <v>2706</v>
      </c>
      <c r="B155" t="s">
        <v>2707</v>
      </c>
      <c r="C155" t="s">
        <v>2708</v>
      </c>
      <c r="D155" t="s">
        <v>2709</v>
      </c>
      <c r="E155" t="s">
        <v>2710</v>
      </c>
      <c r="F155" t="s">
        <v>928</v>
      </c>
      <c r="G155" t="s">
        <v>2301</v>
      </c>
      <c r="H155">
        <v>158.06</v>
      </c>
      <c r="I155">
        <v>0.1</v>
      </c>
      <c r="J155">
        <v>790.3</v>
      </c>
      <c r="K155" t="s">
        <v>280</v>
      </c>
      <c r="L155" t="s">
        <v>1480</v>
      </c>
      <c r="M155" t="s">
        <v>134</v>
      </c>
      <c r="N155" t="s">
        <v>166</v>
      </c>
      <c r="O155" t="s">
        <v>543</v>
      </c>
      <c r="P155" t="s">
        <v>2711</v>
      </c>
      <c r="Q155" t="s">
        <v>2712</v>
      </c>
      <c r="R155" t="s">
        <v>201</v>
      </c>
      <c r="S155" t="s">
        <v>2713</v>
      </c>
      <c r="T155" t="s">
        <v>2714</v>
      </c>
      <c r="U155" t="s">
        <v>2715</v>
      </c>
      <c r="V155" t="s">
        <v>290</v>
      </c>
      <c r="W155" t="s">
        <v>206</v>
      </c>
      <c r="X155" t="s">
        <v>233</v>
      </c>
      <c r="Y155" t="s">
        <v>234</v>
      </c>
      <c r="Z155" t="s">
        <v>2716</v>
      </c>
      <c r="AA155" t="s">
        <v>144</v>
      </c>
      <c r="AB155" t="s">
        <v>108</v>
      </c>
      <c r="AC155" t="s">
        <v>357</v>
      </c>
      <c r="AD155">
        <v>2025</v>
      </c>
      <c r="AE155" t="s">
        <v>77</v>
      </c>
      <c r="AF155">
        <v>0</v>
      </c>
      <c r="AG155">
        <v>0.08</v>
      </c>
      <c r="AJ155" t="s">
        <v>212</v>
      </c>
      <c r="AK155" t="s">
        <v>79</v>
      </c>
      <c r="AL155" t="s">
        <v>2717</v>
      </c>
      <c r="AM155" t="s">
        <v>2718</v>
      </c>
      <c r="AN155" t="s">
        <v>116</v>
      </c>
      <c r="AO155">
        <v>177</v>
      </c>
      <c r="AP155">
        <v>3</v>
      </c>
      <c r="AQ155" t="s">
        <v>610</v>
      </c>
      <c r="AR155" t="s">
        <v>118</v>
      </c>
      <c r="AS155" t="s">
        <v>429</v>
      </c>
      <c r="AT155">
        <v>0.3</v>
      </c>
      <c r="AU155" t="s">
        <v>142</v>
      </c>
      <c r="AV155" t="s">
        <v>2719</v>
      </c>
      <c r="AW155" t="s">
        <v>1838</v>
      </c>
      <c r="AX155" t="s">
        <v>85</v>
      </c>
    </row>
    <row r="156" spans="1:50" x14ac:dyDescent="0.25">
      <c r="A156" t="s">
        <v>2720</v>
      </c>
      <c r="B156" t="s">
        <v>2721</v>
      </c>
      <c r="C156" t="s">
        <v>2722</v>
      </c>
      <c r="D156" t="s">
        <v>2121</v>
      </c>
      <c r="E156" t="s">
        <v>2723</v>
      </c>
      <c r="F156" t="s">
        <v>163</v>
      </c>
      <c r="G156" t="s">
        <v>2073</v>
      </c>
      <c r="H156" t="s">
        <v>2724</v>
      </c>
      <c r="I156" t="s">
        <v>253</v>
      </c>
      <c r="J156" t="s">
        <v>2725</v>
      </c>
      <c r="K156" t="s">
        <v>59</v>
      </c>
      <c r="L156" t="s">
        <v>1410</v>
      </c>
      <c r="M156" t="s">
        <v>2726</v>
      </c>
      <c r="N156" t="s">
        <v>135</v>
      </c>
      <c r="O156" t="s">
        <v>397</v>
      </c>
      <c r="P156" t="s">
        <v>1602</v>
      </c>
      <c r="Q156" t="s">
        <v>2727</v>
      </c>
      <c r="R156" t="s">
        <v>400</v>
      </c>
      <c r="S156" t="s">
        <v>2728</v>
      </c>
      <c r="T156" t="s">
        <v>2729</v>
      </c>
      <c r="U156" t="s">
        <v>2730</v>
      </c>
      <c r="V156" t="s">
        <v>70</v>
      </c>
      <c r="W156" t="s">
        <v>311</v>
      </c>
      <c r="X156" t="s">
        <v>72</v>
      </c>
      <c r="Y156" t="s">
        <v>234</v>
      </c>
      <c r="Z156" t="s">
        <v>2731</v>
      </c>
      <c r="AA156" t="s">
        <v>236</v>
      </c>
      <c r="AB156" t="s">
        <v>263</v>
      </c>
      <c r="AC156" t="s">
        <v>145</v>
      </c>
      <c r="AD156" t="s">
        <v>146</v>
      </c>
      <c r="AE156" t="s">
        <v>110</v>
      </c>
      <c r="AF156">
        <v>56</v>
      </c>
      <c r="AG156" t="s">
        <v>211</v>
      </c>
      <c r="AJ156" t="s">
        <v>1072</v>
      </c>
      <c r="AK156" t="s">
        <v>79</v>
      </c>
      <c r="AL156" t="s">
        <v>2732</v>
      </c>
      <c r="AM156" t="s">
        <v>2733</v>
      </c>
      <c r="AN156" t="s">
        <v>150</v>
      </c>
      <c r="AO156">
        <v>198</v>
      </c>
      <c r="AP156">
        <v>5</v>
      </c>
      <c r="AQ156" t="s">
        <v>242</v>
      </c>
      <c r="AR156">
        <v>1</v>
      </c>
      <c r="AS156" t="s">
        <v>215</v>
      </c>
      <c r="AT156" t="s">
        <v>119</v>
      </c>
      <c r="AU156" t="s">
        <v>134</v>
      </c>
      <c r="AV156" t="s">
        <v>2734</v>
      </c>
      <c r="AW156" t="s">
        <v>122</v>
      </c>
    </row>
    <row r="157" spans="1:50" x14ac:dyDescent="0.25">
      <c r="A157" t="s">
        <v>2735</v>
      </c>
      <c r="B157" t="s">
        <v>2736</v>
      </c>
      <c r="C157" t="s">
        <v>2737</v>
      </c>
      <c r="D157" t="s">
        <v>2738</v>
      </c>
      <c r="E157" t="s">
        <v>2299</v>
      </c>
      <c r="F157" t="s">
        <v>1876</v>
      </c>
      <c r="G157" t="s">
        <v>2301</v>
      </c>
      <c r="H157" t="s">
        <v>2739</v>
      </c>
      <c r="I157">
        <v>0.1</v>
      </c>
      <c r="J157" t="s">
        <v>2740</v>
      </c>
      <c r="K157" t="s">
        <v>132</v>
      </c>
      <c r="L157" t="s">
        <v>2741</v>
      </c>
      <c r="M157" t="s">
        <v>142</v>
      </c>
      <c r="N157" t="s">
        <v>135</v>
      </c>
      <c r="O157" t="s">
        <v>543</v>
      </c>
      <c r="P157" t="s">
        <v>199</v>
      </c>
      <c r="Q157" t="s">
        <v>2742</v>
      </c>
      <c r="R157" t="s">
        <v>2743</v>
      </c>
      <c r="S157" t="s">
        <v>2744</v>
      </c>
      <c r="T157" t="s">
        <v>2745</v>
      </c>
      <c r="U157" t="s">
        <v>2746</v>
      </c>
      <c r="V157" t="s">
        <v>205</v>
      </c>
      <c r="W157" t="s">
        <v>104</v>
      </c>
      <c r="X157" t="s">
        <v>424</v>
      </c>
      <c r="Y157" t="s">
        <v>106</v>
      </c>
      <c r="Z157" t="s">
        <v>2747</v>
      </c>
      <c r="AA157" t="s">
        <v>19</v>
      </c>
      <c r="AB157" t="s">
        <v>528</v>
      </c>
      <c r="AC157" t="s">
        <v>357</v>
      </c>
      <c r="AD157" t="s">
        <v>210</v>
      </c>
      <c r="AE157" t="s">
        <v>181</v>
      </c>
      <c r="AF157">
        <v>79</v>
      </c>
      <c r="AG157">
        <v>0.08</v>
      </c>
      <c r="AJ157" t="s">
        <v>2748</v>
      </c>
      <c r="AK157" t="s">
        <v>240</v>
      </c>
      <c r="AL157" t="s">
        <v>2749</v>
      </c>
      <c r="AM157" t="s">
        <v>2750</v>
      </c>
      <c r="AN157" t="s">
        <v>150</v>
      </c>
      <c r="AO157">
        <v>50</v>
      </c>
      <c r="AP157" t="s">
        <v>214</v>
      </c>
      <c r="AQ157" t="s">
        <v>242</v>
      </c>
      <c r="AR157">
        <v>1</v>
      </c>
      <c r="AT157" t="s">
        <v>119</v>
      </c>
      <c r="AU157" t="s">
        <v>2751</v>
      </c>
      <c r="AV157" t="s">
        <v>2752</v>
      </c>
      <c r="AW157" t="s">
        <v>965</v>
      </c>
      <c r="AX157" t="s">
        <v>85</v>
      </c>
    </row>
    <row r="158" spans="1:50" x14ac:dyDescent="0.25">
      <c r="A158" t="s">
        <v>2753</v>
      </c>
      <c r="B158" t="s">
        <v>2754</v>
      </c>
      <c r="C158" t="s">
        <v>2755</v>
      </c>
      <c r="D158" t="s">
        <v>126</v>
      </c>
      <c r="E158" t="s">
        <v>2756</v>
      </c>
      <c r="F158" t="s">
        <v>134</v>
      </c>
      <c r="G158" t="s">
        <v>2757</v>
      </c>
      <c r="H158" t="s">
        <v>909</v>
      </c>
      <c r="I158">
        <v>0.1</v>
      </c>
      <c r="J158" t="s">
        <v>2758</v>
      </c>
      <c r="K158" t="s">
        <v>330</v>
      </c>
      <c r="L158" t="s">
        <v>2759</v>
      </c>
      <c r="M158" t="s">
        <v>2760</v>
      </c>
      <c r="N158" t="s">
        <v>62</v>
      </c>
      <c r="O158" t="s">
        <v>1122</v>
      </c>
      <c r="P158" t="s">
        <v>2761</v>
      </c>
      <c r="Q158" t="s">
        <v>2762</v>
      </c>
      <c r="R158" t="s">
        <v>1815</v>
      </c>
      <c r="S158" t="s">
        <v>2763</v>
      </c>
      <c r="T158" t="s">
        <v>2764</v>
      </c>
      <c r="U158" t="s">
        <v>2765</v>
      </c>
      <c r="V158" t="s">
        <v>173</v>
      </c>
      <c r="W158" t="s">
        <v>311</v>
      </c>
      <c r="X158" t="s">
        <v>175</v>
      </c>
      <c r="Y158" t="s">
        <v>176</v>
      </c>
      <c r="Z158" t="s">
        <v>2766</v>
      </c>
      <c r="AA158" t="s">
        <v>236</v>
      </c>
      <c r="AB158" t="s">
        <v>263</v>
      </c>
      <c r="AC158">
        <v>1</v>
      </c>
      <c r="AD158">
        <v>2026</v>
      </c>
      <c r="AE158" t="s">
        <v>181</v>
      </c>
      <c r="AF158">
        <v>40</v>
      </c>
      <c r="AG158" t="s">
        <v>111</v>
      </c>
      <c r="AJ158" t="s">
        <v>2767</v>
      </c>
      <c r="AK158" t="s">
        <v>147</v>
      </c>
      <c r="AL158" t="s">
        <v>2768</v>
      </c>
      <c r="AM158">
        <v>24.58</v>
      </c>
      <c r="AN158" t="s">
        <v>186</v>
      </c>
      <c r="AO158">
        <v>98</v>
      </c>
      <c r="AP158">
        <v>3</v>
      </c>
      <c r="AQ158" t="s">
        <v>610</v>
      </c>
      <c r="AR158">
        <v>1</v>
      </c>
      <c r="AT158" t="s">
        <v>361</v>
      </c>
      <c r="AV158" t="s">
        <v>2769</v>
      </c>
      <c r="AW158" t="s">
        <v>122</v>
      </c>
      <c r="AX158" t="s">
        <v>246</v>
      </c>
    </row>
    <row r="159" spans="1:50" x14ac:dyDescent="0.25">
      <c r="A159" t="s">
        <v>2770</v>
      </c>
    </row>
    <row r="160" spans="1:50" x14ac:dyDescent="0.25">
      <c r="A160" t="s">
        <v>1003</v>
      </c>
      <c r="B160" t="s">
        <v>1004</v>
      </c>
      <c r="C160" t="s">
        <v>434</v>
      </c>
      <c r="D160" t="s">
        <v>1005</v>
      </c>
      <c r="E160" t="s">
        <v>134</v>
      </c>
      <c r="F160" t="s">
        <v>222</v>
      </c>
      <c r="G160" t="s">
        <v>1006</v>
      </c>
      <c r="H160" t="s">
        <v>1007</v>
      </c>
      <c r="I160" t="s">
        <v>253</v>
      </c>
      <c r="J160" t="s">
        <v>1008</v>
      </c>
      <c r="K160" t="s">
        <v>132</v>
      </c>
      <c r="L160" t="s">
        <v>1009</v>
      </c>
      <c r="M160" t="s">
        <v>513</v>
      </c>
      <c r="N160" t="s">
        <v>166</v>
      </c>
      <c r="O160" t="s">
        <v>136</v>
      </c>
      <c r="P160" t="s">
        <v>1010</v>
      </c>
      <c r="Q160" t="s">
        <v>1011</v>
      </c>
      <c r="R160" t="s">
        <v>229</v>
      </c>
      <c r="S160" t="s">
        <v>1012</v>
      </c>
      <c r="T160" t="s">
        <v>1013</v>
      </c>
      <c r="U160" t="s">
        <v>1014</v>
      </c>
      <c r="V160" t="s">
        <v>173</v>
      </c>
      <c r="W160" t="s">
        <v>174</v>
      </c>
      <c r="X160" t="s">
        <v>105</v>
      </c>
      <c r="Y160" t="s">
        <v>337</v>
      </c>
      <c r="Z160" t="s">
        <v>1015</v>
      </c>
      <c r="AA160" t="s">
        <v>19</v>
      </c>
      <c r="AB160" t="s">
        <v>528</v>
      </c>
      <c r="AC160">
        <v>9</v>
      </c>
      <c r="AD160" t="s">
        <v>314</v>
      </c>
      <c r="AE160" t="s">
        <v>181</v>
      </c>
      <c r="AF160">
        <v>79</v>
      </c>
      <c r="AG160">
        <v>0.08</v>
      </c>
      <c r="AJ160" t="s">
        <v>134</v>
      </c>
      <c r="AK160" t="s">
        <v>571</v>
      </c>
      <c r="AL160" t="s">
        <v>1016</v>
      </c>
      <c r="AM160">
        <v>26.05</v>
      </c>
      <c r="AN160" t="s">
        <v>116</v>
      </c>
      <c r="AO160" t="s">
        <v>142</v>
      </c>
      <c r="AP160">
        <v>4</v>
      </c>
      <c r="AQ160" t="s">
        <v>151</v>
      </c>
      <c r="AR160" t="s">
        <v>319</v>
      </c>
      <c r="AS160" t="s">
        <v>83</v>
      </c>
      <c r="AT160" t="s">
        <v>361</v>
      </c>
      <c r="AU160" t="s">
        <v>1017</v>
      </c>
      <c r="AV160" t="s">
        <v>1018</v>
      </c>
      <c r="AW160" t="s">
        <v>1019</v>
      </c>
      <c r="AX160" t="s">
        <v>85</v>
      </c>
    </row>
    <row r="161" spans="1:50" x14ac:dyDescent="0.25">
      <c r="A161" t="s">
        <v>2771</v>
      </c>
      <c r="B161" t="s">
        <v>2772</v>
      </c>
      <c r="C161" t="s">
        <v>2773</v>
      </c>
      <c r="D161" t="s">
        <v>594</v>
      </c>
      <c r="E161" t="s">
        <v>595</v>
      </c>
      <c r="F161" t="s">
        <v>56</v>
      </c>
      <c r="G161" t="s">
        <v>1322</v>
      </c>
      <c r="H161" t="s">
        <v>2774</v>
      </c>
      <c r="I161">
        <v>0.1</v>
      </c>
      <c r="J161" t="s">
        <v>2775</v>
      </c>
      <c r="K161" t="s">
        <v>59</v>
      </c>
      <c r="L161" t="s">
        <v>2203</v>
      </c>
      <c r="M161" t="s">
        <v>2776</v>
      </c>
      <c r="N161" t="s">
        <v>62</v>
      </c>
      <c r="O161" t="s">
        <v>1028</v>
      </c>
      <c r="P161" t="s">
        <v>2777</v>
      </c>
      <c r="Q161" t="s">
        <v>2778</v>
      </c>
      <c r="R161" t="s">
        <v>1450</v>
      </c>
      <c r="S161" t="s">
        <v>2779</v>
      </c>
      <c r="T161" t="s">
        <v>2780</v>
      </c>
      <c r="U161" t="s">
        <v>2781</v>
      </c>
      <c r="V161" t="s">
        <v>205</v>
      </c>
      <c r="W161" t="s">
        <v>71</v>
      </c>
      <c r="X161" t="s">
        <v>207</v>
      </c>
      <c r="Y161" t="s">
        <v>234</v>
      </c>
      <c r="Z161" t="s">
        <v>2782</v>
      </c>
      <c r="AA161" t="s">
        <v>178</v>
      </c>
      <c r="AB161" t="s">
        <v>528</v>
      </c>
      <c r="AC161" t="s">
        <v>2036</v>
      </c>
      <c r="AD161" t="s">
        <v>237</v>
      </c>
      <c r="AE161" t="s">
        <v>110</v>
      </c>
      <c r="AF161">
        <v>26</v>
      </c>
      <c r="AG161">
        <v>0.08</v>
      </c>
      <c r="AJ161" t="s">
        <v>2783</v>
      </c>
      <c r="AK161" t="s">
        <v>113</v>
      </c>
      <c r="AL161" t="s">
        <v>2784</v>
      </c>
      <c r="AM161" t="s">
        <v>2785</v>
      </c>
      <c r="AN161" t="s">
        <v>186</v>
      </c>
      <c r="AO161">
        <v>456</v>
      </c>
      <c r="AQ161" t="s">
        <v>610</v>
      </c>
      <c r="AR161" t="s">
        <v>118</v>
      </c>
      <c r="AS161" t="s">
        <v>83</v>
      </c>
      <c r="AU161" t="s">
        <v>2786</v>
      </c>
      <c r="AV161" t="s">
        <v>2787</v>
      </c>
      <c r="AW161" t="s">
        <v>122</v>
      </c>
      <c r="AX161" t="s">
        <v>85</v>
      </c>
    </row>
    <row r="162" spans="1:50" x14ac:dyDescent="0.25">
      <c r="A162" t="s">
        <v>2788</v>
      </c>
      <c r="B162" t="s">
        <v>2789</v>
      </c>
      <c r="C162" t="s">
        <v>134</v>
      </c>
      <c r="D162" t="s">
        <v>2335</v>
      </c>
      <c r="E162" t="s">
        <v>2790</v>
      </c>
      <c r="F162" t="s">
        <v>2791</v>
      </c>
      <c r="G162" t="s">
        <v>2386</v>
      </c>
      <c r="H162" t="s">
        <v>2792</v>
      </c>
      <c r="J162" t="s">
        <v>91</v>
      </c>
      <c r="K162" t="s">
        <v>330</v>
      </c>
      <c r="L162" t="s">
        <v>1392</v>
      </c>
      <c r="M162" t="s">
        <v>142</v>
      </c>
      <c r="N162" t="s">
        <v>396</v>
      </c>
      <c r="O162" t="s">
        <v>1028</v>
      </c>
      <c r="P162" t="s">
        <v>2793</v>
      </c>
      <c r="Q162" t="s">
        <v>2794</v>
      </c>
      <c r="R162" t="s">
        <v>142</v>
      </c>
      <c r="S162" t="s">
        <v>2795</v>
      </c>
      <c r="T162" t="s">
        <v>2796</v>
      </c>
      <c r="U162" t="s">
        <v>2797</v>
      </c>
      <c r="V162" t="s">
        <v>103</v>
      </c>
      <c r="W162" t="s">
        <v>311</v>
      </c>
      <c r="X162" t="s">
        <v>105</v>
      </c>
      <c r="Y162" t="s">
        <v>106</v>
      </c>
      <c r="Z162" t="s">
        <v>2798</v>
      </c>
      <c r="AA162" t="s">
        <v>144</v>
      </c>
      <c r="AB162" t="s">
        <v>108</v>
      </c>
      <c r="AC162">
        <v>12</v>
      </c>
      <c r="AD162" t="s">
        <v>314</v>
      </c>
      <c r="AE162" t="s">
        <v>181</v>
      </c>
      <c r="AF162">
        <v>73</v>
      </c>
      <c r="AG162" t="s">
        <v>211</v>
      </c>
      <c r="AJ162" t="s">
        <v>2799</v>
      </c>
      <c r="AK162" t="s">
        <v>113</v>
      </c>
      <c r="AL162" t="s">
        <v>2800</v>
      </c>
      <c r="AM162" t="s">
        <v>2801</v>
      </c>
      <c r="AN162" t="s">
        <v>82</v>
      </c>
      <c r="AO162">
        <v>78</v>
      </c>
      <c r="AP162">
        <v>4.5</v>
      </c>
      <c r="AQ162" t="s">
        <v>786</v>
      </c>
      <c r="AR162" t="s">
        <v>188</v>
      </c>
      <c r="AU162" t="s">
        <v>2802</v>
      </c>
      <c r="AV162" t="s">
        <v>2803</v>
      </c>
      <c r="AX162" t="s">
        <v>246</v>
      </c>
    </row>
    <row r="163" spans="1:50" x14ac:dyDescent="0.25">
      <c r="A163" t="s">
        <v>2804</v>
      </c>
      <c r="B163" t="s">
        <v>2805</v>
      </c>
      <c r="C163" t="s">
        <v>2806</v>
      </c>
      <c r="D163" t="s">
        <v>1354</v>
      </c>
      <c r="E163" t="s">
        <v>2807</v>
      </c>
      <c r="F163" t="s">
        <v>327</v>
      </c>
      <c r="G163">
        <v>35</v>
      </c>
      <c r="H163" t="s">
        <v>2808</v>
      </c>
      <c r="J163" t="s">
        <v>91</v>
      </c>
      <c r="K163" t="s">
        <v>59</v>
      </c>
      <c r="L163" t="s">
        <v>2697</v>
      </c>
      <c r="M163" t="s">
        <v>827</v>
      </c>
      <c r="N163" t="s">
        <v>62</v>
      </c>
      <c r="O163" t="s">
        <v>1230</v>
      </c>
      <c r="P163" t="s">
        <v>2809</v>
      </c>
      <c r="Q163" t="s">
        <v>2810</v>
      </c>
      <c r="R163" t="s">
        <v>1292</v>
      </c>
      <c r="S163" t="s">
        <v>2811</v>
      </c>
      <c r="T163" t="s">
        <v>2812</v>
      </c>
      <c r="U163" t="s">
        <v>2813</v>
      </c>
      <c r="V163" t="s">
        <v>290</v>
      </c>
      <c r="W163" t="s">
        <v>726</v>
      </c>
      <c r="X163" t="s">
        <v>72</v>
      </c>
      <c r="Y163" t="s">
        <v>234</v>
      </c>
      <c r="Z163" t="s">
        <v>2814</v>
      </c>
      <c r="AA163" t="s">
        <v>236</v>
      </c>
      <c r="AB163" t="s">
        <v>405</v>
      </c>
      <c r="AC163" t="s">
        <v>109</v>
      </c>
      <c r="AD163">
        <v>2025</v>
      </c>
      <c r="AE163" t="s">
        <v>406</v>
      </c>
      <c r="AF163">
        <v>38</v>
      </c>
      <c r="AG163" t="s">
        <v>111</v>
      </c>
      <c r="AJ163" t="s">
        <v>2815</v>
      </c>
      <c r="AK163" t="s">
        <v>240</v>
      </c>
      <c r="AL163" t="s">
        <v>2816</v>
      </c>
      <c r="AM163">
        <v>3.95</v>
      </c>
      <c r="AN163" t="s">
        <v>186</v>
      </c>
      <c r="AO163">
        <v>442</v>
      </c>
      <c r="AP163">
        <v>2</v>
      </c>
      <c r="AQ163" t="s">
        <v>786</v>
      </c>
      <c r="AR163">
        <v>0</v>
      </c>
      <c r="AT163" t="s">
        <v>361</v>
      </c>
      <c r="AV163" t="s">
        <v>2817</v>
      </c>
      <c r="AW163" t="s">
        <v>1301</v>
      </c>
      <c r="AX163" t="s">
        <v>270</v>
      </c>
    </row>
    <row r="164" spans="1:50" x14ac:dyDescent="0.25">
      <c r="A164" t="s">
        <v>2818</v>
      </c>
      <c r="B164" t="s">
        <v>2819</v>
      </c>
      <c r="C164" t="s">
        <v>2820</v>
      </c>
      <c r="D164" t="s">
        <v>1996</v>
      </c>
      <c r="E164" t="s">
        <v>2821</v>
      </c>
      <c r="F164" t="s">
        <v>2473</v>
      </c>
      <c r="G164">
        <v>35</v>
      </c>
      <c r="H164">
        <v>978.15</v>
      </c>
      <c r="I164">
        <v>0.1</v>
      </c>
      <c r="K164" t="s">
        <v>280</v>
      </c>
      <c r="L164" t="s">
        <v>1686</v>
      </c>
      <c r="M164" t="s">
        <v>142</v>
      </c>
      <c r="N164" t="s">
        <v>135</v>
      </c>
      <c r="O164" t="s">
        <v>1230</v>
      </c>
      <c r="P164" t="s">
        <v>1196</v>
      </c>
      <c r="Q164" t="s">
        <v>2822</v>
      </c>
      <c r="R164" t="s">
        <v>464</v>
      </c>
      <c r="S164" t="s">
        <v>2823</v>
      </c>
      <c r="T164" t="s">
        <v>2824</v>
      </c>
      <c r="U164" t="s">
        <v>163</v>
      </c>
      <c r="V164" t="s">
        <v>205</v>
      </c>
      <c r="W164" t="s">
        <v>174</v>
      </c>
      <c r="X164" t="s">
        <v>175</v>
      </c>
      <c r="Y164" t="s">
        <v>337</v>
      </c>
      <c r="Z164" t="s">
        <v>2825</v>
      </c>
      <c r="AA164" t="s">
        <v>178</v>
      </c>
      <c r="AB164" t="s">
        <v>76</v>
      </c>
      <c r="AC164" t="s">
        <v>651</v>
      </c>
      <c r="AD164">
        <v>2025</v>
      </c>
      <c r="AE164" t="s">
        <v>181</v>
      </c>
      <c r="AF164">
        <v>75</v>
      </c>
      <c r="AG164" t="s">
        <v>111</v>
      </c>
      <c r="AJ164" t="s">
        <v>2826</v>
      </c>
      <c r="AK164" t="s">
        <v>113</v>
      </c>
      <c r="AL164" t="s">
        <v>2827</v>
      </c>
      <c r="AM164">
        <v>2.0699999999999998</v>
      </c>
      <c r="AN164" t="s">
        <v>82</v>
      </c>
      <c r="AO164">
        <v>290</v>
      </c>
      <c r="AP164" t="s">
        <v>187</v>
      </c>
      <c r="AS164" t="s">
        <v>83</v>
      </c>
      <c r="AU164">
        <v>1027.06</v>
      </c>
      <c r="AV164" t="s">
        <v>2828</v>
      </c>
      <c r="AW164" t="s">
        <v>1527</v>
      </c>
      <c r="AX164" t="s">
        <v>270</v>
      </c>
    </row>
    <row r="165" spans="1:50" x14ac:dyDescent="0.25">
      <c r="A165" t="s">
        <v>2829</v>
      </c>
      <c r="B165" t="s">
        <v>2830</v>
      </c>
      <c r="C165" t="s">
        <v>2831</v>
      </c>
      <c r="D165" t="s">
        <v>2832</v>
      </c>
      <c r="E165" t="s">
        <v>369</v>
      </c>
      <c r="F165" t="s">
        <v>538</v>
      </c>
      <c r="G165" t="s">
        <v>2833</v>
      </c>
      <c r="H165">
        <v>813.33</v>
      </c>
      <c r="I165" t="s">
        <v>58</v>
      </c>
      <c r="J165" t="s">
        <v>2834</v>
      </c>
      <c r="K165" t="s">
        <v>330</v>
      </c>
      <c r="L165" t="s">
        <v>2835</v>
      </c>
      <c r="M165" t="s">
        <v>1785</v>
      </c>
      <c r="N165" t="s">
        <v>95</v>
      </c>
      <c r="O165" t="s">
        <v>226</v>
      </c>
      <c r="P165" t="s">
        <v>2836</v>
      </c>
      <c r="Q165" t="s">
        <v>2837</v>
      </c>
      <c r="R165" t="s">
        <v>994</v>
      </c>
      <c r="S165" t="s">
        <v>2838</v>
      </c>
      <c r="T165" t="s">
        <v>2839</v>
      </c>
      <c r="U165" t="s">
        <v>2840</v>
      </c>
      <c r="V165" t="s">
        <v>103</v>
      </c>
      <c r="W165" t="s">
        <v>71</v>
      </c>
      <c r="X165" t="s">
        <v>175</v>
      </c>
      <c r="Y165" t="s">
        <v>106</v>
      </c>
      <c r="Z165" t="s">
        <v>2841</v>
      </c>
      <c r="AA165" t="s">
        <v>19</v>
      </c>
      <c r="AB165" t="s">
        <v>405</v>
      </c>
      <c r="AC165">
        <v>2</v>
      </c>
      <c r="AD165" t="s">
        <v>314</v>
      </c>
      <c r="AE165" t="s">
        <v>181</v>
      </c>
      <c r="AF165">
        <v>69</v>
      </c>
      <c r="AG165" t="s">
        <v>238</v>
      </c>
      <c r="AJ165" t="s">
        <v>2842</v>
      </c>
      <c r="AK165" t="s">
        <v>79</v>
      </c>
      <c r="AL165" t="s">
        <v>2843</v>
      </c>
      <c r="AM165" t="s">
        <v>2844</v>
      </c>
      <c r="AN165" t="s">
        <v>150</v>
      </c>
      <c r="AO165">
        <v>349</v>
      </c>
      <c r="AP165">
        <v>5</v>
      </c>
      <c r="AR165" t="s">
        <v>188</v>
      </c>
      <c r="AT165" t="s">
        <v>152</v>
      </c>
      <c r="AU165" t="s">
        <v>2845</v>
      </c>
      <c r="AV165" t="s">
        <v>2846</v>
      </c>
      <c r="AW165" t="s">
        <v>1838</v>
      </c>
    </row>
    <row r="166" spans="1:50" x14ac:dyDescent="0.25">
      <c r="A166" t="s">
        <v>2847</v>
      </c>
      <c r="B166" t="s">
        <v>2848</v>
      </c>
      <c r="C166" t="s">
        <v>2849</v>
      </c>
      <c r="D166" t="s">
        <v>2850</v>
      </c>
      <c r="E166" t="s">
        <v>91</v>
      </c>
      <c r="F166" t="s">
        <v>222</v>
      </c>
      <c r="G166" t="s">
        <v>252</v>
      </c>
      <c r="H166" t="s">
        <v>2851</v>
      </c>
      <c r="I166" t="s">
        <v>253</v>
      </c>
      <c r="J166" t="s">
        <v>91</v>
      </c>
      <c r="K166" t="s">
        <v>59</v>
      </c>
      <c r="L166" t="s">
        <v>2387</v>
      </c>
      <c r="N166" t="s">
        <v>95</v>
      </c>
      <c r="O166" t="s">
        <v>375</v>
      </c>
      <c r="P166" t="s">
        <v>2852</v>
      </c>
      <c r="Q166" t="s">
        <v>2853</v>
      </c>
      <c r="R166" t="s">
        <v>307</v>
      </c>
      <c r="S166" t="s">
        <v>2854</v>
      </c>
      <c r="T166" t="s">
        <v>2855</v>
      </c>
      <c r="U166" t="s">
        <v>2856</v>
      </c>
      <c r="V166" t="s">
        <v>173</v>
      </c>
      <c r="W166" t="s">
        <v>206</v>
      </c>
      <c r="X166" t="s">
        <v>207</v>
      </c>
      <c r="Y166" t="s">
        <v>234</v>
      </c>
      <c r="Z166" t="s">
        <v>2857</v>
      </c>
      <c r="AA166" t="s">
        <v>75</v>
      </c>
      <c r="AB166" t="s">
        <v>179</v>
      </c>
      <c r="AC166" t="s">
        <v>2036</v>
      </c>
      <c r="AD166" t="s">
        <v>237</v>
      </c>
      <c r="AE166" t="s">
        <v>181</v>
      </c>
      <c r="AF166">
        <v>46</v>
      </c>
      <c r="AG166">
        <v>0.08</v>
      </c>
      <c r="AJ166">
        <v>25.58</v>
      </c>
      <c r="AK166" t="s">
        <v>79</v>
      </c>
      <c r="AL166" t="s">
        <v>2858</v>
      </c>
      <c r="AM166" t="s">
        <v>2859</v>
      </c>
      <c r="AN166" t="s">
        <v>186</v>
      </c>
      <c r="AO166">
        <v>212</v>
      </c>
      <c r="AP166">
        <v>4</v>
      </c>
      <c r="AQ166" t="s">
        <v>318</v>
      </c>
      <c r="AR166" t="s">
        <v>319</v>
      </c>
      <c r="AT166" t="s">
        <v>119</v>
      </c>
      <c r="AU166" t="s">
        <v>2860</v>
      </c>
      <c r="AV166" t="s">
        <v>2861</v>
      </c>
      <c r="AX166" t="s">
        <v>246</v>
      </c>
    </row>
    <row r="167" spans="1:50" x14ac:dyDescent="0.25">
      <c r="A167" t="s">
        <v>2862</v>
      </c>
      <c r="B167" t="s">
        <v>2863</v>
      </c>
      <c r="C167" t="s">
        <v>2864</v>
      </c>
      <c r="D167" t="s">
        <v>2865</v>
      </c>
      <c r="E167" t="s">
        <v>2866</v>
      </c>
      <c r="F167" t="s">
        <v>2867</v>
      </c>
      <c r="G167" t="s">
        <v>951</v>
      </c>
      <c r="H167" t="s">
        <v>2868</v>
      </c>
      <c r="I167" t="s">
        <v>253</v>
      </c>
      <c r="J167" t="s">
        <v>2869</v>
      </c>
      <c r="K167" t="s">
        <v>132</v>
      </c>
      <c r="L167" t="s">
        <v>2029</v>
      </c>
      <c r="M167" t="s">
        <v>1047</v>
      </c>
      <c r="N167" t="s">
        <v>396</v>
      </c>
      <c r="O167" t="s">
        <v>283</v>
      </c>
      <c r="P167" t="s">
        <v>2870</v>
      </c>
      <c r="Q167" t="s">
        <v>2871</v>
      </c>
      <c r="R167" t="s">
        <v>1984</v>
      </c>
      <c r="S167" t="s">
        <v>2872</v>
      </c>
      <c r="T167" t="s">
        <v>2873</v>
      </c>
      <c r="U167" t="s">
        <v>2874</v>
      </c>
      <c r="V167" t="s">
        <v>290</v>
      </c>
      <c r="W167" t="s">
        <v>174</v>
      </c>
      <c r="X167" t="s">
        <v>105</v>
      </c>
      <c r="Y167" t="s">
        <v>234</v>
      </c>
      <c r="Z167" t="s">
        <v>2875</v>
      </c>
      <c r="AA167" t="s">
        <v>178</v>
      </c>
      <c r="AB167" t="s">
        <v>263</v>
      </c>
      <c r="AC167" t="s">
        <v>109</v>
      </c>
      <c r="AD167" t="s">
        <v>146</v>
      </c>
      <c r="AE167" t="s">
        <v>181</v>
      </c>
      <c r="AF167">
        <v>6</v>
      </c>
      <c r="AG167" t="s">
        <v>238</v>
      </c>
      <c r="AJ167" t="s">
        <v>2876</v>
      </c>
      <c r="AK167" t="s">
        <v>240</v>
      </c>
      <c r="AL167" t="s">
        <v>2877</v>
      </c>
      <c r="AM167" t="s">
        <v>2878</v>
      </c>
      <c r="AN167" t="s">
        <v>150</v>
      </c>
      <c r="AO167">
        <v>322</v>
      </c>
      <c r="AP167">
        <v>2</v>
      </c>
      <c r="AQ167" t="s">
        <v>786</v>
      </c>
      <c r="AR167">
        <v>0</v>
      </c>
      <c r="AS167" t="s">
        <v>83</v>
      </c>
      <c r="AT167">
        <v>0.3</v>
      </c>
      <c r="AU167" t="s">
        <v>134</v>
      </c>
      <c r="AV167" t="s">
        <v>2879</v>
      </c>
      <c r="AW167" t="s">
        <v>2880</v>
      </c>
      <c r="AX167" t="s">
        <v>191</v>
      </c>
    </row>
    <row r="168" spans="1:50" x14ac:dyDescent="0.25">
      <c r="A168" t="s">
        <v>2881</v>
      </c>
      <c r="B168" t="s">
        <v>2882</v>
      </c>
      <c r="C168" t="s">
        <v>2883</v>
      </c>
      <c r="D168" t="s">
        <v>2884</v>
      </c>
      <c r="E168" t="s">
        <v>2218</v>
      </c>
      <c r="F168" t="s">
        <v>2473</v>
      </c>
      <c r="G168" t="s">
        <v>2563</v>
      </c>
      <c r="H168">
        <v>978.15</v>
      </c>
      <c r="I168">
        <v>0.1</v>
      </c>
      <c r="J168" t="s">
        <v>2565</v>
      </c>
      <c r="K168" t="s">
        <v>280</v>
      </c>
      <c r="L168" t="s">
        <v>953</v>
      </c>
      <c r="M168" t="s">
        <v>2885</v>
      </c>
      <c r="N168" t="s">
        <v>62</v>
      </c>
      <c r="O168" t="s">
        <v>777</v>
      </c>
      <c r="P168" t="s">
        <v>2886</v>
      </c>
      <c r="Q168" t="s">
        <v>2887</v>
      </c>
      <c r="R168" t="s">
        <v>2253</v>
      </c>
      <c r="S168" t="s">
        <v>2888</v>
      </c>
      <c r="T168" t="s">
        <v>2889</v>
      </c>
      <c r="U168" t="s">
        <v>2890</v>
      </c>
      <c r="V168" t="s">
        <v>290</v>
      </c>
      <c r="W168" t="s">
        <v>726</v>
      </c>
      <c r="X168" t="s">
        <v>72</v>
      </c>
      <c r="Y168" t="s">
        <v>73</v>
      </c>
      <c r="Z168" t="s">
        <v>2891</v>
      </c>
      <c r="AA168" t="s">
        <v>19</v>
      </c>
      <c r="AB168" t="s">
        <v>528</v>
      </c>
      <c r="AC168">
        <v>2</v>
      </c>
      <c r="AD168" t="s">
        <v>237</v>
      </c>
      <c r="AE168" t="s">
        <v>77</v>
      </c>
      <c r="AF168">
        <v>19</v>
      </c>
      <c r="AG168" t="s">
        <v>211</v>
      </c>
      <c r="AJ168" t="s">
        <v>2892</v>
      </c>
      <c r="AK168" t="s">
        <v>183</v>
      </c>
      <c r="AL168" t="s">
        <v>2893</v>
      </c>
      <c r="AM168" t="s">
        <v>2894</v>
      </c>
      <c r="AN168" t="s">
        <v>267</v>
      </c>
      <c r="AO168">
        <v>435</v>
      </c>
      <c r="AP168">
        <v>2</v>
      </c>
      <c r="AS168" t="s">
        <v>429</v>
      </c>
      <c r="AT168" t="s">
        <v>119</v>
      </c>
      <c r="AU168" t="s">
        <v>2574</v>
      </c>
      <c r="AV168" t="s">
        <v>2239</v>
      </c>
      <c r="AW168" t="s">
        <v>1019</v>
      </c>
    </row>
    <row r="169" spans="1:50" x14ac:dyDescent="0.25">
      <c r="A169" t="s">
        <v>2895</v>
      </c>
      <c r="B169" t="s">
        <v>2896</v>
      </c>
      <c r="C169" t="s">
        <v>2897</v>
      </c>
      <c r="D169" t="s">
        <v>2898</v>
      </c>
      <c r="E169" t="s">
        <v>2899</v>
      </c>
      <c r="F169" t="s">
        <v>299</v>
      </c>
      <c r="G169" t="s">
        <v>2900</v>
      </c>
      <c r="H169" t="s">
        <v>2901</v>
      </c>
      <c r="I169">
        <v>0.1</v>
      </c>
      <c r="J169" t="s">
        <v>2902</v>
      </c>
      <c r="K169" t="s">
        <v>132</v>
      </c>
      <c r="L169" t="s">
        <v>680</v>
      </c>
      <c r="M169" t="s">
        <v>142</v>
      </c>
      <c r="N169" t="s">
        <v>62</v>
      </c>
      <c r="O169" t="s">
        <v>543</v>
      </c>
      <c r="P169" t="s">
        <v>2031</v>
      </c>
      <c r="Q169" t="s">
        <v>2903</v>
      </c>
      <c r="R169" t="s">
        <v>624</v>
      </c>
      <c r="S169" t="s">
        <v>2904</v>
      </c>
      <c r="T169" t="s">
        <v>2905</v>
      </c>
      <c r="U169" t="s">
        <v>142</v>
      </c>
      <c r="V169" t="s">
        <v>205</v>
      </c>
      <c r="W169" t="s">
        <v>71</v>
      </c>
      <c r="X169" t="s">
        <v>175</v>
      </c>
      <c r="Y169" t="s">
        <v>73</v>
      </c>
      <c r="Z169" t="s">
        <v>2906</v>
      </c>
      <c r="AA169" t="s">
        <v>178</v>
      </c>
      <c r="AB169" t="s">
        <v>528</v>
      </c>
      <c r="AC169" t="s">
        <v>1381</v>
      </c>
      <c r="AD169" t="s">
        <v>314</v>
      </c>
      <c r="AE169" t="s">
        <v>77</v>
      </c>
      <c r="AF169">
        <v>39</v>
      </c>
      <c r="AG169" t="s">
        <v>211</v>
      </c>
      <c r="AJ169" t="s">
        <v>2907</v>
      </c>
      <c r="AK169" t="s">
        <v>79</v>
      </c>
      <c r="AL169" t="s">
        <v>2908</v>
      </c>
      <c r="AM169">
        <v>25.43</v>
      </c>
      <c r="AN169" t="s">
        <v>267</v>
      </c>
      <c r="AO169">
        <v>228</v>
      </c>
      <c r="AP169">
        <v>5</v>
      </c>
      <c r="AQ169" t="s">
        <v>318</v>
      </c>
      <c r="AR169">
        <v>1</v>
      </c>
      <c r="AS169" t="s">
        <v>215</v>
      </c>
      <c r="AU169" t="s">
        <v>426</v>
      </c>
      <c r="AV169" t="s">
        <v>2909</v>
      </c>
      <c r="AW169" t="s">
        <v>1281</v>
      </c>
      <c r="AX169" t="s">
        <v>270</v>
      </c>
    </row>
    <row r="170" spans="1:50" x14ac:dyDescent="0.25">
      <c r="A170" t="s">
        <v>2910</v>
      </c>
      <c r="B170" t="s">
        <v>2911</v>
      </c>
      <c r="C170" t="s">
        <v>2912</v>
      </c>
      <c r="D170" t="s">
        <v>2913</v>
      </c>
      <c r="E170" t="s">
        <v>2914</v>
      </c>
      <c r="F170" t="s">
        <v>436</v>
      </c>
      <c r="G170" t="s">
        <v>871</v>
      </c>
      <c r="H170" t="s">
        <v>641</v>
      </c>
      <c r="I170">
        <v>0.1</v>
      </c>
      <c r="J170">
        <v>32640.1</v>
      </c>
      <c r="K170" t="s">
        <v>59</v>
      </c>
      <c r="L170" t="s">
        <v>2915</v>
      </c>
      <c r="M170" t="s">
        <v>2916</v>
      </c>
      <c r="N170" t="s">
        <v>135</v>
      </c>
      <c r="O170" t="s">
        <v>1122</v>
      </c>
      <c r="P170" t="s">
        <v>2917</v>
      </c>
      <c r="Q170" t="s">
        <v>2918</v>
      </c>
      <c r="R170" t="s">
        <v>201</v>
      </c>
      <c r="S170" t="s">
        <v>2919</v>
      </c>
      <c r="T170" t="s">
        <v>2920</v>
      </c>
      <c r="U170" t="s">
        <v>2921</v>
      </c>
      <c r="V170" t="s">
        <v>173</v>
      </c>
      <c r="W170" t="s">
        <v>104</v>
      </c>
      <c r="X170" t="s">
        <v>233</v>
      </c>
      <c r="Y170" t="s">
        <v>234</v>
      </c>
      <c r="Z170" t="s">
        <v>2922</v>
      </c>
      <c r="AA170" t="s">
        <v>178</v>
      </c>
      <c r="AB170" t="s">
        <v>108</v>
      </c>
      <c r="AC170">
        <v>6</v>
      </c>
      <c r="AD170" t="s">
        <v>314</v>
      </c>
      <c r="AE170" t="s">
        <v>110</v>
      </c>
      <c r="AF170">
        <v>18</v>
      </c>
      <c r="AG170" t="s">
        <v>111</v>
      </c>
      <c r="AJ170" t="s">
        <v>2923</v>
      </c>
      <c r="AK170" t="s">
        <v>79</v>
      </c>
      <c r="AL170" t="s">
        <v>2924</v>
      </c>
      <c r="AM170" t="s">
        <v>2925</v>
      </c>
      <c r="AN170" t="s">
        <v>116</v>
      </c>
      <c r="AO170">
        <v>400</v>
      </c>
      <c r="AP170" t="s">
        <v>187</v>
      </c>
      <c r="AQ170" t="s">
        <v>610</v>
      </c>
      <c r="AR170" t="s">
        <v>319</v>
      </c>
      <c r="AS170" t="s">
        <v>429</v>
      </c>
      <c r="AT170" t="s">
        <v>361</v>
      </c>
      <c r="AU170" t="s">
        <v>2926</v>
      </c>
      <c r="AV170" t="s">
        <v>2927</v>
      </c>
      <c r="AW170" t="s">
        <v>122</v>
      </c>
    </row>
    <row r="171" spans="1:50" x14ac:dyDescent="0.25">
      <c r="A171" t="s">
        <v>2928</v>
      </c>
      <c r="B171" t="s">
        <v>2929</v>
      </c>
      <c r="D171" t="s">
        <v>2930</v>
      </c>
      <c r="E171" t="s">
        <v>2931</v>
      </c>
      <c r="F171" t="s">
        <v>2473</v>
      </c>
      <c r="G171" t="s">
        <v>2932</v>
      </c>
      <c r="H171" t="s">
        <v>2933</v>
      </c>
      <c r="J171" t="s">
        <v>2934</v>
      </c>
      <c r="K171" t="s">
        <v>330</v>
      </c>
      <c r="L171" t="s">
        <v>1009</v>
      </c>
      <c r="M171" t="s">
        <v>163</v>
      </c>
      <c r="N171" t="s">
        <v>417</v>
      </c>
      <c r="O171" t="s">
        <v>136</v>
      </c>
      <c r="P171" t="s">
        <v>1211</v>
      </c>
      <c r="Q171" t="s">
        <v>2935</v>
      </c>
      <c r="R171" t="s">
        <v>1359</v>
      </c>
      <c r="S171" t="s">
        <v>2936</v>
      </c>
      <c r="T171" t="s">
        <v>2937</v>
      </c>
      <c r="U171" t="s">
        <v>2938</v>
      </c>
      <c r="V171" t="s">
        <v>70</v>
      </c>
      <c r="W171" t="s">
        <v>104</v>
      </c>
      <c r="X171" t="s">
        <v>72</v>
      </c>
      <c r="Y171" t="s">
        <v>337</v>
      </c>
      <c r="Z171" t="s">
        <v>2939</v>
      </c>
      <c r="AA171" t="s">
        <v>75</v>
      </c>
      <c r="AB171" t="s">
        <v>76</v>
      </c>
      <c r="AC171" t="s">
        <v>569</v>
      </c>
      <c r="AD171" t="s">
        <v>146</v>
      </c>
      <c r="AE171" t="s">
        <v>406</v>
      </c>
      <c r="AF171">
        <v>60</v>
      </c>
      <c r="AG171" t="s">
        <v>211</v>
      </c>
      <c r="AJ171" t="s">
        <v>2940</v>
      </c>
      <c r="AK171" t="s">
        <v>147</v>
      </c>
      <c r="AL171" t="s">
        <v>2941</v>
      </c>
      <c r="AM171">
        <v>12.59</v>
      </c>
      <c r="AN171" t="s">
        <v>267</v>
      </c>
      <c r="AO171">
        <v>349</v>
      </c>
      <c r="AP171" t="s">
        <v>214</v>
      </c>
      <c r="AQ171" t="s">
        <v>786</v>
      </c>
      <c r="AR171" t="s">
        <v>319</v>
      </c>
      <c r="AT171" t="s">
        <v>119</v>
      </c>
      <c r="AU171" t="s">
        <v>163</v>
      </c>
      <c r="AV171" t="s">
        <v>2010</v>
      </c>
      <c r="AW171" t="s">
        <v>1593</v>
      </c>
      <c r="AX171" t="s">
        <v>85</v>
      </c>
    </row>
    <row r="172" spans="1:50" x14ac:dyDescent="0.25">
      <c r="A172" t="s">
        <v>2942</v>
      </c>
      <c r="B172" t="s">
        <v>2943</v>
      </c>
      <c r="C172" t="s">
        <v>2944</v>
      </c>
      <c r="D172" t="s">
        <v>390</v>
      </c>
      <c r="E172" t="s">
        <v>2945</v>
      </c>
      <c r="F172" t="s">
        <v>2355</v>
      </c>
      <c r="G172" t="s">
        <v>2946</v>
      </c>
      <c r="H172" t="s">
        <v>393</v>
      </c>
      <c r="I172" t="s">
        <v>253</v>
      </c>
      <c r="J172" t="s">
        <v>163</v>
      </c>
      <c r="K172" t="s">
        <v>92</v>
      </c>
      <c r="L172" t="s">
        <v>973</v>
      </c>
      <c r="M172" t="s">
        <v>2947</v>
      </c>
      <c r="N172" t="s">
        <v>62</v>
      </c>
      <c r="O172" t="s">
        <v>63</v>
      </c>
      <c r="P172" t="s">
        <v>2948</v>
      </c>
      <c r="Q172" t="s">
        <v>2949</v>
      </c>
      <c r="R172" t="s">
        <v>378</v>
      </c>
      <c r="S172" t="s">
        <v>2950</v>
      </c>
      <c r="T172" t="s">
        <v>2951</v>
      </c>
      <c r="U172" t="s">
        <v>2952</v>
      </c>
      <c r="V172" t="s">
        <v>290</v>
      </c>
      <c r="W172" t="s">
        <v>71</v>
      </c>
      <c r="X172" t="s">
        <v>233</v>
      </c>
      <c r="Y172" t="s">
        <v>337</v>
      </c>
      <c r="Z172" t="s">
        <v>2953</v>
      </c>
      <c r="AA172" t="s">
        <v>144</v>
      </c>
      <c r="AB172" t="s">
        <v>263</v>
      </c>
      <c r="AC172">
        <v>4</v>
      </c>
      <c r="AD172">
        <v>2026</v>
      </c>
      <c r="AE172" t="s">
        <v>110</v>
      </c>
      <c r="AF172" t="s">
        <v>142</v>
      </c>
      <c r="AG172">
        <v>0.08</v>
      </c>
      <c r="AJ172" t="s">
        <v>2954</v>
      </c>
      <c r="AK172" t="s">
        <v>571</v>
      </c>
      <c r="AL172" t="s">
        <v>2955</v>
      </c>
      <c r="AM172" t="s">
        <v>2956</v>
      </c>
      <c r="AN172" t="s">
        <v>267</v>
      </c>
      <c r="AO172">
        <v>336</v>
      </c>
      <c r="AP172">
        <v>5</v>
      </c>
      <c r="AQ172" t="s">
        <v>117</v>
      </c>
      <c r="AT172" t="s">
        <v>119</v>
      </c>
      <c r="AU172" t="s">
        <v>2957</v>
      </c>
      <c r="AV172" t="s">
        <v>2958</v>
      </c>
      <c r="AW172" t="s">
        <v>2280</v>
      </c>
      <c r="AX172" t="s">
        <v>85</v>
      </c>
    </row>
    <row r="173" spans="1:50" x14ac:dyDescent="0.25">
      <c r="A173" t="s">
        <v>2959</v>
      </c>
      <c r="B173" t="s">
        <v>2960</v>
      </c>
      <c r="C173" t="s">
        <v>2961</v>
      </c>
      <c r="D173" t="s">
        <v>2962</v>
      </c>
      <c r="E173" t="s">
        <v>2963</v>
      </c>
      <c r="F173" t="s">
        <v>1446</v>
      </c>
      <c r="G173" t="s">
        <v>2964</v>
      </c>
      <c r="H173" t="s">
        <v>2965</v>
      </c>
      <c r="I173">
        <v>0.1</v>
      </c>
      <c r="J173" t="s">
        <v>2966</v>
      </c>
      <c r="K173" t="s">
        <v>59</v>
      </c>
      <c r="L173" t="s">
        <v>2759</v>
      </c>
      <c r="M173" t="s">
        <v>134</v>
      </c>
      <c r="N173" t="s">
        <v>95</v>
      </c>
      <c r="O173" t="s">
        <v>226</v>
      </c>
      <c r="P173" t="s">
        <v>2967</v>
      </c>
      <c r="Q173" t="s">
        <v>2968</v>
      </c>
      <c r="R173" t="s">
        <v>1292</v>
      </c>
      <c r="S173" t="s">
        <v>2969</v>
      </c>
      <c r="T173" t="s">
        <v>2970</v>
      </c>
      <c r="U173" t="s">
        <v>2971</v>
      </c>
      <c r="V173" t="s">
        <v>290</v>
      </c>
      <c r="W173" t="s">
        <v>311</v>
      </c>
      <c r="X173" t="s">
        <v>105</v>
      </c>
      <c r="Y173" t="s">
        <v>118</v>
      </c>
      <c r="Z173" t="s">
        <v>2972</v>
      </c>
      <c r="AA173" t="s">
        <v>178</v>
      </c>
      <c r="AB173" t="s">
        <v>108</v>
      </c>
      <c r="AC173" t="s">
        <v>180</v>
      </c>
      <c r="AD173" t="s">
        <v>314</v>
      </c>
      <c r="AE173" t="s">
        <v>181</v>
      </c>
      <c r="AF173">
        <v>56</v>
      </c>
      <c r="AG173" t="s">
        <v>211</v>
      </c>
      <c r="AJ173" t="s">
        <v>2973</v>
      </c>
      <c r="AK173" t="s">
        <v>79</v>
      </c>
      <c r="AL173" t="s">
        <v>2974</v>
      </c>
      <c r="AM173" t="s">
        <v>2975</v>
      </c>
      <c r="AN173" t="s">
        <v>116</v>
      </c>
      <c r="AO173">
        <v>325</v>
      </c>
      <c r="AP173">
        <v>1</v>
      </c>
      <c r="AQ173" t="s">
        <v>117</v>
      </c>
      <c r="AR173" t="s">
        <v>243</v>
      </c>
      <c r="AS173" t="s">
        <v>83</v>
      </c>
      <c r="AT173" t="s">
        <v>152</v>
      </c>
      <c r="AU173" t="s">
        <v>2976</v>
      </c>
      <c r="AV173" t="s">
        <v>2977</v>
      </c>
      <c r="AW173" t="s">
        <v>122</v>
      </c>
      <c r="AX173" t="s">
        <v>246</v>
      </c>
    </row>
    <row r="174" spans="1:50" x14ac:dyDescent="0.25">
      <c r="A174" t="s">
        <v>2978</v>
      </c>
      <c r="B174" t="s">
        <v>1152</v>
      </c>
      <c r="C174" t="s">
        <v>2979</v>
      </c>
      <c r="D174" t="s">
        <v>737</v>
      </c>
      <c r="E174" t="s">
        <v>2980</v>
      </c>
      <c r="F174" t="s">
        <v>1772</v>
      </c>
      <c r="G174" t="s">
        <v>776</v>
      </c>
      <c r="H174" t="s">
        <v>2981</v>
      </c>
      <c r="I174" t="s">
        <v>162</v>
      </c>
      <c r="K174" t="s">
        <v>280</v>
      </c>
      <c r="L174" t="s">
        <v>2982</v>
      </c>
      <c r="M174" t="s">
        <v>1872</v>
      </c>
      <c r="N174" t="s">
        <v>95</v>
      </c>
      <c r="O174" t="s">
        <v>954</v>
      </c>
      <c r="P174" t="s">
        <v>2169</v>
      </c>
      <c r="Q174" t="s">
        <v>2983</v>
      </c>
      <c r="R174" t="s">
        <v>646</v>
      </c>
      <c r="S174" t="s">
        <v>2984</v>
      </c>
      <c r="T174" t="s">
        <v>2985</v>
      </c>
      <c r="U174" t="s">
        <v>2986</v>
      </c>
      <c r="V174" t="s">
        <v>205</v>
      </c>
      <c r="W174" t="s">
        <v>206</v>
      </c>
      <c r="X174" t="s">
        <v>207</v>
      </c>
      <c r="Y174" t="s">
        <v>106</v>
      </c>
      <c r="Z174" t="s">
        <v>2987</v>
      </c>
      <c r="AA174" t="s">
        <v>19</v>
      </c>
      <c r="AB174" t="s">
        <v>405</v>
      </c>
      <c r="AC174" t="s">
        <v>2988</v>
      </c>
      <c r="AD174" t="s">
        <v>314</v>
      </c>
      <c r="AE174" t="s">
        <v>77</v>
      </c>
      <c r="AF174">
        <v>87</v>
      </c>
      <c r="AG174" t="s">
        <v>238</v>
      </c>
      <c r="AJ174">
        <v>39.9</v>
      </c>
      <c r="AK174" t="s">
        <v>113</v>
      </c>
      <c r="AL174" t="s">
        <v>2989</v>
      </c>
      <c r="AM174" t="s">
        <v>2990</v>
      </c>
      <c r="AN174" t="s">
        <v>150</v>
      </c>
      <c r="AO174">
        <v>305</v>
      </c>
      <c r="AP174">
        <v>2</v>
      </c>
      <c r="AQ174" t="s">
        <v>242</v>
      </c>
      <c r="AR174" t="s">
        <v>243</v>
      </c>
      <c r="AS174" t="s">
        <v>215</v>
      </c>
      <c r="AT174" t="s">
        <v>361</v>
      </c>
      <c r="AU174" t="s">
        <v>91</v>
      </c>
      <c r="AV174" t="s">
        <v>2991</v>
      </c>
      <c r="AW174" t="s">
        <v>1301</v>
      </c>
      <c r="AX174" t="s">
        <v>85</v>
      </c>
    </row>
    <row r="175" spans="1:50" x14ac:dyDescent="0.25">
      <c r="A175" t="s">
        <v>2992</v>
      </c>
      <c r="B175" t="s">
        <v>2993</v>
      </c>
      <c r="C175" t="s">
        <v>2994</v>
      </c>
      <c r="D175" t="s">
        <v>2995</v>
      </c>
      <c r="E175" t="s">
        <v>2354</v>
      </c>
      <c r="F175" t="s">
        <v>222</v>
      </c>
      <c r="G175" t="s">
        <v>2996</v>
      </c>
      <c r="H175" t="s">
        <v>1863</v>
      </c>
      <c r="J175" t="s">
        <v>134</v>
      </c>
      <c r="K175" t="s">
        <v>92</v>
      </c>
      <c r="L175" t="s">
        <v>2203</v>
      </c>
      <c r="N175" t="s">
        <v>396</v>
      </c>
      <c r="O175" t="s">
        <v>561</v>
      </c>
      <c r="P175" t="s">
        <v>1532</v>
      </c>
      <c r="Q175" t="s">
        <v>2997</v>
      </c>
      <c r="R175" t="s">
        <v>1292</v>
      </c>
      <c r="S175" t="s">
        <v>2998</v>
      </c>
      <c r="T175" t="s">
        <v>2999</v>
      </c>
      <c r="U175" t="s">
        <v>3000</v>
      </c>
      <c r="V175" t="s">
        <v>205</v>
      </c>
      <c r="W175" t="s">
        <v>311</v>
      </c>
      <c r="X175" t="s">
        <v>207</v>
      </c>
      <c r="Y175" t="s">
        <v>118</v>
      </c>
      <c r="Z175" t="s">
        <v>3001</v>
      </c>
      <c r="AA175" t="s">
        <v>236</v>
      </c>
      <c r="AB175" t="s">
        <v>76</v>
      </c>
      <c r="AC175" t="s">
        <v>313</v>
      </c>
      <c r="AD175" t="s">
        <v>146</v>
      </c>
      <c r="AE175" t="s">
        <v>110</v>
      </c>
      <c r="AF175">
        <v>24</v>
      </c>
      <c r="AG175" t="s">
        <v>111</v>
      </c>
      <c r="AJ175" t="s">
        <v>3002</v>
      </c>
      <c r="AK175" t="s">
        <v>113</v>
      </c>
      <c r="AL175" t="s">
        <v>3003</v>
      </c>
      <c r="AM175">
        <v>1.63</v>
      </c>
      <c r="AN175" t="s">
        <v>186</v>
      </c>
      <c r="AO175">
        <v>483</v>
      </c>
      <c r="AP175">
        <v>4</v>
      </c>
      <c r="AQ175" t="s">
        <v>786</v>
      </c>
      <c r="AT175" t="s">
        <v>361</v>
      </c>
      <c r="AU175" t="s">
        <v>3004</v>
      </c>
      <c r="AV175" t="s">
        <v>3005</v>
      </c>
      <c r="AW175" t="s">
        <v>3006</v>
      </c>
      <c r="AX175" t="s">
        <v>191</v>
      </c>
    </row>
    <row r="176" spans="1:50" x14ac:dyDescent="0.25">
      <c r="A176" t="s">
        <v>3007</v>
      </c>
      <c r="B176" t="s">
        <v>3008</v>
      </c>
      <c r="C176" t="s">
        <v>3009</v>
      </c>
      <c r="D176" t="s">
        <v>2709</v>
      </c>
      <c r="E176" t="s">
        <v>142</v>
      </c>
      <c r="F176" t="s">
        <v>327</v>
      </c>
      <c r="G176">
        <v>14</v>
      </c>
      <c r="H176" t="s">
        <v>2808</v>
      </c>
      <c r="I176">
        <v>0.1</v>
      </c>
      <c r="J176" t="s">
        <v>3010</v>
      </c>
      <c r="K176" t="s">
        <v>330</v>
      </c>
      <c r="L176" t="s">
        <v>3011</v>
      </c>
      <c r="M176" t="s">
        <v>3012</v>
      </c>
      <c r="N176" t="s">
        <v>95</v>
      </c>
      <c r="O176" t="s">
        <v>1230</v>
      </c>
      <c r="P176" t="s">
        <v>284</v>
      </c>
      <c r="Q176" t="s">
        <v>3013</v>
      </c>
      <c r="R176" t="s">
        <v>420</v>
      </c>
      <c r="S176" t="s">
        <v>3014</v>
      </c>
      <c r="T176" t="s">
        <v>3015</v>
      </c>
      <c r="U176" t="s">
        <v>3016</v>
      </c>
      <c r="V176" t="s">
        <v>70</v>
      </c>
      <c r="W176" t="s">
        <v>104</v>
      </c>
      <c r="X176" t="s">
        <v>105</v>
      </c>
      <c r="Y176" t="s">
        <v>337</v>
      </c>
      <c r="Z176" t="s">
        <v>3017</v>
      </c>
      <c r="AA176" t="s">
        <v>144</v>
      </c>
      <c r="AB176" t="s">
        <v>76</v>
      </c>
      <c r="AC176" t="s">
        <v>1313</v>
      </c>
      <c r="AD176">
        <v>2026</v>
      </c>
      <c r="AE176" t="s">
        <v>110</v>
      </c>
      <c r="AF176">
        <v>66</v>
      </c>
      <c r="AG176">
        <v>0.08</v>
      </c>
      <c r="AJ176" t="s">
        <v>3018</v>
      </c>
      <c r="AK176" t="s">
        <v>183</v>
      </c>
      <c r="AL176" t="s">
        <v>3019</v>
      </c>
      <c r="AM176" t="s">
        <v>3020</v>
      </c>
      <c r="AN176" t="s">
        <v>267</v>
      </c>
      <c r="AO176">
        <v>380</v>
      </c>
      <c r="AP176">
        <v>4</v>
      </c>
      <c r="AQ176" t="s">
        <v>786</v>
      </c>
      <c r="AR176">
        <v>0</v>
      </c>
      <c r="AS176" t="s">
        <v>429</v>
      </c>
      <c r="AT176" t="s">
        <v>361</v>
      </c>
      <c r="AU176" t="s">
        <v>163</v>
      </c>
      <c r="AV176" t="s">
        <v>2734</v>
      </c>
      <c r="AW176" t="s">
        <v>2734</v>
      </c>
      <c r="AX176" t="s">
        <v>246</v>
      </c>
    </row>
    <row r="177" spans="1:50" x14ac:dyDescent="0.25">
      <c r="A177" t="s">
        <v>3021</v>
      </c>
      <c r="B177" t="s">
        <v>3022</v>
      </c>
      <c r="C177" t="s">
        <v>3023</v>
      </c>
      <c r="D177" t="s">
        <v>3024</v>
      </c>
      <c r="E177" t="s">
        <v>3025</v>
      </c>
      <c r="F177" t="s">
        <v>3026</v>
      </c>
      <c r="G177" t="s">
        <v>3027</v>
      </c>
      <c r="H177" t="s">
        <v>3028</v>
      </c>
      <c r="J177" t="s">
        <v>3029</v>
      </c>
      <c r="K177" t="s">
        <v>280</v>
      </c>
      <c r="L177" t="s">
        <v>350</v>
      </c>
      <c r="M177" t="s">
        <v>163</v>
      </c>
      <c r="N177" t="s">
        <v>166</v>
      </c>
      <c r="O177" t="s">
        <v>63</v>
      </c>
      <c r="P177" t="s">
        <v>3030</v>
      </c>
      <c r="Q177" t="s">
        <v>3031</v>
      </c>
      <c r="R177" t="s">
        <v>1984</v>
      </c>
      <c r="S177" t="s">
        <v>3032</v>
      </c>
      <c r="T177" t="s">
        <v>3033</v>
      </c>
      <c r="U177" t="s">
        <v>3034</v>
      </c>
      <c r="V177" t="s">
        <v>205</v>
      </c>
      <c r="W177" t="s">
        <v>174</v>
      </c>
      <c r="X177" t="s">
        <v>175</v>
      </c>
      <c r="Y177" t="s">
        <v>234</v>
      </c>
      <c r="Z177" t="s">
        <v>3035</v>
      </c>
      <c r="AA177" t="s">
        <v>178</v>
      </c>
      <c r="AB177" t="s">
        <v>528</v>
      </c>
      <c r="AC177">
        <v>3</v>
      </c>
      <c r="AD177" t="s">
        <v>237</v>
      </c>
      <c r="AE177" t="s">
        <v>110</v>
      </c>
      <c r="AF177">
        <v>75</v>
      </c>
      <c r="AG177">
        <v>0.08</v>
      </c>
      <c r="AJ177" t="s">
        <v>3036</v>
      </c>
      <c r="AK177" t="s">
        <v>240</v>
      </c>
      <c r="AL177" t="s">
        <v>3037</v>
      </c>
      <c r="AM177">
        <v>17.34</v>
      </c>
      <c r="AN177" t="s">
        <v>150</v>
      </c>
      <c r="AO177">
        <v>302</v>
      </c>
      <c r="AP177">
        <v>3</v>
      </c>
      <c r="AS177" t="s">
        <v>83</v>
      </c>
      <c r="AT177" t="s">
        <v>119</v>
      </c>
      <c r="AU177" t="s">
        <v>3038</v>
      </c>
      <c r="AV177" t="s">
        <v>3039</v>
      </c>
      <c r="AW177" t="s">
        <v>122</v>
      </c>
      <c r="AX177" t="s">
        <v>270</v>
      </c>
    </row>
    <row r="179" spans="1:50" x14ac:dyDescent="0.25">
      <c r="A179" t="s">
        <v>3040</v>
      </c>
      <c r="B179" t="s">
        <v>3041</v>
      </c>
      <c r="C179" t="s">
        <v>3042</v>
      </c>
      <c r="D179" t="s">
        <v>2738</v>
      </c>
      <c r="E179" t="s">
        <v>3043</v>
      </c>
      <c r="F179" t="s">
        <v>299</v>
      </c>
      <c r="G179" t="s">
        <v>2438</v>
      </c>
      <c r="H179" t="s">
        <v>2933</v>
      </c>
      <c r="I179" t="s">
        <v>162</v>
      </c>
      <c r="J179" t="s">
        <v>134</v>
      </c>
      <c r="K179" t="s">
        <v>132</v>
      </c>
      <c r="L179" t="s">
        <v>2697</v>
      </c>
      <c r="M179" t="s">
        <v>3044</v>
      </c>
      <c r="N179" t="s">
        <v>135</v>
      </c>
      <c r="O179" t="s">
        <v>1230</v>
      </c>
      <c r="P179" t="s">
        <v>3045</v>
      </c>
      <c r="Q179" t="s">
        <v>3046</v>
      </c>
      <c r="R179" t="s">
        <v>464</v>
      </c>
      <c r="S179" t="s">
        <v>3047</v>
      </c>
      <c r="T179" t="s">
        <v>3048</v>
      </c>
      <c r="U179" t="s">
        <v>163</v>
      </c>
      <c r="V179" t="s">
        <v>173</v>
      </c>
      <c r="W179" t="s">
        <v>104</v>
      </c>
      <c r="X179" t="s">
        <v>72</v>
      </c>
      <c r="Y179" t="s">
        <v>118</v>
      </c>
      <c r="Z179" t="s">
        <v>3049</v>
      </c>
      <c r="AA179" t="s">
        <v>178</v>
      </c>
      <c r="AB179" t="s">
        <v>405</v>
      </c>
      <c r="AC179" t="s">
        <v>109</v>
      </c>
      <c r="AD179" t="s">
        <v>210</v>
      </c>
      <c r="AE179" t="s">
        <v>110</v>
      </c>
      <c r="AF179">
        <v>36</v>
      </c>
      <c r="AG179">
        <v>0.08</v>
      </c>
      <c r="AJ179" t="s">
        <v>3050</v>
      </c>
      <c r="AK179" t="s">
        <v>113</v>
      </c>
      <c r="AL179" t="s">
        <v>3051</v>
      </c>
      <c r="AM179" t="s">
        <v>3052</v>
      </c>
      <c r="AN179" t="s">
        <v>150</v>
      </c>
      <c r="AO179">
        <v>472</v>
      </c>
      <c r="AP179">
        <v>3</v>
      </c>
      <c r="AQ179" t="s">
        <v>151</v>
      </c>
      <c r="AS179" t="s">
        <v>83</v>
      </c>
      <c r="AT179" t="s">
        <v>152</v>
      </c>
      <c r="AU179" t="s">
        <v>3053</v>
      </c>
      <c r="AV179" t="s">
        <v>3054</v>
      </c>
      <c r="AX179" t="s">
        <v>191</v>
      </c>
    </row>
    <row r="180" spans="1:50" x14ac:dyDescent="0.25">
      <c r="A180" t="s">
        <v>3055</v>
      </c>
      <c r="B180" t="s">
        <v>3056</v>
      </c>
      <c r="C180" t="s">
        <v>142</v>
      </c>
      <c r="D180" t="s">
        <v>3057</v>
      </c>
      <c r="E180" t="s">
        <v>3058</v>
      </c>
      <c r="F180" t="s">
        <v>299</v>
      </c>
      <c r="G180" t="s">
        <v>776</v>
      </c>
      <c r="H180" t="s">
        <v>3059</v>
      </c>
      <c r="I180" t="s">
        <v>58</v>
      </c>
      <c r="J180" t="s">
        <v>134</v>
      </c>
      <c r="K180" t="s">
        <v>132</v>
      </c>
      <c r="L180" t="s">
        <v>3060</v>
      </c>
      <c r="M180" t="s">
        <v>163</v>
      </c>
      <c r="N180" t="s">
        <v>62</v>
      </c>
      <c r="O180" t="s">
        <v>1230</v>
      </c>
      <c r="P180" t="s">
        <v>3061</v>
      </c>
      <c r="Q180" t="s">
        <v>3062</v>
      </c>
      <c r="R180" t="s">
        <v>484</v>
      </c>
      <c r="S180" t="s">
        <v>3063</v>
      </c>
      <c r="T180" t="s">
        <v>3064</v>
      </c>
      <c r="U180" t="s">
        <v>3065</v>
      </c>
      <c r="V180" t="s">
        <v>70</v>
      </c>
      <c r="W180" t="s">
        <v>71</v>
      </c>
      <c r="X180" t="s">
        <v>175</v>
      </c>
      <c r="Y180" t="s">
        <v>176</v>
      </c>
      <c r="Z180" t="s">
        <v>3066</v>
      </c>
      <c r="AA180" t="s">
        <v>144</v>
      </c>
      <c r="AB180" t="s">
        <v>179</v>
      </c>
      <c r="AC180" t="s">
        <v>1851</v>
      </c>
      <c r="AD180" t="s">
        <v>237</v>
      </c>
      <c r="AE180" t="s">
        <v>406</v>
      </c>
      <c r="AF180" t="s">
        <v>91</v>
      </c>
      <c r="AG180" t="s">
        <v>238</v>
      </c>
      <c r="AJ180">
        <v>8.86</v>
      </c>
      <c r="AK180" t="s">
        <v>183</v>
      </c>
      <c r="AL180" t="s">
        <v>3067</v>
      </c>
      <c r="AM180" t="s">
        <v>3068</v>
      </c>
      <c r="AN180" t="s">
        <v>116</v>
      </c>
      <c r="AO180">
        <v>371</v>
      </c>
      <c r="AP180" t="s">
        <v>187</v>
      </c>
      <c r="AQ180" t="s">
        <v>786</v>
      </c>
      <c r="AR180">
        <v>0</v>
      </c>
      <c r="AS180" t="s">
        <v>83</v>
      </c>
      <c r="AT180" t="s">
        <v>152</v>
      </c>
      <c r="AU180" t="s">
        <v>3069</v>
      </c>
      <c r="AV180" t="s">
        <v>3070</v>
      </c>
      <c r="AW180" t="s">
        <v>3070</v>
      </c>
    </row>
    <row r="181" spans="1:50" x14ac:dyDescent="0.25">
      <c r="A181" t="s">
        <v>3071</v>
      </c>
      <c r="B181" t="s">
        <v>3072</v>
      </c>
      <c r="C181" t="s">
        <v>3073</v>
      </c>
      <c r="D181" t="s">
        <v>3074</v>
      </c>
      <c r="E181" t="s">
        <v>738</v>
      </c>
      <c r="F181" t="s">
        <v>91</v>
      </c>
      <c r="G181">
        <v>14</v>
      </c>
      <c r="H181">
        <v>1036.6500000000001</v>
      </c>
      <c r="I181">
        <v>0.1</v>
      </c>
      <c r="J181" t="s">
        <v>3075</v>
      </c>
      <c r="K181" t="s">
        <v>59</v>
      </c>
      <c r="L181" t="s">
        <v>3076</v>
      </c>
      <c r="M181" t="s">
        <v>163</v>
      </c>
      <c r="N181" t="s">
        <v>135</v>
      </c>
      <c r="O181" t="s">
        <v>63</v>
      </c>
      <c r="P181" t="s">
        <v>3077</v>
      </c>
      <c r="Q181" t="s">
        <v>3078</v>
      </c>
      <c r="R181" t="s">
        <v>684</v>
      </c>
      <c r="S181" t="s">
        <v>3079</v>
      </c>
      <c r="T181" t="s">
        <v>3080</v>
      </c>
      <c r="U181" t="s">
        <v>3081</v>
      </c>
      <c r="V181" t="s">
        <v>103</v>
      </c>
      <c r="W181" t="s">
        <v>71</v>
      </c>
      <c r="X181" t="s">
        <v>72</v>
      </c>
      <c r="Y181" t="s">
        <v>337</v>
      </c>
      <c r="Z181" t="s">
        <v>3082</v>
      </c>
      <c r="AA181" t="s">
        <v>75</v>
      </c>
      <c r="AB181" t="s">
        <v>405</v>
      </c>
      <c r="AC181" t="s">
        <v>589</v>
      </c>
      <c r="AD181" t="s">
        <v>146</v>
      </c>
      <c r="AE181" t="s">
        <v>77</v>
      </c>
      <c r="AF181" t="s">
        <v>134</v>
      </c>
      <c r="AG181" t="s">
        <v>238</v>
      </c>
      <c r="AK181" t="s">
        <v>183</v>
      </c>
      <c r="AL181" t="s">
        <v>3083</v>
      </c>
      <c r="AM181" t="s">
        <v>3084</v>
      </c>
      <c r="AN181" t="s">
        <v>150</v>
      </c>
      <c r="AO181">
        <v>483</v>
      </c>
      <c r="AP181">
        <v>1</v>
      </c>
      <c r="AQ181" t="s">
        <v>117</v>
      </c>
      <c r="AR181" t="s">
        <v>118</v>
      </c>
      <c r="AS181" t="s">
        <v>429</v>
      </c>
      <c r="AT181" t="s">
        <v>119</v>
      </c>
      <c r="AU181" t="s">
        <v>3085</v>
      </c>
      <c r="AV181" t="s">
        <v>3086</v>
      </c>
      <c r="AX181" t="s">
        <v>191</v>
      </c>
    </row>
    <row r="182" spans="1:50" x14ac:dyDescent="0.25">
      <c r="A182" t="s">
        <v>3087</v>
      </c>
      <c r="B182" t="s">
        <v>3088</v>
      </c>
      <c r="C182" t="s">
        <v>3089</v>
      </c>
      <c r="D182" t="s">
        <v>3090</v>
      </c>
      <c r="E182" t="s">
        <v>1579</v>
      </c>
      <c r="F182" t="s">
        <v>436</v>
      </c>
      <c r="G182" t="s">
        <v>3091</v>
      </c>
      <c r="H182" t="s">
        <v>3092</v>
      </c>
      <c r="I182" t="s">
        <v>253</v>
      </c>
      <c r="J182" t="s">
        <v>91</v>
      </c>
      <c r="K182" t="s">
        <v>280</v>
      </c>
      <c r="L182" t="s">
        <v>1480</v>
      </c>
      <c r="M182" t="s">
        <v>163</v>
      </c>
      <c r="N182" t="s">
        <v>95</v>
      </c>
      <c r="O182" t="s">
        <v>1028</v>
      </c>
      <c r="P182" t="s">
        <v>3093</v>
      </c>
      <c r="Q182" t="s">
        <v>3094</v>
      </c>
      <c r="R182" t="s">
        <v>1722</v>
      </c>
      <c r="S182" t="s">
        <v>3095</v>
      </c>
      <c r="T182" t="s">
        <v>3096</v>
      </c>
      <c r="U182" t="s">
        <v>3097</v>
      </c>
      <c r="V182" t="s">
        <v>173</v>
      </c>
      <c r="W182" t="s">
        <v>71</v>
      </c>
      <c r="X182" t="s">
        <v>175</v>
      </c>
      <c r="Y182" t="s">
        <v>106</v>
      </c>
      <c r="Z182" t="s">
        <v>3098</v>
      </c>
      <c r="AA182" t="s">
        <v>144</v>
      </c>
      <c r="AB182" t="s">
        <v>179</v>
      </c>
      <c r="AC182">
        <v>3</v>
      </c>
      <c r="AD182" t="s">
        <v>146</v>
      </c>
      <c r="AE182" t="s">
        <v>110</v>
      </c>
      <c r="AF182">
        <v>54</v>
      </c>
      <c r="AG182">
        <v>0.08</v>
      </c>
      <c r="AJ182" t="s">
        <v>3099</v>
      </c>
      <c r="AK182" t="s">
        <v>240</v>
      </c>
      <c r="AL182" t="s">
        <v>3100</v>
      </c>
      <c r="AM182" t="s">
        <v>3101</v>
      </c>
      <c r="AN182" t="s">
        <v>150</v>
      </c>
      <c r="AO182">
        <v>238</v>
      </c>
      <c r="AP182">
        <v>4</v>
      </c>
      <c r="AR182">
        <v>1</v>
      </c>
      <c r="AS182" t="s">
        <v>83</v>
      </c>
      <c r="AT182" t="s">
        <v>152</v>
      </c>
      <c r="AU182" t="s">
        <v>3102</v>
      </c>
      <c r="AV182" t="s">
        <v>1558</v>
      </c>
      <c r="AW182" t="s">
        <v>190</v>
      </c>
      <c r="AX182" t="s">
        <v>270</v>
      </c>
    </row>
    <row r="183" spans="1:50" x14ac:dyDescent="0.25">
      <c r="A183" t="s">
        <v>3103</v>
      </c>
      <c r="B183" t="s">
        <v>2200</v>
      </c>
      <c r="D183" t="s">
        <v>3104</v>
      </c>
      <c r="E183" t="s">
        <v>3105</v>
      </c>
      <c r="F183" t="s">
        <v>3106</v>
      </c>
      <c r="G183" t="s">
        <v>677</v>
      </c>
      <c r="H183" t="s">
        <v>3107</v>
      </c>
      <c r="I183" t="s">
        <v>162</v>
      </c>
      <c r="J183" t="s">
        <v>3108</v>
      </c>
      <c r="K183" t="s">
        <v>59</v>
      </c>
      <c r="L183" t="s">
        <v>350</v>
      </c>
      <c r="M183" t="s">
        <v>742</v>
      </c>
      <c r="N183" t="s">
        <v>62</v>
      </c>
      <c r="O183" t="s">
        <v>1122</v>
      </c>
      <c r="P183" t="s">
        <v>3109</v>
      </c>
      <c r="Q183" t="s">
        <v>3110</v>
      </c>
      <c r="R183" t="s">
        <v>1271</v>
      </c>
      <c r="S183" t="s">
        <v>3111</v>
      </c>
      <c r="T183" t="s">
        <v>3112</v>
      </c>
      <c r="U183" t="s">
        <v>3113</v>
      </c>
      <c r="V183" t="s">
        <v>70</v>
      </c>
      <c r="W183" t="s">
        <v>71</v>
      </c>
      <c r="X183" t="s">
        <v>105</v>
      </c>
      <c r="Y183" t="s">
        <v>73</v>
      </c>
      <c r="Z183" t="s">
        <v>3114</v>
      </c>
      <c r="AA183" t="s">
        <v>236</v>
      </c>
      <c r="AB183" t="s">
        <v>179</v>
      </c>
      <c r="AC183" t="s">
        <v>1313</v>
      </c>
      <c r="AD183" t="s">
        <v>210</v>
      </c>
      <c r="AE183" t="s">
        <v>406</v>
      </c>
      <c r="AF183" t="s">
        <v>91</v>
      </c>
      <c r="AG183" t="s">
        <v>211</v>
      </c>
      <c r="AJ183" t="s">
        <v>3115</v>
      </c>
      <c r="AK183" t="s">
        <v>147</v>
      </c>
      <c r="AL183" t="s">
        <v>3116</v>
      </c>
      <c r="AM183">
        <v>17.21</v>
      </c>
      <c r="AN183" t="s">
        <v>150</v>
      </c>
      <c r="AO183">
        <v>358</v>
      </c>
      <c r="AP183">
        <v>5</v>
      </c>
      <c r="AQ183" t="s">
        <v>318</v>
      </c>
      <c r="AR183" t="s">
        <v>118</v>
      </c>
      <c r="AS183" t="s">
        <v>429</v>
      </c>
      <c r="AU183">
        <v>380.67</v>
      </c>
      <c r="AV183" t="s">
        <v>3117</v>
      </c>
      <c r="AW183" t="s">
        <v>965</v>
      </c>
    </row>
    <row r="184" spans="1:50" x14ac:dyDescent="0.25">
      <c r="A184" t="s">
        <v>3118</v>
      </c>
      <c r="B184" t="s">
        <v>3119</v>
      </c>
      <c r="C184" t="s">
        <v>3120</v>
      </c>
      <c r="D184" t="s">
        <v>2646</v>
      </c>
      <c r="E184" t="s">
        <v>3121</v>
      </c>
      <c r="F184" t="s">
        <v>222</v>
      </c>
      <c r="G184" t="s">
        <v>1862</v>
      </c>
      <c r="H184" t="s">
        <v>3122</v>
      </c>
      <c r="I184" t="s">
        <v>58</v>
      </c>
      <c r="J184" t="s">
        <v>134</v>
      </c>
      <c r="K184" t="s">
        <v>280</v>
      </c>
      <c r="L184" t="s">
        <v>481</v>
      </c>
      <c r="M184" t="s">
        <v>3123</v>
      </c>
      <c r="N184" t="s">
        <v>95</v>
      </c>
      <c r="O184" t="s">
        <v>283</v>
      </c>
      <c r="P184" t="s">
        <v>1481</v>
      </c>
      <c r="Q184" t="s">
        <v>3124</v>
      </c>
      <c r="R184" t="s">
        <v>1271</v>
      </c>
      <c r="S184" t="s">
        <v>3125</v>
      </c>
      <c r="T184" t="s">
        <v>3126</v>
      </c>
      <c r="U184" t="s">
        <v>91</v>
      </c>
      <c r="V184" t="s">
        <v>290</v>
      </c>
      <c r="W184" t="s">
        <v>206</v>
      </c>
      <c r="X184" t="s">
        <v>175</v>
      </c>
      <c r="Y184" t="s">
        <v>118</v>
      </c>
      <c r="Z184" t="s">
        <v>3127</v>
      </c>
      <c r="AA184" t="s">
        <v>144</v>
      </c>
      <c r="AB184" t="s">
        <v>528</v>
      </c>
      <c r="AC184">
        <v>8</v>
      </c>
      <c r="AD184" t="s">
        <v>237</v>
      </c>
      <c r="AE184" t="s">
        <v>110</v>
      </c>
      <c r="AF184" t="s">
        <v>91</v>
      </c>
      <c r="AG184" t="s">
        <v>211</v>
      </c>
      <c r="AJ184" t="s">
        <v>3128</v>
      </c>
      <c r="AK184" t="s">
        <v>79</v>
      </c>
      <c r="AL184" t="s">
        <v>3129</v>
      </c>
      <c r="AM184">
        <v>27.39</v>
      </c>
      <c r="AN184" t="s">
        <v>150</v>
      </c>
      <c r="AO184">
        <v>160</v>
      </c>
      <c r="AP184">
        <v>2</v>
      </c>
      <c r="AQ184" t="s">
        <v>318</v>
      </c>
      <c r="AR184" t="s">
        <v>243</v>
      </c>
      <c r="AS184" t="s">
        <v>83</v>
      </c>
      <c r="AT184" t="s">
        <v>119</v>
      </c>
      <c r="AU184" t="s">
        <v>3130</v>
      </c>
      <c r="AV184" t="s">
        <v>3131</v>
      </c>
      <c r="AW184" t="s">
        <v>122</v>
      </c>
      <c r="AX184" t="s">
        <v>246</v>
      </c>
    </row>
    <row r="185" spans="1:50" x14ac:dyDescent="0.25">
      <c r="A185" t="s">
        <v>3132</v>
      </c>
      <c r="B185" t="s">
        <v>3133</v>
      </c>
      <c r="C185" t="s">
        <v>3134</v>
      </c>
      <c r="D185" t="s">
        <v>3135</v>
      </c>
      <c r="E185" t="s">
        <v>3136</v>
      </c>
      <c r="F185" t="s">
        <v>3137</v>
      </c>
      <c r="G185" t="s">
        <v>3138</v>
      </c>
      <c r="H185" t="s">
        <v>796</v>
      </c>
      <c r="I185">
        <v>0</v>
      </c>
      <c r="J185" t="s">
        <v>3139</v>
      </c>
      <c r="K185" t="s">
        <v>59</v>
      </c>
      <c r="L185" t="s">
        <v>581</v>
      </c>
      <c r="M185" t="s">
        <v>742</v>
      </c>
      <c r="N185" t="s">
        <v>135</v>
      </c>
      <c r="O185" t="s">
        <v>461</v>
      </c>
      <c r="P185" t="s">
        <v>3140</v>
      </c>
      <c r="Q185" t="s">
        <v>3141</v>
      </c>
      <c r="R185" t="s">
        <v>169</v>
      </c>
      <c r="S185" t="s">
        <v>3142</v>
      </c>
      <c r="T185" t="s">
        <v>3143</v>
      </c>
      <c r="U185" t="s">
        <v>3144</v>
      </c>
      <c r="V185" t="s">
        <v>205</v>
      </c>
      <c r="W185" t="s">
        <v>104</v>
      </c>
      <c r="X185" t="s">
        <v>424</v>
      </c>
      <c r="Y185" t="s">
        <v>118</v>
      </c>
      <c r="Z185" t="s">
        <v>3145</v>
      </c>
      <c r="AA185" t="s">
        <v>236</v>
      </c>
      <c r="AB185" t="s">
        <v>108</v>
      </c>
      <c r="AC185" t="s">
        <v>357</v>
      </c>
      <c r="AD185" t="s">
        <v>210</v>
      </c>
      <c r="AE185" t="s">
        <v>181</v>
      </c>
      <c r="AF185">
        <v>16</v>
      </c>
      <c r="AG185" t="s">
        <v>111</v>
      </c>
      <c r="AJ185" t="s">
        <v>3146</v>
      </c>
      <c r="AK185" t="s">
        <v>147</v>
      </c>
      <c r="AL185" t="s">
        <v>3147</v>
      </c>
      <c r="AM185" t="s">
        <v>3148</v>
      </c>
      <c r="AN185" t="s">
        <v>150</v>
      </c>
      <c r="AO185">
        <v>298</v>
      </c>
      <c r="AP185">
        <v>4.5</v>
      </c>
      <c r="AQ185" t="s">
        <v>318</v>
      </c>
      <c r="AR185">
        <v>0</v>
      </c>
      <c r="AT185" t="s">
        <v>152</v>
      </c>
      <c r="AU185" t="s">
        <v>3149</v>
      </c>
      <c r="AV185" t="s">
        <v>1558</v>
      </c>
      <c r="AW185" t="s">
        <v>122</v>
      </c>
    </row>
    <row r="186" spans="1:50" x14ac:dyDescent="0.25">
      <c r="A186" t="s">
        <v>3150</v>
      </c>
      <c r="B186" t="s">
        <v>3151</v>
      </c>
      <c r="C186" t="s">
        <v>3152</v>
      </c>
      <c r="D186" t="s">
        <v>3153</v>
      </c>
      <c r="E186" t="s">
        <v>3154</v>
      </c>
      <c r="F186" t="s">
        <v>2791</v>
      </c>
      <c r="G186" t="s">
        <v>539</v>
      </c>
      <c r="H186" t="s">
        <v>641</v>
      </c>
      <c r="J186">
        <v>26627.45</v>
      </c>
      <c r="K186" t="s">
        <v>330</v>
      </c>
      <c r="L186" t="s">
        <v>2835</v>
      </c>
      <c r="M186" t="s">
        <v>1430</v>
      </c>
      <c r="N186" t="s">
        <v>95</v>
      </c>
      <c r="O186" t="s">
        <v>63</v>
      </c>
      <c r="P186" t="s">
        <v>3155</v>
      </c>
      <c r="Q186" t="s">
        <v>3156</v>
      </c>
      <c r="R186" t="s">
        <v>484</v>
      </c>
      <c r="S186" t="s">
        <v>3157</v>
      </c>
      <c r="T186" t="s">
        <v>3158</v>
      </c>
      <c r="U186" t="s">
        <v>3159</v>
      </c>
      <c r="V186" t="s">
        <v>173</v>
      </c>
      <c r="W186" t="s">
        <v>206</v>
      </c>
      <c r="X186" t="s">
        <v>233</v>
      </c>
      <c r="Y186" t="s">
        <v>73</v>
      </c>
      <c r="Z186" t="s">
        <v>3160</v>
      </c>
      <c r="AA186" t="s">
        <v>75</v>
      </c>
      <c r="AB186" t="s">
        <v>528</v>
      </c>
      <c r="AC186" t="s">
        <v>2175</v>
      </c>
      <c r="AD186" t="s">
        <v>237</v>
      </c>
      <c r="AE186" t="s">
        <v>406</v>
      </c>
      <c r="AF186">
        <v>20</v>
      </c>
      <c r="AG186" t="s">
        <v>238</v>
      </c>
      <c r="AJ186" t="s">
        <v>3161</v>
      </c>
      <c r="AK186" t="s">
        <v>183</v>
      </c>
      <c r="AL186" t="s">
        <v>3162</v>
      </c>
      <c r="AM186" t="s">
        <v>3163</v>
      </c>
      <c r="AN186" t="s">
        <v>186</v>
      </c>
      <c r="AO186">
        <v>233</v>
      </c>
      <c r="AQ186" t="s">
        <v>151</v>
      </c>
      <c r="AR186" t="s">
        <v>243</v>
      </c>
      <c r="AT186">
        <v>0.3</v>
      </c>
      <c r="AU186" t="s">
        <v>3164</v>
      </c>
      <c r="AV186" t="s">
        <v>3070</v>
      </c>
      <c r="AW186" t="s">
        <v>1697</v>
      </c>
      <c r="AX186" t="s">
        <v>270</v>
      </c>
    </row>
    <row r="187" spans="1:50" x14ac:dyDescent="0.25">
      <c r="A187" t="s">
        <v>3165</v>
      </c>
      <c r="B187" t="s">
        <v>3166</v>
      </c>
      <c r="C187" t="s">
        <v>3167</v>
      </c>
      <c r="D187" t="s">
        <v>1701</v>
      </c>
      <c r="E187" t="s">
        <v>134</v>
      </c>
      <c r="F187" t="s">
        <v>2355</v>
      </c>
      <c r="G187" t="s">
        <v>3168</v>
      </c>
      <c r="H187" t="s">
        <v>2186</v>
      </c>
      <c r="J187" t="s">
        <v>3169</v>
      </c>
      <c r="K187" t="s">
        <v>59</v>
      </c>
      <c r="L187" t="s">
        <v>3170</v>
      </c>
      <c r="M187" t="s">
        <v>165</v>
      </c>
      <c r="N187" t="s">
        <v>135</v>
      </c>
      <c r="O187" t="s">
        <v>397</v>
      </c>
      <c r="P187" t="s">
        <v>2761</v>
      </c>
      <c r="Q187" t="s">
        <v>3171</v>
      </c>
      <c r="R187" t="s">
        <v>201</v>
      </c>
      <c r="S187" t="s">
        <v>3172</v>
      </c>
      <c r="T187" t="s">
        <v>3173</v>
      </c>
      <c r="U187" t="s">
        <v>3174</v>
      </c>
      <c r="V187" t="s">
        <v>173</v>
      </c>
      <c r="W187" t="s">
        <v>206</v>
      </c>
      <c r="X187" t="s">
        <v>105</v>
      </c>
      <c r="Y187" t="s">
        <v>337</v>
      </c>
      <c r="Z187" t="s">
        <v>3175</v>
      </c>
      <c r="AA187" t="s">
        <v>144</v>
      </c>
      <c r="AB187" t="s">
        <v>108</v>
      </c>
      <c r="AC187">
        <v>3</v>
      </c>
      <c r="AD187" t="s">
        <v>146</v>
      </c>
      <c r="AE187" t="s">
        <v>77</v>
      </c>
      <c r="AF187">
        <v>57</v>
      </c>
      <c r="AG187" t="s">
        <v>111</v>
      </c>
      <c r="AJ187" t="s">
        <v>3176</v>
      </c>
      <c r="AK187" t="s">
        <v>240</v>
      </c>
      <c r="AL187" t="s">
        <v>3177</v>
      </c>
      <c r="AM187">
        <v>26.21</v>
      </c>
      <c r="AN187" t="s">
        <v>116</v>
      </c>
      <c r="AO187">
        <v>345</v>
      </c>
      <c r="AP187">
        <v>4.5</v>
      </c>
      <c r="AQ187" t="s">
        <v>610</v>
      </c>
      <c r="AR187" t="s">
        <v>118</v>
      </c>
      <c r="AS187" t="s">
        <v>429</v>
      </c>
      <c r="AU187" t="s">
        <v>3178</v>
      </c>
      <c r="AV187" t="s">
        <v>3179</v>
      </c>
      <c r="AW187" t="s">
        <v>122</v>
      </c>
      <c r="AX187" t="s">
        <v>270</v>
      </c>
    </row>
    <row r="188" spans="1:50" x14ac:dyDescent="0.25">
      <c r="A188" t="s">
        <v>3180</v>
      </c>
      <c r="B188" t="s">
        <v>1283</v>
      </c>
      <c r="C188" t="s">
        <v>3181</v>
      </c>
      <c r="D188" t="s">
        <v>1154</v>
      </c>
      <c r="E188" t="s">
        <v>1155</v>
      </c>
      <c r="F188" t="s">
        <v>56</v>
      </c>
      <c r="G188" t="s">
        <v>1791</v>
      </c>
      <c r="H188" t="s">
        <v>499</v>
      </c>
      <c r="I188" t="s">
        <v>253</v>
      </c>
      <c r="J188">
        <v>7211.07</v>
      </c>
      <c r="K188" t="s">
        <v>330</v>
      </c>
      <c r="L188" t="s">
        <v>197</v>
      </c>
      <c r="M188" t="s">
        <v>3182</v>
      </c>
      <c r="N188" t="s">
        <v>417</v>
      </c>
      <c r="O188" t="s">
        <v>777</v>
      </c>
      <c r="P188" t="s">
        <v>3183</v>
      </c>
      <c r="Q188" t="s">
        <v>3184</v>
      </c>
      <c r="R188" t="s">
        <v>99</v>
      </c>
      <c r="S188" t="s">
        <v>3185</v>
      </c>
      <c r="T188" t="s">
        <v>3186</v>
      </c>
      <c r="U188" t="s">
        <v>3187</v>
      </c>
      <c r="V188" t="s">
        <v>205</v>
      </c>
      <c r="W188" t="s">
        <v>206</v>
      </c>
      <c r="X188" t="s">
        <v>207</v>
      </c>
      <c r="Y188" t="s">
        <v>337</v>
      </c>
      <c r="Z188" t="s">
        <v>3188</v>
      </c>
      <c r="AA188" t="s">
        <v>75</v>
      </c>
      <c r="AB188" t="s">
        <v>263</v>
      </c>
      <c r="AC188" t="s">
        <v>109</v>
      </c>
      <c r="AD188">
        <v>2025</v>
      </c>
      <c r="AE188" t="s">
        <v>110</v>
      </c>
      <c r="AF188">
        <v>10</v>
      </c>
      <c r="AG188" t="s">
        <v>238</v>
      </c>
      <c r="AJ188" t="s">
        <v>3189</v>
      </c>
      <c r="AK188" t="s">
        <v>113</v>
      </c>
      <c r="AL188" t="s">
        <v>3190</v>
      </c>
      <c r="AM188" t="s">
        <v>3191</v>
      </c>
      <c r="AN188" t="s">
        <v>186</v>
      </c>
      <c r="AO188">
        <v>72</v>
      </c>
      <c r="AP188">
        <v>1</v>
      </c>
      <c r="AQ188" t="s">
        <v>151</v>
      </c>
      <c r="AR188" t="s">
        <v>319</v>
      </c>
      <c r="AS188" t="s">
        <v>429</v>
      </c>
      <c r="AU188" t="s">
        <v>3192</v>
      </c>
      <c r="AV188" t="s">
        <v>3193</v>
      </c>
      <c r="AX188" t="s">
        <v>270</v>
      </c>
    </row>
    <row r="189" spans="1:50" x14ac:dyDescent="0.25">
      <c r="A189" t="s">
        <v>3194</v>
      </c>
      <c r="B189" t="s">
        <v>3195</v>
      </c>
      <c r="C189" t="s">
        <v>3196</v>
      </c>
      <c r="D189" t="s">
        <v>2184</v>
      </c>
      <c r="E189" t="s">
        <v>2185</v>
      </c>
      <c r="F189" t="s">
        <v>1043</v>
      </c>
      <c r="G189">
        <v>24</v>
      </c>
      <c r="H189">
        <v>39.53</v>
      </c>
      <c r="I189">
        <v>0.1</v>
      </c>
      <c r="J189" t="s">
        <v>3197</v>
      </c>
      <c r="K189" t="s">
        <v>59</v>
      </c>
      <c r="L189" t="s">
        <v>164</v>
      </c>
      <c r="N189" t="s">
        <v>95</v>
      </c>
      <c r="O189" t="s">
        <v>96</v>
      </c>
      <c r="P189" t="s">
        <v>1249</v>
      </c>
      <c r="Q189" t="s">
        <v>3198</v>
      </c>
      <c r="R189" t="s">
        <v>935</v>
      </c>
      <c r="S189" t="s">
        <v>3199</v>
      </c>
      <c r="T189" t="s">
        <v>3200</v>
      </c>
      <c r="U189" t="s">
        <v>3201</v>
      </c>
      <c r="V189" t="s">
        <v>103</v>
      </c>
      <c r="W189" t="s">
        <v>104</v>
      </c>
      <c r="X189" t="s">
        <v>207</v>
      </c>
      <c r="Y189" t="s">
        <v>234</v>
      </c>
      <c r="Z189" t="s">
        <v>3202</v>
      </c>
      <c r="AA189" t="s">
        <v>236</v>
      </c>
      <c r="AB189" t="s">
        <v>405</v>
      </c>
      <c r="AC189" t="s">
        <v>145</v>
      </c>
      <c r="AD189" t="s">
        <v>146</v>
      </c>
      <c r="AE189" t="s">
        <v>406</v>
      </c>
      <c r="AF189">
        <v>79</v>
      </c>
      <c r="AG189" t="s">
        <v>111</v>
      </c>
      <c r="AJ189" t="s">
        <v>3203</v>
      </c>
      <c r="AK189" t="s">
        <v>240</v>
      </c>
      <c r="AL189" t="s">
        <v>3204</v>
      </c>
      <c r="AM189" t="s">
        <v>3205</v>
      </c>
      <c r="AN189" t="s">
        <v>82</v>
      </c>
      <c r="AO189">
        <v>400</v>
      </c>
      <c r="AQ189" t="s">
        <v>151</v>
      </c>
      <c r="AR189" t="s">
        <v>188</v>
      </c>
      <c r="AS189" t="s">
        <v>83</v>
      </c>
      <c r="AT189">
        <v>0.3</v>
      </c>
      <c r="AU189" t="s">
        <v>142</v>
      </c>
      <c r="AV189" t="s">
        <v>3206</v>
      </c>
      <c r="AW189" t="s">
        <v>944</v>
      </c>
    </row>
    <row r="190" spans="1:50" x14ac:dyDescent="0.25">
      <c r="A190" t="s">
        <v>3207</v>
      </c>
      <c r="B190" t="s">
        <v>3208</v>
      </c>
      <c r="C190" t="s">
        <v>1133</v>
      </c>
      <c r="D190" t="s">
        <v>3209</v>
      </c>
      <c r="E190" t="s">
        <v>3210</v>
      </c>
      <c r="F190" t="s">
        <v>1876</v>
      </c>
      <c r="G190">
        <v>11</v>
      </c>
      <c r="H190" t="s">
        <v>3211</v>
      </c>
      <c r="I190">
        <v>0</v>
      </c>
      <c r="J190" t="s">
        <v>3212</v>
      </c>
      <c r="K190" t="s">
        <v>59</v>
      </c>
      <c r="L190" t="s">
        <v>1601</v>
      </c>
      <c r="M190" t="s">
        <v>3213</v>
      </c>
      <c r="N190" t="s">
        <v>62</v>
      </c>
      <c r="O190" t="s">
        <v>304</v>
      </c>
      <c r="P190" t="s">
        <v>1813</v>
      </c>
      <c r="Q190" t="s">
        <v>3214</v>
      </c>
      <c r="R190" t="s">
        <v>378</v>
      </c>
      <c r="S190" t="s">
        <v>3215</v>
      </c>
      <c r="T190" t="s">
        <v>3216</v>
      </c>
      <c r="U190" t="s">
        <v>3217</v>
      </c>
      <c r="V190" t="s">
        <v>173</v>
      </c>
      <c r="W190" t="s">
        <v>174</v>
      </c>
      <c r="X190" t="s">
        <v>233</v>
      </c>
      <c r="Y190" t="s">
        <v>176</v>
      </c>
      <c r="Z190" t="s">
        <v>3218</v>
      </c>
      <c r="AA190" t="s">
        <v>19</v>
      </c>
      <c r="AB190" t="s">
        <v>263</v>
      </c>
      <c r="AC190" t="s">
        <v>447</v>
      </c>
      <c r="AD190">
        <v>2025</v>
      </c>
      <c r="AE190" t="s">
        <v>181</v>
      </c>
      <c r="AF190">
        <v>48</v>
      </c>
      <c r="AG190" t="s">
        <v>238</v>
      </c>
      <c r="AJ190" t="s">
        <v>3219</v>
      </c>
      <c r="AK190" t="s">
        <v>113</v>
      </c>
      <c r="AL190" t="s">
        <v>3220</v>
      </c>
      <c r="AM190">
        <v>19.29</v>
      </c>
      <c r="AN190" t="s">
        <v>150</v>
      </c>
      <c r="AO190">
        <v>332</v>
      </c>
      <c r="AP190">
        <v>4.5</v>
      </c>
      <c r="AQ190" t="s">
        <v>117</v>
      </c>
      <c r="AR190">
        <v>0</v>
      </c>
      <c r="AS190" t="s">
        <v>429</v>
      </c>
      <c r="AT190" t="s">
        <v>152</v>
      </c>
      <c r="AU190" t="s">
        <v>3221</v>
      </c>
      <c r="AV190" t="s">
        <v>3222</v>
      </c>
      <c r="AX190" t="s">
        <v>270</v>
      </c>
    </row>
    <row r="191" spans="1:50" x14ac:dyDescent="0.25">
      <c r="A191" t="s">
        <v>3223</v>
      </c>
      <c r="B191" t="s">
        <v>3224</v>
      </c>
      <c r="C191" t="s">
        <v>3225</v>
      </c>
      <c r="D191" t="s">
        <v>2264</v>
      </c>
      <c r="E191" t="s">
        <v>251</v>
      </c>
      <c r="F191" t="s">
        <v>3226</v>
      </c>
      <c r="G191" t="s">
        <v>2301</v>
      </c>
      <c r="H191" t="s">
        <v>3227</v>
      </c>
      <c r="I191" t="s">
        <v>58</v>
      </c>
      <c r="J191" t="s">
        <v>3228</v>
      </c>
      <c r="K191" t="s">
        <v>280</v>
      </c>
      <c r="L191" t="s">
        <v>600</v>
      </c>
      <c r="M191" t="s">
        <v>3229</v>
      </c>
      <c r="N191" t="s">
        <v>135</v>
      </c>
      <c r="O191" t="s">
        <v>397</v>
      </c>
      <c r="P191" t="s">
        <v>3230</v>
      </c>
      <c r="Q191" t="s">
        <v>3231</v>
      </c>
      <c r="R191" t="s">
        <v>1178</v>
      </c>
      <c r="S191" t="s">
        <v>3232</v>
      </c>
      <c r="T191" t="s">
        <v>3233</v>
      </c>
      <c r="U191" t="s">
        <v>3234</v>
      </c>
      <c r="V191" t="s">
        <v>290</v>
      </c>
      <c r="W191" t="s">
        <v>71</v>
      </c>
      <c r="X191" t="s">
        <v>207</v>
      </c>
      <c r="Y191" t="s">
        <v>176</v>
      </c>
      <c r="Z191" t="s">
        <v>3235</v>
      </c>
      <c r="AA191" t="s">
        <v>19</v>
      </c>
      <c r="AB191" t="s">
        <v>108</v>
      </c>
      <c r="AC191">
        <v>3</v>
      </c>
      <c r="AD191">
        <v>2026</v>
      </c>
      <c r="AE191" t="s">
        <v>181</v>
      </c>
      <c r="AF191">
        <v>53</v>
      </c>
      <c r="AG191" t="s">
        <v>111</v>
      </c>
      <c r="AJ191" t="s">
        <v>3236</v>
      </c>
      <c r="AK191" t="s">
        <v>183</v>
      </c>
      <c r="AL191" t="s">
        <v>3237</v>
      </c>
      <c r="AM191">
        <v>28.35</v>
      </c>
      <c r="AN191" t="s">
        <v>116</v>
      </c>
      <c r="AO191">
        <v>19</v>
      </c>
      <c r="AP191">
        <v>1</v>
      </c>
      <c r="AQ191" t="s">
        <v>242</v>
      </c>
      <c r="AR191">
        <v>0</v>
      </c>
      <c r="AS191" t="s">
        <v>429</v>
      </c>
      <c r="AT191" t="s">
        <v>361</v>
      </c>
      <c r="AU191" t="s">
        <v>3238</v>
      </c>
      <c r="AV191" t="s">
        <v>3239</v>
      </c>
      <c r="AW191" t="s">
        <v>1019</v>
      </c>
    </row>
    <row r="192" spans="1:50" x14ac:dyDescent="0.25">
      <c r="A192" t="s">
        <v>3240</v>
      </c>
      <c r="B192" t="s">
        <v>3241</v>
      </c>
      <c r="C192" t="s">
        <v>3242</v>
      </c>
      <c r="D192" t="s">
        <v>3243</v>
      </c>
      <c r="E192" t="s">
        <v>142</v>
      </c>
      <c r="F192" t="s">
        <v>327</v>
      </c>
      <c r="G192" t="s">
        <v>181</v>
      </c>
      <c r="H192" t="s">
        <v>3244</v>
      </c>
      <c r="I192">
        <v>0</v>
      </c>
      <c r="J192" t="s">
        <v>134</v>
      </c>
      <c r="K192" t="s">
        <v>92</v>
      </c>
      <c r="L192" t="s">
        <v>3011</v>
      </c>
      <c r="M192" t="s">
        <v>3245</v>
      </c>
      <c r="N192" t="s">
        <v>417</v>
      </c>
      <c r="O192" t="s">
        <v>304</v>
      </c>
      <c r="P192" t="s">
        <v>3246</v>
      </c>
      <c r="Q192" t="s">
        <v>3247</v>
      </c>
      <c r="R192" t="s">
        <v>1708</v>
      </c>
      <c r="S192" t="s">
        <v>3248</v>
      </c>
      <c r="T192" t="s">
        <v>3249</v>
      </c>
      <c r="U192" t="s">
        <v>3250</v>
      </c>
      <c r="V192" t="s">
        <v>103</v>
      </c>
      <c r="W192" t="s">
        <v>726</v>
      </c>
      <c r="X192" t="s">
        <v>424</v>
      </c>
      <c r="Y192" t="s">
        <v>176</v>
      </c>
      <c r="Z192" t="s">
        <v>3251</v>
      </c>
      <c r="AA192" t="s">
        <v>75</v>
      </c>
      <c r="AB192" t="s">
        <v>263</v>
      </c>
      <c r="AC192" t="s">
        <v>264</v>
      </c>
      <c r="AD192" t="s">
        <v>146</v>
      </c>
      <c r="AE192" t="s">
        <v>110</v>
      </c>
      <c r="AF192">
        <v>55</v>
      </c>
      <c r="AG192" t="s">
        <v>111</v>
      </c>
      <c r="AK192" t="s">
        <v>113</v>
      </c>
      <c r="AL192" t="s">
        <v>3252</v>
      </c>
      <c r="AM192" t="s">
        <v>3253</v>
      </c>
      <c r="AN192" t="s">
        <v>116</v>
      </c>
      <c r="AO192">
        <v>2</v>
      </c>
      <c r="AP192">
        <v>3</v>
      </c>
      <c r="AQ192" t="s">
        <v>151</v>
      </c>
      <c r="AR192" t="s">
        <v>188</v>
      </c>
      <c r="AT192" t="s">
        <v>119</v>
      </c>
      <c r="AU192" t="s">
        <v>134</v>
      </c>
      <c r="AV192" t="s">
        <v>3254</v>
      </c>
      <c r="AX192" t="s">
        <v>270</v>
      </c>
    </row>
    <row r="193" spans="1:50" x14ac:dyDescent="0.25">
      <c r="A193" t="s">
        <v>3255</v>
      </c>
      <c r="B193" t="s">
        <v>3256</v>
      </c>
      <c r="C193" t="s">
        <v>3257</v>
      </c>
      <c r="D193" t="s">
        <v>868</v>
      </c>
      <c r="E193" t="s">
        <v>142</v>
      </c>
      <c r="F193" t="s">
        <v>3258</v>
      </c>
      <c r="G193" t="s">
        <v>437</v>
      </c>
      <c r="H193" t="s">
        <v>3259</v>
      </c>
      <c r="I193" t="s">
        <v>253</v>
      </c>
      <c r="J193" t="s">
        <v>134</v>
      </c>
      <c r="K193" t="s">
        <v>92</v>
      </c>
      <c r="L193" t="s">
        <v>1705</v>
      </c>
      <c r="M193" t="s">
        <v>1669</v>
      </c>
      <c r="N193" t="s">
        <v>417</v>
      </c>
      <c r="O193" t="s">
        <v>304</v>
      </c>
      <c r="P193" t="s">
        <v>3260</v>
      </c>
      <c r="Q193" t="s">
        <v>3261</v>
      </c>
      <c r="R193" t="s">
        <v>994</v>
      </c>
      <c r="S193" t="s">
        <v>3262</v>
      </c>
      <c r="T193" t="s">
        <v>3263</v>
      </c>
      <c r="U193" t="s">
        <v>3264</v>
      </c>
      <c r="V193" t="s">
        <v>70</v>
      </c>
      <c r="W193" t="s">
        <v>71</v>
      </c>
      <c r="X193" t="s">
        <v>207</v>
      </c>
      <c r="Y193" t="s">
        <v>106</v>
      </c>
      <c r="Z193" t="s">
        <v>3265</v>
      </c>
      <c r="AA193" t="s">
        <v>144</v>
      </c>
      <c r="AB193" t="s">
        <v>76</v>
      </c>
      <c r="AC193">
        <v>9</v>
      </c>
      <c r="AD193" t="s">
        <v>237</v>
      </c>
      <c r="AE193" t="s">
        <v>77</v>
      </c>
      <c r="AF193" t="s">
        <v>163</v>
      </c>
      <c r="AG193" t="s">
        <v>211</v>
      </c>
      <c r="AJ193">
        <v>45.83</v>
      </c>
      <c r="AK193" t="s">
        <v>79</v>
      </c>
      <c r="AL193" t="s">
        <v>3266</v>
      </c>
      <c r="AM193" t="s">
        <v>3267</v>
      </c>
      <c r="AN193" t="s">
        <v>267</v>
      </c>
      <c r="AO193">
        <v>210</v>
      </c>
      <c r="AP193" t="s">
        <v>214</v>
      </c>
      <c r="AQ193" t="s">
        <v>610</v>
      </c>
      <c r="AR193" t="s">
        <v>188</v>
      </c>
      <c r="AT193" t="s">
        <v>361</v>
      </c>
      <c r="AU193" t="s">
        <v>3268</v>
      </c>
      <c r="AV193" t="s">
        <v>3269</v>
      </c>
      <c r="AW193" t="s">
        <v>122</v>
      </c>
      <c r="AX193" t="s">
        <v>246</v>
      </c>
    </row>
    <row r="194" spans="1:50" x14ac:dyDescent="0.25">
      <c r="A194" t="s">
        <v>3270</v>
      </c>
      <c r="B194" t="s">
        <v>3271</v>
      </c>
      <c r="C194" t="s">
        <v>3272</v>
      </c>
      <c r="D194" t="s">
        <v>3273</v>
      </c>
      <c r="E194" t="s">
        <v>3274</v>
      </c>
      <c r="G194">
        <v>13</v>
      </c>
      <c r="H194" t="s">
        <v>598</v>
      </c>
      <c r="I194">
        <v>0.1</v>
      </c>
      <c r="J194" t="s">
        <v>3275</v>
      </c>
      <c r="K194" t="s">
        <v>92</v>
      </c>
      <c r="L194" t="s">
        <v>3276</v>
      </c>
      <c r="M194" t="s">
        <v>3193</v>
      </c>
      <c r="N194" t="s">
        <v>166</v>
      </c>
      <c r="O194" t="s">
        <v>1566</v>
      </c>
      <c r="P194" t="s">
        <v>700</v>
      </c>
      <c r="Q194" t="s">
        <v>3277</v>
      </c>
      <c r="R194" t="s">
        <v>66</v>
      </c>
      <c r="S194" t="s">
        <v>3278</v>
      </c>
      <c r="T194" t="s">
        <v>3279</v>
      </c>
      <c r="U194" t="s">
        <v>3280</v>
      </c>
      <c r="V194" t="s">
        <v>70</v>
      </c>
      <c r="W194" t="s">
        <v>174</v>
      </c>
      <c r="X194" t="s">
        <v>233</v>
      </c>
      <c r="Y194" t="s">
        <v>106</v>
      </c>
      <c r="Z194" t="s">
        <v>3281</v>
      </c>
      <c r="AA194" t="s">
        <v>178</v>
      </c>
      <c r="AB194" t="s">
        <v>76</v>
      </c>
      <c r="AC194" t="s">
        <v>3282</v>
      </c>
      <c r="AD194" t="s">
        <v>237</v>
      </c>
      <c r="AE194" t="s">
        <v>181</v>
      </c>
      <c r="AG194" t="s">
        <v>211</v>
      </c>
      <c r="AJ194" t="s">
        <v>3283</v>
      </c>
      <c r="AK194" t="s">
        <v>571</v>
      </c>
      <c r="AL194" t="s">
        <v>3284</v>
      </c>
      <c r="AM194" t="s">
        <v>3285</v>
      </c>
      <c r="AN194" t="s">
        <v>150</v>
      </c>
      <c r="AO194">
        <v>350</v>
      </c>
      <c r="AQ194" t="s">
        <v>786</v>
      </c>
      <c r="AR194" t="s">
        <v>243</v>
      </c>
      <c r="AT194">
        <v>0.3</v>
      </c>
      <c r="AU194">
        <v>359.49</v>
      </c>
      <c r="AV194" t="s">
        <v>3286</v>
      </c>
      <c r="AW194" t="s">
        <v>122</v>
      </c>
      <c r="AX194" t="s">
        <v>191</v>
      </c>
    </row>
    <row r="195" spans="1:50" x14ac:dyDescent="0.25">
      <c r="A195" t="s">
        <v>3287</v>
      </c>
      <c r="B195" t="s">
        <v>3288</v>
      </c>
      <c r="C195" t="s">
        <v>3289</v>
      </c>
      <c r="D195" t="s">
        <v>3290</v>
      </c>
      <c r="E195" t="s">
        <v>134</v>
      </c>
      <c r="F195" t="s">
        <v>90</v>
      </c>
      <c r="G195" t="s">
        <v>3291</v>
      </c>
      <c r="H195" t="s">
        <v>3292</v>
      </c>
      <c r="I195">
        <v>0</v>
      </c>
      <c r="J195" t="s">
        <v>3293</v>
      </c>
      <c r="K195" t="s">
        <v>92</v>
      </c>
      <c r="L195" t="s">
        <v>350</v>
      </c>
      <c r="M195" t="s">
        <v>134</v>
      </c>
      <c r="N195" t="s">
        <v>396</v>
      </c>
      <c r="O195" t="s">
        <v>760</v>
      </c>
      <c r="P195" t="s">
        <v>1342</v>
      </c>
      <c r="Q195" t="s">
        <v>3294</v>
      </c>
      <c r="R195" t="s">
        <v>684</v>
      </c>
      <c r="S195" t="s">
        <v>3295</v>
      </c>
      <c r="T195" t="s">
        <v>3296</v>
      </c>
      <c r="U195" t="s">
        <v>3297</v>
      </c>
      <c r="V195" t="s">
        <v>205</v>
      </c>
      <c r="W195" t="s">
        <v>726</v>
      </c>
      <c r="X195" t="s">
        <v>424</v>
      </c>
      <c r="Y195" t="s">
        <v>234</v>
      </c>
      <c r="Z195" t="s">
        <v>3298</v>
      </c>
      <c r="AA195" t="s">
        <v>75</v>
      </c>
      <c r="AB195" t="s">
        <v>405</v>
      </c>
      <c r="AC195" t="s">
        <v>2175</v>
      </c>
      <c r="AD195" t="s">
        <v>314</v>
      </c>
      <c r="AE195" t="s">
        <v>110</v>
      </c>
      <c r="AG195" t="s">
        <v>111</v>
      </c>
      <c r="AJ195" t="s">
        <v>134</v>
      </c>
      <c r="AK195" t="s">
        <v>113</v>
      </c>
      <c r="AL195" t="s">
        <v>3299</v>
      </c>
      <c r="AM195" t="s">
        <v>3300</v>
      </c>
      <c r="AN195" t="s">
        <v>267</v>
      </c>
      <c r="AO195" t="s">
        <v>91</v>
      </c>
      <c r="AP195">
        <v>4.5</v>
      </c>
      <c r="AQ195" t="s">
        <v>610</v>
      </c>
      <c r="AR195">
        <v>0</v>
      </c>
      <c r="AT195" t="s">
        <v>152</v>
      </c>
      <c r="AU195">
        <v>29.75</v>
      </c>
      <c r="AV195" t="s">
        <v>3301</v>
      </c>
      <c r="AW195" t="s">
        <v>3302</v>
      </c>
      <c r="AX195" t="s">
        <v>191</v>
      </c>
    </row>
    <row r="196" spans="1:50" x14ac:dyDescent="0.25">
      <c r="A196" t="s">
        <v>3303</v>
      </c>
      <c r="B196" t="s">
        <v>3304</v>
      </c>
      <c r="C196" t="s">
        <v>3305</v>
      </c>
      <c r="D196" t="s">
        <v>3306</v>
      </c>
      <c r="E196" t="s">
        <v>134</v>
      </c>
      <c r="G196" t="s">
        <v>2563</v>
      </c>
      <c r="H196">
        <v>1184.7</v>
      </c>
      <c r="I196">
        <v>0.1</v>
      </c>
      <c r="J196" t="s">
        <v>142</v>
      </c>
      <c r="K196" t="s">
        <v>330</v>
      </c>
      <c r="L196" t="s">
        <v>541</v>
      </c>
      <c r="M196" t="s">
        <v>91</v>
      </c>
      <c r="N196" t="s">
        <v>417</v>
      </c>
      <c r="O196" t="s">
        <v>836</v>
      </c>
      <c r="P196" t="s">
        <v>3307</v>
      </c>
      <c r="Q196" t="s">
        <v>3308</v>
      </c>
      <c r="R196" t="s">
        <v>2076</v>
      </c>
      <c r="S196" t="s">
        <v>3309</v>
      </c>
      <c r="T196" t="s">
        <v>3310</v>
      </c>
      <c r="U196" t="s">
        <v>3311</v>
      </c>
      <c r="V196" t="s">
        <v>290</v>
      </c>
      <c r="W196" t="s">
        <v>71</v>
      </c>
      <c r="X196" t="s">
        <v>207</v>
      </c>
      <c r="Y196" t="s">
        <v>234</v>
      </c>
      <c r="Z196" t="s">
        <v>3312</v>
      </c>
      <c r="AA196" t="s">
        <v>19</v>
      </c>
      <c r="AB196" t="s">
        <v>179</v>
      </c>
      <c r="AC196" t="s">
        <v>2988</v>
      </c>
      <c r="AD196">
        <v>2025</v>
      </c>
      <c r="AE196" t="s">
        <v>77</v>
      </c>
      <c r="AF196">
        <v>46</v>
      </c>
      <c r="AG196">
        <v>0.08</v>
      </c>
      <c r="AJ196" t="s">
        <v>3313</v>
      </c>
      <c r="AK196" t="s">
        <v>79</v>
      </c>
      <c r="AL196" t="s">
        <v>3314</v>
      </c>
      <c r="AM196" t="s">
        <v>3315</v>
      </c>
      <c r="AN196" t="s">
        <v>116</v>
      </c>
      <c r="AO196">
        <v>8</v>
      </c>
      <c r="AP196" t="s">
        <v>187</v>
      </c>
      <c r="AR196" t="s">
        <v>319</v>
      </c>
      <c r="AU196">
        <v>1243.93</v>
      </c>
      <c r="AV196" t="s">
        <v>3316</v>
      </c>
      <c r="AW196" t="s">
        <v>122</v>
      </c>
    </row>
    <row r="197" spans="1:50" x14ac:dyDescent="0.25">
      <c r="A197" t="s">
        <v>3317</v>
      </c>
      <c r="B197" t="s">
        <v>3318</v>
      </c>
      <c r="C197" t="s">
        <v>3319</v>
      </c>
      <c r="D197" t="s">
        <v>2693</v>
      </c>
      <c r="E197" t="s">
        <v>3320</v>
      </c>
      <c r="F197" t="s">
        <v>56</v>
      </c>
      <c r="G197">
        <v>2</v>
      </c>
      <c r="H197" t="s">
        <v>2696</v>
      </c>
      <c r="I197">
        <v>0.1</v>
      </c>
      <c r="J197" t="s">
        <v>142</v>
      </c>
      <c r="K197" t="s">
        <v>59</v>
      </c>
      <c r="L197" t="s">
        <v>1915</v>
      </c>
      <c r="M197" t="s">
        <v>3321</v>
      </c>
      <c r="N197" t="s">
        <v>95</v>
      </c>
      <c r="O197" t="s">
        <v>502</v>
      </c>
      <c r="P197" t="s">
        <v>1757</v>
      </c>
      <c r="Q197" t="s">
        <v>3322</v>
      </c>
      <c r="R197" t="s">
        <v>1178</v>
      </c>
      <c r="S197" t="s">
        <v>3323</v>
      </c>
      <c r="T197" t="s">
        <v>3324</v>
      </c>
      <c r="U197" t="s">
        <v>3325</v>
      </c>
      <c r="V197" t="s">
        <v>205</v>
      </c>
      <c r="W197" t="s">
        <v>311</v>
      </c>
      <c r="X197" t="s">
        <v>424</v>
      </c>
      <c r="Y197" t="s">
        <v>234</v>
      </c>
      <c r="Z197" t="s">
        <v>3326</v>
      </c>
      <c r="AA197" t="s">
        <v>236</v>
      </c>
      <c r="AB197" t="s">
        <v>405</v>
      </c>
      <c r="AC197" t="s">
        <v>1313</v>
      </c>
      <c r="AD197">
        <v>2026</v>
      </c>
      <c r="AE197" t="s">
        <v>110</v>
      </c>
      <c r="AF197">
        <v>16</v>
      </c>
      <c r="AG197" t="s">
        <v>111</v>
      </c>
      <c r="AJ197" t="s">
        <v>3327</v>
      </c>
      <c r="AK197" t="s">
        <v>147</v>
      </c>
      <c r="AL197" t="s">
        <v>3328</v>
      </c>
      <c r="AM197">
        <v>15.78</v>
      </c>
      <c r="AN197" t="s">
        <v>82</v>
      </c>
      <c r="AO197">
        <v>418</v>
      </c>
      <c r="AP197">
        <v>3</v>
      </c>
      <c r="AQ197" t="s">
        <v>117</v>
      </c>
      <c r="AR197" t="s">
        <v>188</v>
      </c>
      <c r="AS197" t="s">
        <v>215</v>
      </c>
      <c r="AT197">
        <v>0.3</v>
      </c>
      <c r="AU197" t="s">
        <v>3329</v>
      </c>
      <c r="AV197" t="s">
        <v>3330</v>
      </c>
      <c r="AX197" t="s">
        <v>85</v>
      </c>
    </row>
    <row r="198" spans="1:50" x14ac:dyDescent="0.25">
      <c r="A198" t="s">
        <v>3331</v>
      </c>
      <c r="B198" t="s">
        <v>3332</v>
      </c>
      <c r="C198" t="s">
        <v>3333</v>
      </c>
      <c r="D198" t="s">
        <v>3290</v>
      </c>
      <c r="E198" t="s">
        <v>134</v>
      </c>
      <c r="F198" t="s">
        <v>91</v>
      </c>
      <c r="G198" t="s">
        <v>3334</v>
      </c>
      <c r="H198" t="s">
        <v>3335</v>
      </c>
      <c r="I198" t="s">
        <v>58</v>
      </c>
      <c r="J198" t="s">
        <v>142</v>
      </c>
      <c r="K198" t="s">
        <v>59</v>
      </c>
      <c r="L198" t="s">
        <v>1931</v>
      </c>
      <c r="M198" t="s">
        <v>163</v>
      </c>
      <c r="N198" t="s">
        <v>396</v>
      </c>
      <c r="O198" t="s">
        <v>502</v>
      </c>
      <c r="P198" t="s">
        <v>376</v>
      </c>
      <c r="Q198" t="s">
        <v>3336</v>
      </c>
      <c r="R198" t="s">
        <v>564</v>
      </c>
      <c r="S198" t="s">
        <v>3337</v>
      </c>
      <c r="T198" t="s">
        <v>3338</v>
      </c>
      <c r="U198" t="s">
        <v>3339</v>
      </c>
      <c r="V198" t="s">
        <v>205</v>
      </c>
      <c r="W198" t="s">
        <v>174</v>
      </c>
      <c r="X198" t="s">
        <v>207</v>
      </c>
      <c r="Y198" t="s">
        <v>176</v>
      </c>
      <c r="Z198" t="s">
        <v>3340</v>
      </c>
      <c r="AA198" t="s">
        <v>19</v>
      </c>
      <c r="AB198" t="s">
        <v>528</v>
      </c>
      <c r="AC198" t="s">
        <v>569</v>
      </c>
      <c r="AD198" t="s">
        <v>146</v>
      </c>
      <c r="AE198" t="s">
        <v>406</v>
      </c>
      <c r="AF198">
        <v>62</v>
      </c>
      <c r="AG198" t="s">
        <v>211</v>
      </c>
      <c r="AJ198" t="s">
        <v>3341</v>
      </c>
      <c r="AK198" t="s">
        <v>79</v>
      </c>
      <c r="AL198" t="s">
        <v>3342</v>
      </c>
      <c r="AM198" t="s">
        <v>3343</v>
      </c>
      <c r="AN198" t="s">
        <v>186</v>
      </c>
      <c r="AO198">
        <v>427</v>
      </c>
      <c r="AP198" t="s">
        <v>187</v>
      </c>
      <c r="AQ198" t="s">
        <v>610</v>
      </c>
      <c r="AR198" t="s">
        <v>118</v>
      </c>
      <c r="AS198" t="s">
        <v>215</v>
      </c>
      <c r="AT198" t="s">
        <v>361</v>
      </c>
      <c r="AU198" t="s">
        <v>134</v>
      </c>
      <c r="AV198" t="s">
        <v>3344</v>
      </c>
      <c r="AW198" t="s">
        <v>3344</v>
      </c>
      <c r="AX198" t="s">
        <v>270</v>
      </c>
    </row>
    <row r="199" spans="1:50" x14ac:dyDescent="0.25">
      <c r="A199" t="s">
        <v>966</v>
      </c>
      <c r="B199" t="s">
        <v>967</v>
      </c>
      <c r="C199" t="s">
        <v>968</v>
      </c>
      <c r="D199" t="s">
        <v>969</v>
      </c>
      <c r="E199" t="s">
        <v>738</v>
      </c>
      <c r="F199" t="s">
        <v>970</v>
      </c>
      <c r="G199">
        <v>3</v>
      </c>
      <c r="H199" t="s">
        <v>971</v>
      </c>
      <c r="I199" t="s">
        <v>162</v>
      </c>
      <c r="J199" t="s">
        <v>972</v>
      </c>
      <c r="K199" t="s">
        <v>92</v>
      </c>
      <c r="L199" t="s">
        <v>973</v>
      </c>
      <c r="M199" t="s">
        <v>163</v>
      </c>
      <c r="N199" t="s">
        <v>135</v>
      </c>
      <c r="O199" t="s">
        <v>198</v>
      </c>
      <c r="P199" t="s">
        <v>974</v>
      </c>
      <c r="Q199" t="s">
        <v>975</v>
      </c>
      <c r="R199" t="s">
        <v>976</v>
      </c>
      <c r="S199" t="s">
        <v>977</v>
      </c>
      <c r="T199" t="s">
        <v>978</v>
      </c>
      <c r="U199" t="s">
        <v>979</v>
      </c>
      <c r="V199" t="s">
        <v>205</v>
      </c>
      <c r="W199" t="s">
        <v>726</v>
      </c>
      <c r="X199" t="s">
        <v>207</v>
      </c>
      <c r="Y199" t="s">
        <v>106</v>
      </c>
      <c r="Z199" t="s">
        <v>980</v>
      </c>
      <c r="AA199" t="s">
        <v>178</v>
      </c>
      <c r="AB199" t="s">
        <v>528</v>
      </c>
      <c r="AC199" t="s">
        <v>569</v>
      </c>
      <c r="AD199" t="s">
        <v>210</v>
      </c>
      <c r="AE199" t="s">
        <v>110</v>
      </c>
      <c r="AF199">
        <v>43</v>
      </c>
      <c r="AG199">
        <v>0.08</v>
      </c>
      <c r="AJ199" t="s">
        <v>981</v>
      </c>
      <c r="AK199" t="s">
        <v>147</v>
      </c>
      <c r="AL199" t="s">
        <v>982</v>
      </c>
      <c r="AM199">
        <v>16.22</v>
      </c>
      <c r="AN199" t="s">
        <v>186</v>
      </c>
      <c r="AO199">
        <v>300</v>
      </c>
      <c r="AP199" t="s">
        <v>187</v>
      </c>
      <c r="AQ199" t="s">
        <v>117</v>
      </c>
      <c r="AR199">
        <v>1</v>
      </c>
      <c r="AT199">
        <v>0.3</v>
      </c>
      <c r="AU199" t="s">
        <v>91</v>
      </c>
      <c r="AV199" t="s">
        <v>983</v>
      </c>
      <c r="AW199" t="s">
        <v>122</v>
      </c>
      <c r="AX199" t="s">
        <v>270</v>
      </c>
    </row>
    <row r="200" spans="1:50" x14ac:dyDescent="0.25">
      <c r="A200" t="s">
        <v>3345</v>
      </c>
      <c r="B200" t="s">
        <v>3346</v>
      </c>
      <c r="C200" t="s">
        <v>3347</v>
      </c>
      <c r="D200" t="s">
        <v>3348</v>
      </c>
      <c r="E200" t="s">
        <v>2945</v>
      </c>
      <c r="F200" t="s">
        <v>3349</v>
      </c>
      <c r="G200" t="s">
        <v>2405</v>
      </c>
      <c r="H200">
        <v>741.71</v>
      </c>
      <c r="I200" t="s">
        <v>253</v>
      </c>
      <c r="J200">
        <v>4450.26</v>
      </c>
      <c r="K200" t="s">
        <v>92</v>
      </c>
      <c r="L200" t="s">
        <v>1410</v>
      </c>
      <c r="M200" t="s">
        <v>884</v>
      </c>
      <c r="N200" t="s">
        <v>396</v>
      </c>
      <c r="O200" t="s">
        <v>1230</v>
      </c>
      <c r="P200" t="s">
        <v>1481</v>
      </c>
      <c r="Q200" t="s">
        <v>3350</v>
      </c>
      <c r="R200" t="s">
        <v>1232</v>
      </c>
      <c r="S200" t="s">
        <v>3351</v>
      </c>
      <c r="T200" t="s">
        <v>3352</v>
      </c>
      <c r="U200" t="s">
        <v>3353</v>
      </c>
      <c r="V200" t="s">
        <v>103</v>
      </c>
      <c r="W200" t="s">
        <v>726</v>
      </c>
      <c r="X200" t="s">
        <v>424</v>
      </c>
      <c r="Y200" t="s">
        <v>176</v>
      </c>
      <c r="Z200" t="s">
        <v>3354</v>
      </c>
      <c r="AA200" t="s">
        <v>178</v>
      </c>
      <c r="AB200" t="s">
        <v>405</v>
      </c>
      <c r="AC200" t="s">
        <v>2036</v>
      </c>
      <c r="AD200" t="s">
        <v>237</v>
      </c>
      <c r="AE200" t="s">
        <v>110</v>
      </c>
      <c r="AF200">
        <v>84</v>
      </c>
      <c r="AG200" t="s">
        <v>211</v>
      </c>
      <c r="AJ200" t="s">
        <v>3355</v>
      </c>
      <c r="AK200" t="s">
        <v>79</v>
      </c>
      <c r="AL200" t="s">
        <v>3356</v>
      </c>
      <c r="AM200" t="s">
        <v>3357</v>
      </c>
      <c r="AN200" t="s">
        <v>82</v>
      </c>
      <c r="AO200">
        <v>422</v>
      </c>
      <c r="AP200">
        <v>4.5</v>
      </c>
      <c r="AR200">
        <v>1</v>
      </c>
      <c r="AS200" t="s">
        <v>429</v>
      </c>
      <c r="AU200" t="s">
        <v>3358</v>
      </c>
      <c r="AV200" t="s">
        <v>3359</v>
      </c>
      <c r="AW200" t="s">
        <v>789</v>
      </c>
      <c r="AX200" t="s">
        <v>270</v>
      </c>
    </row>
    <row r="201" spans="1:50" x14ac:dyDescent="0.25">
      <c r="A201" t="s">
        <v>3360</v>
      </c>
      <c r="B201" t="s">
        <v>1994</v>
      </c>
      <c r="C201" t="s">
        <v>3361</v>
      </c>
      <c r="D201" t="s">
        <v>2335</v>
      </c>
      <c r="E201" t="s">
        <v>134</v>
      </c>
      <c r="F201" t="s">
        <v>1043</v>
      </c>
      <c r="G201" t="s">
        <v>3362</v>
      </c>
      <c r="H201" t="s">
        <v>2792</v>
      </c>
      <c r="I201" t="s">
        <v>58</v>
      </c>
      <c r="J201">
        <v>5484.15</v>
      </c>
      <c r="K201" t="s">
        <v>59</v>
      </c>
      <c r="L201" t="s">
        <v>3363</v>
      </c>
      <c r="M201" t="s">
        <v>1430</v>
      </c>
      <c r="N201" t="s">
        <v>95</v>
      </c>
      <c r="O201" t="s">
        <v>1028</v>
      </c>
      <c r="P201" t="s">
        <v>1393</v>
      </c>
      <c r="Q201" t="s">
        <v>3364</v>
      </c>
      <c r="R201" t="s">
        <v>1815</v>
      </c>
      <c r="S201" t="s">
        <v>3365</v>
      </c>
      <c r="T201" t="s">
        <v>3366</v>
      </c>
      <c r="U201" t="s">
        <v>3367</v>
      </c>
      <c r="V201" t="s">
        <v>205</v>
      </c>
      <c r="W201" t="s">
        <v>311</v>
      </c>
      <c r="X201" t="s">
        <v>233</v>
      </c>
      <c r="Y201" t="s">
        <v>234</v>
      </c>
      <c r="Z201" t="s">
        <v>3368</v>
      </c>
      <c r="AA201" t="s">
        <v>236</v>
      </c>
      <c r="AB201" t="s">
        <v>179</v>
      </c>
      <c r="AC201" t="s">
        <v>2988</v>
      </c>
      <c r="AD201" t="s">
        <v>146</v>
      </c>
      <c r="AE201" t="s">
        <v>110</v>
      </c>
      <c r="AF201" t="s">
        <v>163</v>
      </c>
      <c r="AG201" t="s">
        <v>211</v>
      </c>
      <c r="AJ201" t="s">
        <v>3369</v>
      </c>
      <c r="AK201" t="s">
        <v>79</v>
      </c>
      <c r="AL201" t="s">
        <v>3370</v>
      </c>
      <c r="AM201" t="s">
        <v>3371</v>
      </c>
      <c r="AN201" t="s">
        <v>150</v>
      </c>
      <c r="AO201">
        <v>233</v>
      </c>
      <c r="AP201">
        <v>1</v>
      </c>
      <c r="AQ201" t="s">
        <v>151</v>
      </c>
      <c r="AR201" t="s">
        <v>188</v>
      </c>
      <c r="AU201" t="s">
        <v>3372</v>
      </c>
      <c r="AV201" t="s">
        <v>3373</v>
      </c>
      <c r="AX201" t="s">
        <v>85</v>
      </c>
    </row>
    <row r="202" spans="1:50" x14ac:dyDescent="0.25">
      <c r="A202" t="s">
        <v>3374</v>
      </c>
      <c r="B202" t="s">
        <v>3375</v>
      </c>
      <c r="C202" t="s">
        <v>3376</v>
      </c>
      <c r="D202" t="s">
        <v>2832</v>
      </c>
      <c r="E202" t="s">
        <v>369</v>
      </c>
      <c r="F202" t="s">
        <v>56</v>
      </c>
      <c r="G202" t="s">
        <v>2155</v>
      </c>
      <c r="H202" t="s">
        <v>3377</v>
      </c>
      <c r="I202" t="s">
        <v>58</v>
      </c>
      <c r="J202" t="s">
        <v>91</v>
      </c>
      <c r="K202" t="s">
        <v>132</v>
      </c>
      <c r="L202" t="s">
        <v>1498</v>
      </c>
      <c r="M202" t="s">
        <v>2339</v>
      </c>
      <c r="N202" t="s">
        <v>417</v>
      </c>
      <c r="O202" t="s">
        <v>643</v>
      </c>
      <c r="P202" t="s">
        <v>3378</v>
      </c>
      <c r="Q202" t="s">
        <v>3379</v>
      </c>
      <c r="R202" t="s">
        <v>258</v>
      </c>
      <c r="S202" t="s">
        <v>3380</v>
      </c>
      <c r="T202" t="s">
        <v>3381</v>
      </c>
      <c r="U202" t="s">
        <v>134</v>
      </c>
      <c r="V202" t="s">
        <v>103</v>
      </c>
      <c r="W202" t="s">
        <v>71</v>
      </c>
      <c r="X202" t="s">
        <v>424</v>
      </c>
      <c r="Y202" t="s">
        <v>176</v>
      </c>
      <c r="Z202" t="s">
        <v>3382</v>
      </c>
      <c r="AA202" t="s">
        <v>19</v>
      </c>
      <c r="AB202" t="s">
        <v>405</v>
      </c>
      <c r="AC202">
        <v>1</v>
      </c>
      <c r="AD202">
        <v>2025</v>
      </c>
      <c r="AE202" t="s">
        <v>110</v>
      </c>
      <c r="AF202">
        <v>53</v>
      </c>
      <c r="AG202">
        <v>0.08</v>
      </c>
      <c r="AJ202" t="s">
        <v>3383</v>
      </c>
      <c r="AK202" t="s">
        <v>113</v>
      </c>
      <c r="AL202" t="s">
        <v>3384</v>
      </c>
      <c r="AM202" t="s">
        <v>3385</v>
      </c>
      <c r="AN202" t="s">
        <v>116</v>
      </c>
      <c r="AO202">
        <v>43</v>
      </c>
      <c r="AQ202" t="s">
        <v>117</v>
      </c>
      <c r="AR202">
        <v>1</v>
      </c>
      <c r="AU202" t="s">
        <v>142</v>
      </c>
      <c r="AV202" t="s">
        <v>3386</v>
      </c>
      <c r="AW202" t="s">
        <v>553</v>
      </c>
      <c r="AX202" t="s">
        <v>85</v>
      </c>
    </row>
    <row r="203" spans="1:50" x14ac:dyDescent="0.25">
      <c r="A203" t="s">
        <v>3387</v>
      </c>
      <c r="B203" t="s">
        <v>3388</v>
      </c>
      <c r="C203" t="s">
        <v>3389</v>
      </c>
      <c r="D203" t="s">
        <v>537</v>
      </c>
      <c r="E203" t="s">
        <v>55</v>
      </c>
      <c r="F203" t="s">
        <v>163</v>
      </c>
      <c r="G203" t="s">
        <v>1894</v>
      </c>
      <c r="H203" t="s">
        <v>3390</v>
      </c>
      <c r="I203" t="s">
        <v>58</v>
      </c>
      <c r="J203" t="s">
        <v>3391</v>
      </c>
      <c r="K203" t="s">
        <v>132</v>
      </c>
      <c r="L203" t="s">
        <v>741</v>
      </c>
      <c r="M203" t="s">
        <v>163</v>
      </c>
      <c r="N203" t="s">
        <v>135</v>
      </c>
      <c r="O203" t="s">
        <v>226</v>
      </c>
      <c r="P203" t="s">
        <v>3392</v>
      </c>
      <c r="Q203" t="s">
        <v>3393</v>
      </c>
      <c r="R203" t="s">
        <v>1815</v>
      </c>
      <c r="S203" t="s">
        <v>3394</v>
      </c>
      <c r="T203" t="s">
        <v>3395</v>
      </c>
      <c r="U203" t="s">
        <v>3396</v>
      </c>
      <c r="V203" t="s">
        <v>103</v>
      </c>
      <c r="W203" t="s">
        <v>726</v>
      </c>
      <c r="X203" t="s">
        <v>424</v>
      </c>
      <c r="Y203" t="s">
        <v>118</v>
      </c>
      <c r="Z203" t="s">
        <v>3397</v>
      </c>
      <c r="AA203" t="s">
        <v>144</v>
      </c>
      <c r="AB203" t="s">
        <v>76</v>
      </c>
      <c r="AC203">
        <v>6</v>
      </c>
      <c r="AD203">
        <v>2026</v>
      </c>
      <c r="AE203" t="s">
        <v>77</v>
      </c>
      <c r="AF203">
        <v>18</v>
      </c>
      <c r="AG203" t="s">
        <v>238</v>
      </c>
      <c r="AJ203" t="s">
        <v>3398</v>
      </c>
      <c r="AK203" t="s">
        <v>79</v>
      </c>
      <c r="AL203" t="s">
        <v>3399</v>
      </c>
      <c r="AM203">
        <v>15.18</v>
      </c>
      <c r="AN203" t="s">
        <v>150</v>
      </c>
      <c r="AO203">
        <v>386</v>
      </c>
      <c r="AP203">
        <v>2</v>
      </c>
      <c r="AQ203" t="s">
        <v>610</v>
      </c>
      <c r="AT203" t="s">
        <v>361</v>
      </c>
      <c r="AU203" t="s">
        <v>163</v>
      </c>
      <c r="AV203" t="s">
        <v>3400</v>
      </c>
      <c r="AW203" t="s">
        <v>1113</v>
      </c>
      <c r="AX203" t="s">
        <v>270</v>
      </c>
    </row>
    <row r="204" spans="1:50" x14ac:dyDescent="0.25">
      <c r="A204" t="s">
        <v>3401</v>
      </c>
      <c r="B204" t="s">
        <v>849</v>
      </c>
      <c r="C204" t="s">
        <v>3402</v>
      </c>
      <c r="D204" t="s">
        <v>2533</v>
      </c>
      <c r="E204" t="s">
        <v>3403</v>
      </c>
      <c r="F204" t="s">
        <v>2202</v>
      </c>
      <c r="G204" t="s">
        <v>1138</v>
      </c>
      <c r="H204" t="s">
        <v>3404</v>
      </c>
      <c r="I204">
        <v>0.1</v>
      </c>
      <c r="J204" t="s">
        <v>134</v>
      </c>
      <c r="K204" t="s">
        <v>280</v>
      </c>
      <c r="L204" t="s">
        <v>1581</v>
      </c>
      <c r="M204" t="s">
        <v>163</v>
      </c>
      <c r="N204" t="s">
        <v>166</v>
      </c>
      <c r="O204" t="s">
        <v>375</v>
      </c>
      <c r="P204" t="s">
        <v>333</v>
      </c>
      <c r="Q204" t="s">
        <v>3405</v>
      </c>
      <c r="R204" t="s">
        <v>1722</v>
      </c>
      <c r="S204" t="s">
        <v>3406</v>
      </c>
      <c r="T204" t="s">
        <v>3407</v>
      </c>
      <c r="U204" t="s">
        <v>3408</v>
      </c>
      <c r="V204" t="s">
        <v>70</v>
      </c>
      <c r="W204" t="s">
        <v>104</v>
      </c>
      <c r="X204" t="s">
        <v>233</v>
      </c>
      <c r="Y204" t="s">
        <v>337</v>
      </c>
      <c r="Z204" t="s">
        <v>3409</v>
      </c>
      <c r="AA204" t="s">
        <v>19</v>
      </c>
      <c r="AB204" t="s">
        <v>179</v>
      </c>
      <c r="AC204" t="s">
        <v>2988</v>
      </c>
      <c r="AD204" t="s">
        <v>237</v>
      </c>
      <c r="AE204" t="s">
        <v>181</v>
      </c>
      <c r="AF204">
        <v>53</v>
      </c>
      <c r="AG204" t="s">
        <v>211</v>
      </c>
      <c r="AJ204" t="s">
        <v>3410</v>
      </c>
      <c r="AK204" t="s">
        <v>113</v>
      </c>
      <c r="AL204" t="s">
        <v>3411</v>
      </c>
      <c r="AM204">
        <v>5.19</v>
      </c>
      <c r="AN204" t="s">
        <v>186</v>
      </c>
      <c r="AO204">
        <v>109</v>
      </c>
      <c r="AP204">
        <v>5</v>
      </c>
      <c r="AQ204" t="s">
        <v>242</v>
      </c>
      <c r="AR204">
        <v>1</v>
      </c>
      <c r="AS204" t="s">
        <v>215</v>
      </c>
      <c r="AT204" t="s">
        <v>119</v>
      </c>
      <c r="AU204" t="s">
        <v>134</v>
      </c>
      <c r="AV204" t="s">
        <v>3412</v>
      </c>
      <c r="AW204" t="s">
        <v>3413</v>
      </c>
      <c r="AX204" t="s">
        <v>85</v>
      </c>
    </row>
    <row r="205" spans="1:50" x14ac:dyDescent="0.25">
      <c r="A205" t="s">
        <v>3414</v>
      </c>
      <c r="B205" t="s">
        <v>3415</v>
      </c>
      <c r="C205" t="s">
        <v>3416</v>
      </c>
      <c r="D205" t="s">
        <v>3417</v>
      </c>
      <c r="E205" t="s">
        <v>3418</v>
      </c>
      <c r="F205" t="s">
        <v>1861</v>
      </c>
      <c r="G205" t="s">
        <v>253</v>
      </c>
      <c r="H205" t="s">
        <v>3419</v>
      </c>
      <c r="J205" t="s">
        <v>3420</v>
      </c>
      <c r="K205" t="s">
        <v>59</v>
      </c>
      <c r="L205" t="s">
        <v>2835</v>
      </c>
      <c r="M205" t="s">
        <v>1785</v>
      </c>
      <c r="N205" t="s">
        <v>417</v>
      </c>
      <c r="O205" t="s">
        <v>375</v>
      </c>
      <c r="P205" t="s">
        <v>3421</v>
      </c>
      <c r="Q205" t="s">
        <v>3422</v>
      </c>
      <c r="S205" t="s">
        <v>3423</v>
      </c>
      <c r="T205" t="s">
        <v>3424</v>
      </c>
      <c r="U205" t="s">
        <v>3425</v>
      </c>
      <c r="V205" t="s">
        <v>290</v>
      </c>
      <c r="W205" t="s">
        <v>206</v>
      </c>
      <c r="X205" t="s">
        <v>207</v>
      </c>
      <c r="Y205" t="s">
        <v>337</v>
      </c>
      <c r="Z205" t="s">
        <v>3426</v>
      </c>
      <c r="AA205" t="s">
        <v>75</v>
      </c>
      <c r="AB205" t="s">
        <v>528</v>
      </c>
      <c r="AC205" t="s">
        <v>145</v>
      </c>
      <c r="AD205">
        <v>2025</v>
      </c>
      <c r="AE205" t="s">
        <v>181</v>
      </c>
      <c r="AF205">
        <v>67</v>
      </c>
      <c r="AG205" t="s">
        <v>211</v>
      </c>
      <c r="AJ205" t="s">
        <v>3427</v>
      </c>
      <c r="AK205" t="s">
        <v>113</v>
      </c>
      <c r="AL205" t="s">
        <v>3428</v>
      </c>
      <c r="AM205" t="s">
        <v>3429</v>
      </c>
      <c r="AN205" t="s">
        <v>267</v>
      </c>
      <c r="AO205">
        <v>396</v>
      </c>
      <c r="AP205">
        <v>4.5</v>
      </c>
      <c r="AQ205" t="s">
        <v>117</v>
      </c>
      <c r="AR205">
        <v>0</v>
      </c>
      <c r="AS205" t="s">
        <v>429</v>
      </c>
      <c r="AT205" t="s">
        <v>119</v>
      </c>
      <c r="AU205" t="s">
        <v>3430</v>
      </c>
      <c r="AV205" t="s">
        <v>3431</v>
      </c>
    </row>
    <row r="206" spans="1:50" x14ac:dyDescent="0.25">
      <c r="A206" t="s">
        <v>2399</v>
      </c>
      <c r="B206" t="s">
        <v>2400</v>
      </c>
      <c r="C206" t="s">
        <v>2401</v>
      </c>
      <c r="D206" t="s">
        <v>2402</v>
      </c>
      <c r="E206" t="s">
        <v>2403</v>
      </c>
      <c r="F206" t="s">
        <v>2404</v>
      </c>
      <c r="G206" t="s">
        <v>2405</v>
      </c>
      <c r="H206" t="s">
        <v>2406</v>
      </c>
      <c r="I206" t="s">
        <v>58</v>
      </c>
      <c r="J206" t="s">
        <v>134</v>
      </c>
      <c r="K206" t="s">
        <v>280</v>
      </c>
      <c r="L206" t="s">
        <v>2407</v>
      </c>
      <c r="M206" t="s">
        <v>1687</v>
      </c>
      <c r="N206" t="s">
        <v>135</v>
      </c>
      <c r="O206" t="s">
        <v>96</v>
      </c>
      <c r="P206" t="s">
        <v>1602</v>
      </c>
      <c r="Q206" t="s">
        <v>2408</v>
      </c>
      <c r="R206" t="s">
        <v>378</v>
      </c>
      <c r="S206" t="s">
        <v>2409</v>
      </c>
      <c r="T206" t="s">
        <v>2410</v>
      </c>
      <c r="U206" t="s">
        <v>2411</v>
      </c>
      <c r="V206" t="s">
        <v>290</v>
      </c>
      <c r="W206" t="s">
        <v>206</v>
      </c>
      <c r="X206" t="s">
        <v>105</v>
      </c>
      <c r="Y206" t="s">
        <v>73</v>
      </c>
      <c r="Z206" t="s">
        <v>2412</v>
      </c>
      <c r="AA206" t="s">
        <v>19</v>
      </c>
      <c r="AB206" t="s">
        <v>528</v>
      </c>
      <c r="AC206">
        <v>1</v>
      </c>
      <c r="AD206" t="s">
        <v>210</v>
      </c>
      <c r="AE206" t="s">
        <v>77</v>
      </c>
      <c r="AF206">
        <v>29</v>
      </c>
      <c r="AG206" t="s">
        <v>238</v>
      </c>
      <c r="AJ206" t="s">
        <v>2413</v>
      </c>
      <c r="AK206" t="s">
        <v>79</v>
      </c>
      <c r="AL206" t="s">
        <v>2414</v>
      </c>
      <c r="AM206" t="s">
        <v>2415</v>
      </c>
      <c r="AN206" t="s">
        <v>150</v>
      </c>
      <c r="AO206">
        <v>88</v>
      </c>
      <c r="AP206">
        <v>4</v>
      </c>
      <c r="AQ206" t="s">
        <v>242</v>
      </c>
      <c r="AT206" t="s">
        <v>119</v>
      </c>
      <c r="AU206" t="s">
        <v>2416</v>
      </c>
      <c r="AV206" t="s">
        <v>2417</v>
      </c>
      <c r="AW206" t="s">
        <v>122</v>
      </c>
      <c r="AX206" t="s">
        <v>246</v>
      </c>
    </row>
    <row r="207" spans="1:50" x14ac:dyDescent="0.25">
      <c r="A207" t="s">
        <v>3432</v>
      </c>
      <c r="B207" t="s">
        <v>3433</v>
      </c>
      <c r="C207" t="s">
        <v>3434</v>
      </c>
      <c r="D207" t="s">
        <v>3435</v>
      </c>
      <c r="F207" t="s">
        <v>327</v>
      </c>
      <c r="G207">
        <v>13</v>
      </c>
      <c r="H207" t="s">
        <v>3436</v>
      </c>
      <c r="J207">
        <v>7172.1</v>
      </c>
      <c r="K207" t="s">
        <v>132</v>
      </c>
      <c r="L207" t="s">
        <v>3076</v>
      </c>
      <c r="M207" t="s">
        <v>3437</v>
      </c>
      <c r="N207" t="s">
        <v>135</v>
      </c>
      <c r="O207" t="s">
        <v>1230</v>
      </c>
      <c r="P207" t="s">
        <v>700</v>
      </c>
      <c r="Q207" t="s">
        <v>3438</v>
      </c>
      <c r="R207" t="s">
        <v>564</v>
      </c>
      <c r="S207" t="s">
        <v>3439</v>
      </c>
      <c r="T207" t="s">
        <v>3440</v>
      </c>
      <c r="U207" t="s">
        <v>3441</v>
      </c>
      <c r="V207" t="s">
        <v>205</v>
      </c>
      <c r="W207" t="s">
        <v>71</v>
      </c>
      <c r="X207" t="s">
        <v>207</v>
      </c>
      <c r="Y207" t="s">
        <v>176</v>
      </c>
      <c r="Z207" t="s">
        <v>3442</v>
      </c>
      <c r="AA207" t="s">
        <v>236</v>
      </c>
      <c r="AB207" t="s">
        <v>179</v>
      </c>
      <c r="AC207">
        <v>2</v>
      </c>
      <c r="AD207" t="s">
        <v>146</v>
      </c>
      <c r="AE207" t="s">
        <v>77</v>
      </c>
      <c r="AF207">
        <v>46</v>
      </c>
      <c r="AG207" t="s">
        <v>111</v>
      </c>
      <c r="AJ207" t="s">
        <v>3443</v>
      </c>
      <c r="AK207" t="s">
        <v>571</v>
      </c>
      <c r="AL207" t="s">
        <v>3444</v>
      </c>
      <c r="AM207" t="s">
        <v>3445</v>
      </c>
      <c r="AN207" t="s">
        <v>267</v>
      </c>
      <c r="AO207">
        <v>78</v>
      </c>
      <c r="AP207">
        <v>1</v>
      </c>
      <c r="AQ207" t="s">
        <v>318</v>
      </c>
      <c r="AR207" t="s">
        <v>188</v>
      </c>
      <c r="AT207" t="s">
        <v>361</v>
      </c>
      <c r="AU207" t="s">
        <v>3446</v>
      </c>
      <c r="AV207" t="s">
        <v>3447</v>
      </c>
      <c r="AW207" t="s">
        <v>122</v>
      </c>
      <c r="AX207" t="s">
        <v>246</v>
      </c>
    </row>
    <row r="208" spans="1:50" x14ac:dyDescent="0.25">
      <c r="A208" t="s">
        <v>3448</v>
      </c>
      <c r="B208" t="s">
        <v>3449</v>
      </c>
      <c r="C208" t="s">
        <v>3450</v>
      </c>
      <c r="D208" t="s">
        <v>3451</v>
      </c>
      <c r="E208" t="s">
        <v>91</v>
      </c>
      <c r="F208" t="s">
        <v>222</v>
      </c>
      <c r="G208" t="s">
        <v>2563</v>
      </c>
      <c r="H208" t="s">
        <v>3452</v>
      </c>
      <c r="I208">
        <v>0.1</v>
      </c>
      <c r="J208" t="s">
        <v>3453</v>
      </c>
      <c r="K208" t="s">
        <v>92</v>
      </c>
      <c r="L208" t="s">
        <v>2566</v>
      </c>
      <c r="M208" t="s">
        <v>3123</v>
      </c>
      <c r="N208" t="s">
        <v>62</v>
      </c>
      <c r="O208" t="s">
        <v>136</v>
      </c>
      <c r="P208" t="s">
        <v>3454</v>
      </c>
      <c r="Q208" t="s">
        <v>3455</v>
      </c>
      <c r="R208" t="s">
        <v>1846</v>
      </c>
      <c r="S208" t="s">
        <v>3456</v>
      </c>
      <c r="T208" t="s">
        <v>3457</v>
      </c>
      <c r="U208" t="s">
        <v>3458</v>
      </c>
      <c r="V208" t="s">
        <v>205</v>
      </c>
      <c r="W208" t="s">
        <v>206</v>
      </c>
      <c r="X208" t="s">
        <v>207</v>
      </c>
      <c r="Y208" t="s">
        <v>118</v>
      </c>
      <c r="Z208" t="s">
        <v>3459</v>
      </c>
      <c r="AA208" t="s">
        <v>178</v>
      </c>
      <c r="AB208" t="s">
        <v>528</v>
      </c>
      <c r="AC208" t="s">
        <v>728</v>
      </c>
      <c r="AD208" t="s">
        <v>314</v>
      </c>
      <c r="AE208" t="s">
        <v>77</v>
      </c>
      <c r="AF208">
        <v>54</v>
      </c>
      <c r="AG208" t="s">
        <v>211</v>
      </c>
      <c r="AJ208" t="s">
        <v>3460</v>
      </c>
      <c r="AK208" t="s">
        <v>183</v>
      </c>
      <c r="AL208" t="s">
        <v>3461</v>
      </c>
      <c r="AM208">
        <v>11.75</v>
      </c>
      <c r="AN208" t="s">
        <v>186</v>
      </c>
      <c r="AO208">
        <v>449</v>
      </c>
      <c r="AP208">
        <v>3</v>
      </c>
      <c r="AQ208" t="s">
        <v>610</v>
      </c>
      <c r="AR208">
        <v>0</v>
      </c>
      <c r="AS208" t="s">
        <v>429</v>
      </c>
      <c r="AT208">
        <v>0.3</v>
      </c>
      <c r="AU208" t="s">
        <v>3462</v>
      </c>
      <c r="AV208" t="s">
        <v>3463</v>
      </c>
      <c r="AX208" t="s">
        <v>191</v>
      </c>
    </row>
    <row r="209" spans="1:50" x14ac:dyDescent="0.25">
      <c r="A209" t="s">
        <v>3464</v>
      </c>
      <c r="B209" t="s">
        <v>3465</v>
      </c>
      <c r="C209" t="s">
        <v>3466</v>
      </c>
      <c r="D209" t="s">
        <v>3090</v>
      </c>
      <c r="E209" t="s">
        <v>1579</v>
      </c>
      <c r="F209" t="s">
        <v>3349</v>
      </c>
      <c r="G209" t="s">
        <v>1322</v>
      </c>
      <c r="H209" t="s">
        <v>224</v>
      </c>
      <c r="I209" t="s">
        <v>58</v>
      </c>
      <c r="J209" t="s">
        <v>3467</v>
      </c>
      <c r="K209" t="s">
        <v>280</v>
      </c>
      <c r="L209" t="s">
        <v>1498</v>
      </c>
      <c r="M209" t="s">
        <v>1499</v>
      </c>
      <c r="N209" t="s">
        <v>396</v>
      </c>
      <c r="O209" t="s">
        <v>1566</v>
      </c>
      <c r="P209" t="s">
        <v>3246</v>
      </c>
      <c r="Q209" t="s">
        <v>3468</v>
      </c>
      <c r="R209" t="s">
        <v>169</v>
      </c>
      <c r="S209" t="s">
        <v>3469</v>
      </c>
      <c r="T209" t="s">
        <v>1069</v>
      </c>
      <c r="U209" t="s">
        <v>3470</v>
      </c>
      <c r="V209" t="s">
        <v>70</v>
      </c>
      <c r="W209" t="s">
        <v>71</v>
      </c>
      <c r="X209" t="s">
        <v>424</v>
      </c>
      <c r="Y209" t="s">
        <v>176</v>
      </c>
      <c r="Z209" t="s">
        <v>3471</v>
      </c>
      <c r="AA209" t="s">
        <v>178</v>
      </c>
      <c r="AB209" t="s">
        <v>108</v>
      </c>
      <c r="AC209" t="s">
        <v>357</v>
      </c>
      <c r="AD209" t="s">
        <v>210</v>
      </c>
      <c r="AE209" t="s">
        <v>110</v>
      </c>
      <c r="AF209">
        <v>29</v>
      </c>
      <c r="AG209" t="s">
        <v>111</v>
      </c>
      <c r="AJ209">
        <v>33.729999999999997</v>
      </c>
      <c r="AK209" t="s">
        <v>147</v>
      </c>
      <c r="AL209" t="s">
        <v>3472</v>
      </c>
      <c r="AM209">
        <v>1.1399999999999999</v>
      </c>
      <c r="AN209" t="s">
        <v>116</v>
      </c>
      <c r="AO209">
        <v>314</v>
      </c>
      <c r="AQ209" t="s">
        <v>151</v>
      </c>
      <c r="AR209" t="s">
        <v>319</v>
      </c>
      <c r="AT209" t="s">
        <v>152</v>
      </c>
      <c r="AU209" t="s">
        <v>3473</v>
      </c>
      <c r="AV209" t="s">
        <v>3474</v>
      </c>
      <c r="AW209" t="s">
        <v>190</v>
      </c>
      <c r="AX209" t="s">
        <v>246</v>
      </c>
    </row>
    <row r="210" spans="1:50" x14ac:dyDescent="0.25">
      <c r="A210" t="s">
        <v>3475</v>
      </c>
      <c r="B210" t="s">
        <v>3476</v>
      </c>
      <c r="C210" t="s">
        <v>3477</v>
      </c>
      <c r="D210" t="s">
        <v>1701</v>
      </c>
      <c r="E210" t="s">
        <v>2185</v>
      </c>
      <c r="F210" t="s">
        <v>2355</v>
      </c>
      <c r="G210" t="s">
        <v>3027</v>
      </c>
      <c r="H210" t="s">
        <v>2724</v>
      </c>
      <c r="I210">
        <v>0.1</v>
      </c>
      <c r="J210" t="s">
        <v>3478</v>
      </c>
      <c r="K210" t="s">
        <v>330</v>
      </c>
      <c r="L210" t="s">
        <v>281</v>
      </c>
      <c r="M210" t="s">
        <v>3479</v>
      </c>
      <c r="N210" t="s">
        <v>135</v>
      </c>
      <c r="O210" t="s">
        <v>1230</v>
      </c>
      <c r="P210" t="s">
        <v>3480</v>
      </c>
      <c r="Q210" t="s">
        <v>3481</v>
      </c>
      <c r="R210" t="s">
        <v>505</v>
      </c>
      <c r="S210" t="s">
        <v>3482</v>
      </c>
      <c r="T210" t="s">
        <v>3483</v>
      </c>
      <c r="U210" t="s">
        <v>3484</v>
      </c>
      <c r="V210" t="s">
        <v>205</v>
      </c>
      <c r="W210" t="s">
        <v>174</v>
      </c>
      <c r="X210" t="s">
        <v>105</v>
      </c>
      <c r="Y210" t="s">
        <v>337</v>
      </c>
      <c r="Z210" t="s">
        <v>3485</v>
      </c>
      <c r="AA210" t="s">
        <v>19</v>
      </c>
      <c r="AB210" t="s">
        <v>179</v>
      </c>
      <c r="AC210">
        <v>1</v>
      </c>
      <c r="AD210">
        <v>2025</v>
      </c>
      <c r="AE210" t="s">
        <v>406</v>
      </c>
      <c r="AF210">
        <v>62</v>
      </c>
      <c r="AG210" t="s">
        <v>238</v>
      </c>
      <c r="AJ210" t="s">
        <v>3486</v>
      </c>
      <c r="AK210" t="s">
        <v>240</v>
      </c>
      <c r="AL210" t="s">
        <v>3487</v>
      </c>
      <c r="AM210">
        <v>0.82</v>
      </c>
      <c r="AN210" t="s">
        <v>186</v>
      </c>
      <c r="AO210">
        <v>141</v>
      </c>
      <c r="AP210">
        <v>3</v>
      </c>
      <c r="AQ210" t="s">
        <v>117</v>
      </c>
      <c r="AR210" t="s">
        <v>243</v>
      </c>
      <c r="AT210" t="s">
        <v>152</v>
      </c>
      <c r="AU210" t="s">
        <v>142</v>
      </c>
      <c r="AV210" t="s">
        <v>553</v>
      </c>
      <c r="AW210" t="s">
        <v>1527</v>
      </c>
      <c r="AX210" t="s">
        <v>85</v>
      </c>
    </row>
    <row r="211" spans="1:50" x14ac:dyDescent="0.25">
      <c r="A211" t="s">
        <v>3488</v>
      </c>
      <c r="B211" t="s">
        <v>3489</v>
      </c>
      <c r="C211" t="s">
        <v>792</v>
      </c>
      <c r="D211" t="s">
        <v>3490</v>
      </c>
      <c r="E211" t="s">
        <v>163</v>
      </c>
      <c r="F211" t="s">
        <v>299</v>
      </c>
      <c r="G211" t="s">
        <v>458</v>
      </c>
      <c r="H211" t="s">
        <v>3491</v>
      </c>
      <c r="I211" t="s">
        <v>58</v>
      </c>
      <c r="J211" t="s">
        <v>3492</v>
      </c>
      <c r="K211" t="s">
        <v>59</v>
      </c>
      <c r="L211" t="s">
        <v>3011</v>
      </c>
      <c r="N211" t="s">
        <v>396</v>
      </c>
      <c r="O211" t="s">
        <v>1230</v>
      </c>
      <c r="P211" t="s">
        <v>778</v>
      </c>
      <c r="Q211" t="s">
        <v>3493</v>
      </c>
      <c r="R211" t="s">
        <v>994</v>
      </c>
      <c r="S211" t="s">
        <v>3494</v>
      </c>
      <c r="T211" t="s">
        <v>3495</v>
      </c>
      <c r="U211" t="s">
        <v>3496</v>
      </c>
      <c r="V211" t="s">
        <v>70</v>
      </c>
      <c r="W211" t="s">
        <v>206</v>
      </c>
      <c r="X211" t="s">
        <v>105</v>
      </c>
      <c r="Y211" t="s">
        <v>234</v>
      </c>
      <c r="Z211" t="s">
        <v>3497</v>
      </c>
      <c r="AA211" t="s">
        <v>144</v>
      </c>
      <c r="AB211" t="s">
        <v>108</v>
      </c>
      <c r="AC211" t="s">
        <v>728</v>
      </c>
      <c r="AD211" t="s">
        <v>237</v>
      </c>
      <c r="AE211" t="s">
        <v>77</v>
      </c>
      <c r="AF211">
        <v>48</v>
      </c>
      <c r="AG211" t="s">
        <v>211</v>
      </c>
      <c r="AJ211" t="s">
        <v>3498</v>
      </c>
      <c r="AK211" t="s">
        <v>79</v>
      </c>
      <c r="AL211" t="s">
        <v>3499</v>
      </c>
      <c r="AM211">
        <v>8.6300000000000008</v>
      </c>
      <c r="AN211" t="s">
        <v>267</v>
      </c>
      <c r="AO211">
        <v>464</v>
      </c>
      <c r="AP211" t="s">
        <v>214</v>
      </c>
      <c r="AQ211" t="s">
        <v>786</v>
      </c>
      <c r="AR211">
        <v>1</v>
      </c>
      <c r="AT211" t="s">
        <v>152</v>
      </c>
      <c r="AU211" t="s">
        <v>3500</v>
      </c>
      <c r="AV211" t="s">
        <v>374</v>
      </c>
      <c r="AW211" t="s">
        <v>374</v>
      </c>
      <c r="AX211" t="s">
        <v>270</v>
      </c>
    </row>
    <row r="212" spans="1:50" x14ac:dyDescent="0.25">
      <c r="A212" t="s">
        <v>3501</v>
      </c>
      <c r="B212" t="s">
        <v>3502</v>
      </c>
      <c r="C212" t="s">
        <v>3503</v>
      </c>
      <c r="D212" t="s">
        <v>2471</v>
      </c>
      <c r="E212" t="s">
        <v>3504</v>
      </c>
      <c r="F212" t="s">
        <v>1598</v>
      </c>
      <c r="G212" t="s">
        <v>677</v>
      </c>
      <c r="H212" t="s">
        <v>2474</v>
      </c>
      <c r="I212">
        <v>0.1</v>
      </c>
      <c r="J212" t="s">
        <v>134</v>
      </c>
      <c r="K212" t="s">
        <v>92</v>
      </c>
      <c r="L212" t="s">
        <v>2304</v>
      </c>
      <c r="M212" t="s">
        <v>134</v>
      </c>
      <c r="N212" t="s">
        <v>166</v>
      </c>
      <c r="O212" t="s">
        <v>304</v>
      </c>
      <c r="P212" t="s">
        <v>137</v>
      </c>
      <c r="Q212" t="s">
        <v>3505</v>
      </c>
      <c r="R212" t="s">
        <v>1722</v>
      </c>
      <c r="S212" t="s">
        <v>3506</v>
      </c>
      <c r="T212" t="s">
        <v>3507</v>
      </c>
      <c r="U212" t="s">
        <v>3508</v>
      </c>
      <c r="V212" t="s">
        <v>70</v>
      </c>
      <c r="W212" t="s">
        <v>71</v>
      </c>
      <c r="X212" t="s">
        <v>72</v>
      </c>
      <c r="Y212" t="s">
        <v>176</v>
      </c>
      <c r="Z212" t="s">
        <v>3509</v>
      </c>
      <c r="AA212" t="s">
        <v>75</v>
      </c>
      <c r="AB212" t="s">
        <v>405</v>
      </c>
      <c r="AC212" t="s">
        <v>589</v>
      </c>
      <c r="AD212" t="s">
        <v>237</v>
      </c>
      <c r="AE212" t="s">
        <v>110</v>
      </c>
      <c r="AF212">
        <v>27</v>
      </c>
      <c r="AG212" t="s">
        <v>111</v>
      </c>
      <c r="AJ212" t="s">
        <v>3510</v>
      </c>
      <c r="AK212" t="s">
        <v>571</v>
      </c>
      <c r="AL212" t="s">
        <v>3511</v>
      </c>
      <c r="AM212" t="s">
        <v>3512</v>
      </c>
      <c r="AN212" t="s">
        <v>82</v>
      </c>
      <c r="AO212">
        <v>485</v>
      </c>
      <c r="AP212" t="s">
        <v>187</v>
      </c>
      <c r="AQ212" t="s">
        <v>318</v>
      </c>
      <c r="AR212" t="s">
        <v>118</v>
      </c>
      <c r="AS212" t="s">
        <v>215</v>
      </c>
      <c r="AT212">
        <v>0.3</v>
      </c>
      <c r="AU212" t="s">
        <v>163</v>
      </c>
      <c r="AV212" t="s">
        <v>3513</v>
      </c>
      <c r="AW212" t="s">
        <v>189</v>
      </c>
    </row>
    <row r="213" spans="1:50" x14ac:dyDescent="0.25">
      <c r="A213" t="s">
        <v>3514</v>
      </c>
      <c r="B213" t="s">
        <v>3515</v>
      </c>
      <c r="C213" t="s">
        <v>3516</v>
      </c>
      <c r="D213" t="s">
        <v>274</v>
      </c>
      <c r="E213" t="s">
        <v>3517</v>
      </c>
      <c r="F213" t="s">
        <v>91</v>
      </c>
      <c r="G213">
        <v>39</v>
      </c>
      <c r="H213">
        <v>601.47</v>
      </c>
      <c r="I213">
        <v>0</v>
      </c>
      <c r="J213">
        <v>23457.33</v>
      </c>
      <c r="K213" t="s">
        <v>92</v>
      </c>
      <c r="L213" t="s">
        <v>1290</v>
      </c>
      <c r="M213" t="s">
        <v>142</v>
      </c>
      <c r="N213" t="s">
        <v>166</v>
      </c>
      <c r="O213" t="s">
        <v>1566</v>
      </c>
      <c r="P213" t="s">
        <v>256</v>
      </c>
      <c r="Q213" t="s">
        <v>3518</v>
      </c>
      <c r="R213" t="s">
        <v>624</v>
      </c>
      <c r="S213" t="s">
        <v>3519</v>
      </c>
      <c r="T213" t="s">
        <v>3520</v>
      </c>
      <c r="U213" t="s">
        <v>3521</v>
      </c>
      <c r="V213" t="s">
        <v>205</v>
      </c>
      <c r="W213" t="s">
        <v>206</v>
      </c>
      <c r="X213" t="s">
        <v>175</v>
      </c>
      <c r="Y213" t="s">
        <v>73</v>
      </c>
      <c r="Z213" t="s">
        <v>3522</v>
      </c>
      <c r="AA213" t="s">
        <v>75</v>
      </c>
      <c r="AB213" t="s">
        <v>179</v>
      </c>
      <c r="AC213" t="s">
        <v>109</v>
      </c>
      <c r="AD213">
        <v>2026</v>
      </c>
      <c r="AE213" t="s">
        <v>77</v>
      </c>
      <c r="AF213">
        <v>13</v>
      </c>
      <c r="AG213">
        <v>0.08</v>
      </c>
      <c r="AJ213" t="s">
        <v>3523</v>
      </c>
      <c r="AK213" t="s">
        <v>79</v>
      </c>
      <c r="AL213" t="s">
        <v>3524</v>
      </c>
      <c r="AM213" t="s">
        <v>3525</v>
      </c>
      <c r="AN213" t="s">
        <v>116</v>
      </c>
      <c r="AO213">
        <v>344</v>
      </c>
      <c r="AP213">
        <v>2</v>
      </c>
      <c r="AQ213" t="s">
        <v>786</v>
      </c>
      <c r="AS213" t="s">
        <v>83</v>
      </c>
      <c r="AT213" t="s">
        <v>361</v>
      </c>
      <c r="AU213" t="s">
        <v>134</v>
      </c>
      <c r="AV213" t="s">
        <v>3526</v>
      </c>
      <c r="AW213" t="s">
        <v>122</v>
      </c>
      <c r="AX213" t="s">
        <v>246</v>
      </c>
    </row>
    <row r="214" spans="1:50" x14ac:dyDescent="0.25">
      <c r="A214" t="s">
        <v>1076</v>
      </c>
      <c r="B214" t="s">
        <v>1077</v>
      </c>
      <c r="C214" t="s">
        <v>1078</v>
      </c>
      <c r="D214" t="s">
        <v>1079</v>
      </c>
      <c r="E214" t="s">
        <v>1080</v>
      </c>
      <c r="F214" t="s">
        <v>327</v>
      </c>
      <c r="G214">
        <v>17</v>
      </c>
      <c r="J214" t="s">
        <v>1081</v>
      </c>
      <c r="K214" t="s">
        <v>330</v>
      </c>
      <c r="L214" t="s">
        <v>718</v>
      </c>
      <c r="M214" t="s">
        <v>719</v>
      </c>
      <c r="N214" t="s">
        <v>396</v>
      </c>
      <c r="O214" t="s">
        <v>226</v>
      </c>
      <c r="P214" t="s">
        <v>1082</v>
      </c>
      <c r="Q214" t="s">
        <v>1083</v>
      </c>
      <c r="R214" t="s">
        <v>665</v>
      </c>
      <c r="S214" t="s">
        <v>1084</v>
      </c>
      <c r="T214" t="s">
        <v>1085</v>
      </c>
      <c r="U214" t="s">
        <v>1086</v>
      </c>
      <c r="V214" t="s">
        <v>173</v>
      </c>
      <c r="W214" t="s">
        <v>174</v>
      </c>
      <c r="X214" t="s">
        <v>175</v>
      </c>
      <c r="Y214" t="s">
        <v>337</v>
      </c>
      <c r="Z214" t="s">
        <v>1087</v>
      </c>
      <c r="AA214" t="s">
        <v>144</v>
      </c>
      <c r="AB214" t="s">
        <v>76</v>
      </c>
      <c r="AC214" t="s">
        <v>728</v>
      </c>
      <c r="AD214">
        <v>2026</v>
      </c>
      <c r="AE214" t="s">
        <v>77</v>
      </c>
      <c r="AF214">
        <v>77</v>
      </c>
      <c r="AG214">
        <v>0.08</v>
      </c>
      <c r="AJ214" t="s">
        <v>1088</v>
      </c>
      <c r="AK214" t="s">
        <v>240</v>
      </c>
      <c r="AL214" t="s">
        <v>1089</v>
      </c>
      <c r="AM214" t="s">
        <v>1090</v>
      </c>
      <c r="AN214" t="s">
        <v>82</v>
      </c>
      <c r="AO214">
        <v>472</v>
      </c>
      <c r="AP214">
        <v>4</v>
      </c>
      <c r="AQ214" t="s">
        <v>318</v>
      </c>
      <c r="AR214">
        <v>0</v>
      </c>
      <c r="AT214" t="s">
        <v>361</v>
      </c>
      <c r="AV214" t="s">
        <v>121</v>
      </c>
      <c r="AW214" t="s">
        <v>1091</v>
      </c>
      <c r="AX214" t="s">
        <v>191</v>
      </c>
    </row>
    <row r="215" spans="1:50" x14ac:dyDescent="0.25">
      <c r="A215" t="s">
        <v>3527</v>
      </c>
      <c r="B215" t="s">
        <v>3528</v>
      </c>
      <c r="C215" t="s">
        <v>3529</v>
      </c>
      <c r="D215" t="s">
        <v>3530</v>
      </c>
      <c r="E215" t="s">
        <v>3531</v>
      </c>
      <c r="F215" t="s">
        <v>276</v>
      </c>
      <c r="G215" t="s">
        <v>3532</v>
      </c>
      <c r="H215" t="s">
        <v>909</v>
      </c>
      <c r="I215">
        <v>0.1</v>
      </c>
      <c r="J215" t="s">
        <v>3533</v>
      </c>
      <c r="K215" t="s">
        <v>92</v>
      </c>
      <c r="L215" t="s">
        <v>331</v>
      </c>
      <c r="M215" t="s">
        <v>163</v>
      </c>
      <c r="N215" t="s">
        <v>62</v>
      </c>
      <c r="O215" t="s">
        <v>836</v>
      </c>
      <c r="P215" t="s">
        <v>1269</v>
      </c>
      <c r="Q215" t="s">
        <v>3534</v>
      </c>
      <c r="R215" t="s">
        <v>134</v>
      </c>
      <c r="S215" t="s">
        <v>3535</v>
      </c>
      <c r="T215" t="s">
        <v>3536</v>
      </c>
      <c r="U215" t="s">
        <v>3537</v>
      </c>
      <c r="V215" t="s">
        <v>103</v>
      </c>
      <c r="W215" t="s">
        <v>71</v>
      </c>
      <c r="X215" t="s">
        <v>233</v>
      </c>
      <c r="Y215" t="s">
        <v>106</v>
      </c>
      <c r="Z215" t="s">
        <v>3538</v>
      </c>
      <c r="AA215" t="s">
        <v>178</v>
      </c>
      <c r="AB215" t="s">
        <v>528</v>
      </c>
      <c r="AC215" t="s">
        <v>209</v>
      </c>
      <c r="AD215" t="s">
        <v>146</v>
      </c>
      <c r="AE215" t="s">
        <v>110</v>
      </c>
      <c r="AF215">
        <v>9</v>
      </c>
      <c r="AG215" t="s">
        <v>111</v>
      </c>
      <c r="AJ215" t="s">
        <v>142</v>
      </c>
      <c r="AK215" t="s">
        <v>571</v>
      </c>
      <c r="AL215" t="s">
        <v>3539</v>
      </c>
      <c r="AM215">
        <v>23.39</v>
      </c>
      <c r="AN215" t="s">
        <v>82</v>
      </c>
      <c r="AO215">
        <v>360</v>
      </c>
      <c r="AR215" t="s">
        <v>188</v>
      </c>
      <c r="AS215" t="s">
        <v>429</v>
      </c>
      <c r="AT215" t="s">
        <v>152</v>
      </c>
      <c r="AU215" t="s">
        <v>3540</v>
      </c>
      <c r="AV215" t="s">
        <v>386</v>
      </c>
      <c r="AW215" t="s">
        <v>2280</v>
      </c>
    </row>
    <row r="217" spans="1:50" x14ac:dyDescent="0.25">
      <c r="A217" t="s">
        <v>3541</v>
      </c>
      <c r="B217" t="s">
        <v>3542</v>
      </c>
      <c r="C217" t="s">
        <v>3543</v>
      </c>
      <c r="D217" t="s">
        <v>1095</v>
      </c>
      <c r="E217" t="s">
        <v>2899</v>
      </c>
      <c r="F217" t="s">
        <v>2473</v>
      </c>
      <c r="G217" t="s">
        <v>929</v>
      </c>
      <c r="H217" t="s">
        <v>1632</v>
      </c>
      <c r="I217" t="s">
        <v>253</v>
      </c>
      <c r="J217">
        <v>1863.14</v>
      </c>
      <c r="K217" t="s">
        <v>280</v>
      </c>
      <c r="L217" t="s">
        <v>3544</v>
      </c>
      <c r="M217" t="s">
        <v>3545</v>
      </c>
      <c r="N217" t="s">
        <v>135</v>
      </c>
      <c r="O217" t="s">
        <v>543</v>
      </c>
      <c r="P217" t="s">
        <v>3546</v>
      </c>
      <c r="Q217" t="s">
        <v>3547</v>
      </c>
      <c r="R217" t="s">
        <v>2253</v>
      </c>
      <c r="S217" t="s">
        <v>3548</v>
      </c>
      <c r="T217" t="s">
        <v>3549</v>
      </c>
      <c r="U217" t="s">
        <v>3550</v>
      </c>
      <c r="V217" t="s">
        <v>173</v>
      </c>
      <c r="W217" t="s">
        <v>206</v>
      </c>
      <c r="X217" t="s">
        <v>105</v>
      </c>
      <c r="Y217" t="s">
        <v>234</v>
      </c>
      <c r="Z217" t="s">
        <v>3551</v>
      </c>
      <c r="AA217" t="s">
        <v>75</v>
      </c>
      <c r="AB217" t="s">
        <v>263</v>
      </c>
      <c r="AC217" t="s">
        <v>180</v>
      </c>
      <c r="AD217" t="s">
        <v>146</v>
      </c>
      <c r="AE217" t="s">
        <v>77</v>
      </c>
      <c r="AF217">
        <v>38</v>
      </c>
      <c r="AG217" t="s">
        <v>211</v>
      </c>
      <c r="AJ217">
        <v>23.9</v>
      </c>
      <c r="AK217" t="s">
        <v>240</v>
      </c>
      <c r="AL217" t="s">
        <v>3552</v>
      </c>
      <c r="AM217" t="s">
        <v>3553</v>
      </c>
      <c r="AN217" t="s">
        <v>116</v>
      </c>
      <c r="AO217">
        <v>268</v>
      </c>
      <c r="AP217">
        <v>3</v>
      </c>
      <c r="AQ217" t="s">
        <v>786</v>
      </c>
      <c r="AR217">
        <v>1</v>
      </c>
      <c r="AU217" t="s">
        <v>3554</v>
      </c>
      <c r="AV217" t="s">
        <v>1785</v>
      </c>
      <c r="AW217" t="s">
        <v>122</v>
      </c>
      <c r="AX217" t="s">
        <v>191</v>
      </c>
    </row>
    <row r="218" spans="1:50" x14ac:dyDescent="0.25">
      <c r="A218" t="s">
        <v>807</v>
      </c>
      <c r="B218" t="s">
        <v>808</v>
      </c>
      <c r="C218" t="s">
        <v>809</v>
      </c>
      <c r="D218" t="s">
        <v>810</v>
      </c>
      <c r="E218" t="s">
        <v>811</v>
      </c>
      <c r="F218" t="s">
        <v>134</v>
      </c>
      <c r="G218" t="s">
        <v>812</v>
      </c>
      <c r="H218" t="s">
        <v>813</v>
      </c>
      <c r="I218" t="s">
        <v>253</v>
      </c>
      <c r="J218" t="s">
        <v>814</v>
      </c>
      <c r="K218" t="s">
        <v>92</v>
      </c>
      <c r="L218" t="s">
        <v>815</v>
      </c>
      <c r="M218" t="s">
        <v>163</v>
      </c>
      <c r="N218" t="s">
        <v>417</v>
      </c>
      <c r="O218" t="s">
        <v>561</v>
      </c>
      <c r="P218" t="s">
        <v>816</v>
      </c>
      <c r="Q218" t="s">
        <v>817</v>
      </c>
      <c r="R218" t="s">
        <v>818</v>
      </c>
      <c r="S218" t="s">
        <v>819</v>
      </c>
      <c r="T218" t="s">
        <v>820</v>
      </c>
      <c r="U218" t="s">
        <v>821</v>
      </c>
      <c r="V218" t="s">
        <v>205</v>
      </c>
      <c r="W218" t="s">
        <v>726</v>
      </c>
      <c r="X218" t="s">
        <v>233</v>
      </c>
      <c r="Y218" t="s">
        <v>118</v>
      </c>
      <c r="Z218" t="s">
        <v>822</v>
      </c>
      <c r="AA218" t="s">
        <v>144</v>
      </c>
      <c r="AB218" t="s">
        <v>263</v>
      </c>
      <c r="AC218" t="s">
        <v>651</v>
      </c>
      <c r="AD218" t="s">
        <v>237</v>
      </c>
      <c r="AE218" t="s">
        <v>77</v>
      </c>
      <c r="AF218">
        <v>84</v>
      </c>
      <c r="AG218">
        <v>0.08</v>
      </c>
      <c r="AJ218" t="s">
        <v>823</v>
      </c>
      <c r="AK218" t="s">
        <v>113</v>
      </c>
      <c r="AL218" t="s">
        <v>824</v>
      </c>
      <c r="AM218" t="s">
        <v>825</v>
      </c>
      <c r="AN218" t="s">
        <v>186</v>
      </c>
      <c r="AO218">
        <v>197</v>
      </c>
      <c r="AP218">
        <v>2</v>
      </c>
      <c r="AQ218" t="s">
        <v>242</v>
      </c>
      <c r="AR218">
        <v>0</v>
      </c>
      <c r="AU218" t="s">
        <v>826</v>
      </c>
      <c r="AV218" t="s">
        <v>827</v>
      </c>
      <c r="AW218" t="s">
        <v>122</v>
      </c>
      <c r="AX218" t="s">
        <v>85</v>
      </c>
    </row>
    <row r="219" spans="1:50" x14ac:dyDescent="0.25">
      <c r="A219" t="s">
        <v>3555</v>
      </c>
      <c r="B219" t="s">
        <v>3556</v>
      </c>
      <c r="C219" t="s">
        <v>3557</v>
      </c>
      <c r="D219" t="s">
        <v>676</v>
      </c>
      <c r="E219" t="s">
        <v>3558</v>
      </c>
      <c r="F219" t="s">
        <v>299</v>
      </c>
      <c r="G219" t="s">
        <v>160</v>
      </c>
      <c r="H219" t="s">
        <v>3559</v>
      </c>
      <c r="I219">
        <v>0</v>
      </c>
      <c r="J219" t="s">
        <v>3560</v>
      </c>
      <c r="K219" t="s">
        <v>132</v>
      </c>
      <c r="L219" t="s">
        <v>560</v>
      </c>
      <c r="M219" t="s">
        <v>91</v>
      </c>
      <c r="N219" t="s">
        <v>417</v>
      </c>
      <c r="O219" t="s">
        <v>304</v>
      </c>
      <c r="P219" t="s">
        <v>1010</v>
      </c>
      <c r="Q219" t="s">
        <v>3561</v>
      </c>
      <c r="R219" t="s">
        <v>464</v>
      </c>
      <c r="S219" t="s">
        <v>3562</v>
      </c>
      <c r="T219" t="s">
        <v>3563</v>
      </c>
      <c r="U219" t="s">
        <v>3564</v>
      </c>
      <c r="V219" t="s">
        <v>290</v>
      </c>
      <c r="W219" t="s">
        <v>104</v>
      </c>
      <c r="X219" t="s">
        <v>207</v>
      </c>
      <c r="Y219" t="s">
        <v>176</v>
      </c>
      <c r="Z219" t="s">
        <v>3565</v>
      </c>
      <c r="AA219" t="s">
        <v>144</v>
      </c>
      <c r="AB219" t="s">
        <v>179</v>
      </c>
      <c r="AC219" t="s">
        <v>313</v>
      </c>
      <c r="AD219" t="s">
        <v>237</v>
      </c>
      <c r="AE219" t="s">
        <v>181</v>
      </c>
      <c r="AF219" t="s">
        <v>142</v>
      </c>
      <c r="AG219" t="s">
        <v>211</v>
      </c>
      <c r="AJ219">
        <v>18.399999999999999</v>
      </c>
      <c r="AK219" t="s">
        <v>79</v>
      </c>
      <c r="AL219" t="s">
        <v>3566</v>
      </c>
      <c r="AM219">
        <v>1.1000000000000001</v>
      </c>
      <c r="AN219" t="s">
        <v>82</v>
      </c>
      <c r="AO219">
        <v>325</v>
      </c>
      <c r="AQ219" t="s">
        <v>117</v>
      </c>
      <c r="AT219">
        <v>0.3</v>
      </c>
      <c r="AU219" t="s">
        <v>142</v>
      </c>
      <c r="AV219" t="s">
        <v>3567</v>
      </c>
      <c r="AW219" t="s">
        <v>122</v>
      </c>
      <c r="AX219" t="s">
        <v>191</v>
      </c>
    </row>
    <row r="220" spans="1:50" x14ac:dyDescent="0.25">
      <c r="A220" t="s">
        <v>3568</v>
      </c>
      <c r="B220" t="s">
        <v>3569</v>
      </c>
      <c r="C220" t="s">
        <v>3570</v>
      </c>
      <c r="D220" t="s">
        <v>2533</v>
      </c>
      <c r="E220" t="s">
        <v>3571</v>
      </c>
      <c r="F220" t="s">
        <v>908</v>
      </c>
      <c r="G220" t="s">
        <v>2338</v>
      </c>
      <c r="H220">
        <v>1375.64</v>
      </c>
      <c r="I220">
        <v>0</v>
      </c>
      <c r="J220" t="s">
        <v>3572</v>
      </c>
      <c r="K220" t="s">
        <v>92</v>
      </c>
      <c r="L220" t="s">
        <v>2835</v>
      </c>
      <c r="M220" t="s">
        <v>3573</v>
      </c>
      <c r="N220" t="s">
        <v>135</v>
      </c>
      <c r="O220" t="s">
        <v>543</v>
      </c>
      <c r="P220" t="s">
        <v>816</v>
      </c>
      <c r="Q220" t="s">
        <v>3574</v>
      </c>
      <c r="R220" t="s">
        <v>1722</v>
      </c>
      <c r="S220" t="s">
        <v>3575</v>
      </c>
      <c r="T220" t="s">
        <v>3576</v>
      </c>
      <c r="U220" t="s">
        <v>3577</v>
      </c>
      <c r="V220" t="s">
        <v>205</v>
      </c>
      <c r="W220" t="s">
        <v>726</v>
      </c>
      <c r="X220" t="s">
        <v>233</v>
      </c>
      <c r="Y220" t="s">
        <v>73</v>
      </c>
      <c r="Z220" t="s">
        <v>3578</v>
      </c>
      <c r="AA220" t="s">
        <v>144</v>
      </c>
      <c r="AB220" t="s">
        <v>528</v>
      </c>
      <c r="AC220" t="s">
        <v>3282</v>
      </c>
      <c r="AD220" t="s">
        <v>237</v>
      </c>
      <c r="AE220" t="s">
        <v>77</v>
      </c>
      <c r="AF220">
        <v>63</v>
      </c>
      <c r="AG220" t="s">
        <v>238</v>
      </c>
      <c r="AJ220">
        <v>7.74</v>
      </c>
      <c r="AK220" t="s">
        <v>147</v>
      </c>
      <c r="AL220" t="s">
        <v>3579</v>
      </c>
      <c r="AM220" t="s">
        <v>883</v>
      </c>
      <c r="AN220" t="s">
        <v>267</v>
      </c>
      <c r="AO220">
        <v>405</v>
      </c>
      <c r="AP220">
        <v>4</v>
      </c>
      <c r="AQ220" t="s">
        <v>318</v>
      </c>
      <c r="AR220" t="s">
        <v>243</v>
      </c>
      <c r="AS220" t="s">
        <v>83</v>
      </c>
      <c r="AT220" t="s">
        <v>361</v>
      </c>
      <c r="AU220" t="s">
        <v>3580</v>
      </c>
      <c r="AV220" t="s">
        <v>1558</v>
      </c>
      <c r="AX220" t="s">
        <v>85</v>
      </c>
    </row>
    <row r="221" spans="1:50" x14ac:dyDescent="0.25">
      <c r="A221" t="s">
        <v>3581</v>
      </c>
      <c r="B221" t="s">
        <v>3582</v>
      </c>
      <c r="C221" t="s">
        <v>3583</v>
      </c>
      <c r="D221" t="s">
        <v>3584</v>
      </c>
      <c r="E221" t="s">
        <v>3585</v>
      </c>
      <c r="F221" t="s">
        <v>90</v>
      </c>
      <c r="G221" t="s">
        <v>2155</v>
      </c>
      <c r="H221" t="s">
        <v>3586</v>
      </c>
      <c r="J221">
        <v>11616.54</v>
      </c>
      <c r="K221" t="s">
        <v>280</v>
      </c>
      <c r="L221" t="s">
        <v>3587</v>
      </c>
      <c r="M221" t="s">
        <v>2489</v>
      </c>
      <c r="N221" t="s">
        <v>396</v>
      </c>
      <c r="O221" t="s">
        <v>561</v>
      </c>
      <c r="P221" t="s">
        <v>1844</v>
      </c>
      <c r="Q221" t="s">
        <v>3588</v>
      </c>
      <c r="R221" t="s">
        <v>646</v>
      </c>
      <c r="S221" t="s">
        <v>3589</v>
      </c>
      <c r="T221" t="s">
        <v>3590</v>
      </c>
      <c r="U221" t="s">
        <v>3591</v>
      </c>
      <c r="V221" t="s">
        <v>205</v>
      </c>
      <c r="W221" t="s">
        <v>311</v>
      </c>
      <c r="X221" t="s">
        <v>175</v>
      </c>
      <c r="Y221" t="s">
        <v>234</v>
      </c>
      <c r="Z221" t="s">
        <v>3592</v>
      </c>
      <c r="AA221" t="s">
        <v>75</v>
      </c>
      <c r="AB221" t="s">
        <v>108</v>
      </c>
      <c r="AC221" t="s">
        <v>264</v>
      </c>
      <c r="AD221">
        <v>2026</v>
      </c>
      <c r="AE221" t="s">
        <v>406</v>
      </c>
      <c r="AF221">
        <v>32</v>
      </c>
      <c r="AG221" t="s">
        <v>211</v>
      </c>
      <c r="AJ221" t="s">
        <v>3593</v>
      </c>
      <c r="AK221" t="s">
        <v>147</v>
      </c>
      <c r="AL221" t="s">
        <v>3594</v>
      </c>
      <c r="AM221" t="s">
        <v>1457</v>
      </c>
      <c r="AN221" t="s">
        <v>116</v>
      </c>
      <c r="AO221">
        <v>241</v>
      </c>
      <c r="AP221">
        <v>4</v>
      </c>
      <c r="AQ221" t="s">
        <v>242</v>
      </c>
      <c r="AT221">
        <v>0.3</v>
      </c>
      <c r="AU221">
        <v>348.5</v>
      </c>
      <c r="AV221" t="s">
        <v>3595</v>
      </c>
      <c r="AW221" t="s">
        <v>1301</v>
      </c>
      <c r="AX221" t="s">
        <v>270</v>
      </c>
    </row>
    <row r="222" spans="1:50" x14ac:dyDescent="0.25">
      <c r="A222" t="s">
        <v>3596</v>
      </c>
      <c r="B222" t="s">
        <v>3597</v>
      </c>
      <c r="C222" t="s">
        <v>3598</v>
      </c>
      <c r="D222" t="s">
        <v>987</v>
      </c>
      <c r="E222" t="s">
        <v>3599</v>
      </c>
      <c r="F222" t="s">
        <v>2631</v>
      </c>
      <c r="G222">
        <v>34</v>
      </c>
      <c r="H222" t="s">
        <v>1981</v>
      </c>
      <c r="J222" t="s">
        <v>3600</v>
      </c>
      <c r="K222" t="s">
        <v>132</v>
      </c>
      <c r="L222" t="s">
        <v>2458</v>
      </c>
      <c r="M222" t="s">
        <v>163</v>
      </c>
      <c r="N222" t="s">
        <v>95</v>
      </c>
      <c r="O222" t="s">
        <v>643</v>
      </c>
      <c r="P222" t="s">
        <v>3601</v>
      </c>
      <c r="Q222" t="s">
        <v>3602</v>
      </c>
      <c r="R222" t="s">
        <v>1271</v>
      </c>
      <c r="S222" t="s">
        <v>3603</v>
      </c>
      <c r="T222" t="s">
        <v>3604</v>
      </c>
      <c r="U222" t="s">
        <v>3605</v>
      </c>
      <c r="V222" t="s">
        <v>205</v>
      </c>
      <c r="W222" t="s">
        <v>104</v>
      </c>
      <c r="X222" t="s">
        <v>175</v>
      </c>
      <c r="Y222" t="s">
        <v>118</v>
      </c>
      <c r="Z222" t="s">
        <v>3606</v>
      </c>
      <c r="AA222" t="s">
        <v>144</v>
      </c>
      <c r="AB222" t="s">
        <v>76</v>
      </c>
      <c r="AC222" t="s">
        <v>1851</v>
      </c>
      <c r="AD222">
        <v>2025</v>
      </c>
      <c r="AE222" t="s">
        <v>77</v>
      </c>
      <c r="AF222">
        <v>84</v>
      </c>
      <c r="AG222" t="s">
        <v>111</v>
      </c>
      <c r="AJ222" t="s">
        <v>3607</v>
      </c>
      <c r="AK222" t="s">
        <v>571</v>
      </c>
      <c r="AL222" t="s">
        <v>3608</v>
      </c>
      <c r="AM222" t="s">
        <v>3609</v>
      </c>
      <c r="AN222" t="s">
        <v>82</v>
      </c>
      <c r="AO222">
        <v>433</v>
      </c>
      <c r="AP222">
        <v>4.5</v>
      </c>
      <c r="AS222" t="s">
        <v>429</v>
      </c>
      <c r="AT222" t="s">
        <v>119</v>
      </c>
      <c r="AU222" t="s">
        <v>3610</v>
      </c>
      <c r="AV222" t="s">
        <v>634</v>
      </c>
      <c r="AW222" t="s">
        <v>634</v>
      </c>
      <c r="AX222" t="s">
        <v>191</v>
      </c>
    </row>
    <row r="223" spans="1:50" x14ac:dyDescent="0.25">
      <c r="A223" t="s">
        <v>3611</v>
      </c>
      <c r="B223" t="s">
        <v>1188</v>
      </c>
      <c r="C223" t="s">
        <v>3612</v>
      </c>
      <c r="D223" t="s">
        <v>157</v>
      </c>
      <c r="E223" t="s">
        <v>3613</v>
      </c>
      <c r="F223" t="s">
        <v>1827</v>
      </c>
      <c r="G223" t="s">
        <v>2611</v>
      </c>
      <c r="H223">
        <v>471.22</v>
      </c>
      <c r="I223" t="s">
        <v>253</v>
      </c>
      <c r="J223" t="s">
        <v>134</v>
      </c>
      <c r="K223" t="s">
        <v>92</v>
      </c>
      <c r="L223" t="s">
        <v>1357</v>
      </c>
      <c r="M223" t="s">
        <v>91</v>
      </c>
      <c r="N223" t="s">
        <v>95</v>
      </c>
      <c r="O223" t="s">
        <v>954</v>
      </c>
      <c r="P223" t="s">
        <v>992</v>
      </c>
      <c r="Q223" t="s">
        <v>3614</v>
      </c>
      <c r="R223" t="s">
        <v>1502</v>
      </c>
      <c r="S223" t="s">
        <v>3615</v>
      </c>
      <c r="T223" t="s">
        <v>3616</v>
      </c>
      <c r="U223" t="s">
        <v>3617</v>
      </c>
      <c r="V223" t="s">
        <v>205</v>
      </c>
      <c r="W223" t="s">
        <v>174</v>
      </c>
      <c r="X223" t="s">
        <v>424</v>
      </c>
      <c r="Y223" t="s">
        <v>337</v>
      </c>
      <c r="Z223" t="s">
        <v>3618</v>
      </c>
      <c r="AA223" t="s">
        <v>144</v>
      </c>
      <c r="AB223" t="s">
        <v>108</v>
      </c>
      <c r="AC223">
        <v>9</v>
      </c>
      <c r="AD223" t="s">
        <v>314</v>
      </c>
      <c r="AE223" t="s">
        <v>110</v>
      </c>
      <c r="AF223">
        <v>73</v>
      </c>
      <c r="AG223" t="s">
        <v>111</v>
      </c>
      <c r="AJ223" t="s">
        <v>3619</v>
      </c>
      <c r="AK223" t="s">
        <v>79</v>
      </c>
      <c r="AL223" t="s">
        <v>3620</v>
      </c>
      <c r="AM223" t="s">
        <v>3621</v>
      </c>
      <c r="AN223" t="s">
        <v>82</v>
      </c>
      <c r="AO223">
        <v>43</v>
      </c>
      <c r="AP223" t="s">
        <v>214</v>
      </c>
      <c r="AR223" t="s">
        <v>243</v>
      </c>
      <c r="AT223" t="s">
        <v>361</v>
      </c>
      <c r="AU223">
        <v>565.46</v>
      </c>
      <c r="AV223" t="s">
        <v>2433</v>
      </c>
      <c r="AW223" t="s">
        <v>789</v>
      </c>
      <c r="AX223" t="s">
        <v>246</v>
      </c>
    </row>
    <row r="224" spans="1:50" x14ac:dyDescent="0.25">
      <c r="A224" t="s">
        <v>3622</v>
      </c>
      <c r="B224" t="s">
        <v>3623</v>
      </c>
      <c r="C224" t="s">
        <v>3624</v>
      </c>
      <c r="D224" t="s">
        <v>1789</v>
      </c>
      <c r="E224" t="s">
        <v>3136</v>
      </c>
      <c r="F224" t="s">
        <v>1446</v>
      </c>
      <c r="G224" t="s">
        <v>3625</v>
      </c>
      <c r="H224" t="s">
        <v>796</v>
      </c>
      <c r="J224" t="s">
        <v>2074</v>
      </c>
      <c r="K224" t="s">
        <v>280</v>
      </c>
      <c r="L224" t="s">
        <v>2982</v>
      </c>
      <c r="M224" t="s">
        <v>142</v>
      </c>
      <c r="N224" t="s">
        <v>62</v>
      </c>
      <c r="O224" t="s">
        <v>543</v>
      </c>
      <c r="P224" t="s">
        <v>3626</v>
      </c>
      <c r="Q224" t="s">
        <v>3627</v>
      </c>
      <c r="R224" t="s">
        <v>1292</v>
      </c>
      <c r="S224" t="s">
        <v>3628</v>
      </c>
      <c r="T224" t="s">
        <v>3629</v>
      </c>
      <c r="U224" t="s">
        <v>3630</v>
      </c>
      <c r="V224" t="s">
        <v>205</v>
      </c>
      <c r="W224" t="s">
        <v>206</v>
      </c>
      <c r="X224" t="s">
        <v>424</v>
      </c>
      <c r="Y224" t="s">
        <v>234</v>
      </c>
      <c r="Z224" t="s">
        <v>3631</v>
      </c>
      <c r="AA224" t="s">
        <v>236</v>
      </c>
      <c r="AB224" t="s">
        <v>179</v>
      </c>
      <c r="AC224" t="s">
        <v>766</v>
      </c>
      <c r="AD224" t="s">
        <v>146</v>
      </c>
      <c r="AE224" t="s">
        <v>181</v>
      </c>
      <c r="AF224">
        <v>88</v>
      </c>
      <c r="AG224" t="s">
        <v>111</v>
      </c>
      <c r="AJ224">
        <v>17.690000000000001</v>
      </c>
      <c r="AK224" t="s">
        <v>147</v>
      </c>
      <c r="AL224" t="s">
        <v>3632</v>
      </c>
      <c r="AM224" t="s">
        <v>3633</v>
      </c>
      <c r="AN224" t="s">
        <v>82</v>
      </c>
      <c r="AO224">
        <v>461</v>
      </c>
      <c r="AP224">
        <v>4.5</v>
      </c>
      <c r="AQ224" t="s">
        <v>242</v>
      </c>
      <c r="AR224" t="s">
        <v>118</v>
      </c>
      <c r="AT224" t="s">
        <v>152</v>
      </c>
      <c r="AU224" t="s">
        <v>3634</v>
      </c>
      <c r="AV224" t="s">
        <v>3635</v>
      </c>
      <c r="AX224" t="s">
        <v>246</v>
      </c>
    </row>
    <row r="225" spans="1:50" x14ac:dyDescent="0.25">
      <c r="A225" t="s">
        <v>966</v>
      </c>
      <c r="B225" t="s">
        <v>967</v>
      </c>
      <c r="C225" t="s">
        <v>968</v>
      </c>
      <c r="D225" t="s">
        <v>969</v>
      </c>
      <c r="E225" t="s">
        <v>738</v>
      </c>
      <c r="F225" t="s">
        <v>970</v>
      </c>
      <c r="G225">
        <v>3</v>
      </c>
      <c r="H225" t="s">
        <v>971</v>
      </c>
      <c r="I225" t="s">
        <v>162</v>
      </c>
      <c r="J225" t="s">
        <v>972</v>
      </c>
      <c r="K225" t="s">
        <v>92</v>
      </c>
      <c r="L225" t="s">
        <v>973</v>
      </c>
      <c r="M225" t="s">
        <v>163</v>
      </c>
      <c r="N225" t="s">
        <v>135</v>
      </c>
      <c r="O225" t="s">
        <v>198</v>
      </c>
      <c r="P225" t="s">
        <v>974</v>
      </c>
      <c r="Q225" t="s">
        <v>975</v>
      </c>
      <c r="R225" t="s">
        <v>976</v>
      </c>
      <c r="S225" t="s">
        <v>977</v>
      </c>
      <c r="T225" t="s">
        <v>978</v>
      </c>
      <c r="U225" t="s">
        <v>979</v>
      </c>
      <c r="V225" t="s">
        <v>205</v>
      </c>
      <c r="W225" t="s">
        <v>726</v>
      </c>
      <c r="X225" t="s">
        <v>207</v>
      </c>
      <c r="Y225" t="s">
        <v>106</v>
      </c>
      <c r="Z225" t="s">
        <v>980</v>
      </c>
      <c r="AA225" t="s">
        <v>178</v>
      </c>
      <c r="AB225" t="s">
        <v>528</v>
      </c>
      <c r="AC225" t="s">
        <v>569</v>
      </c>
      <c r="AD225" t="s">
        <v>210</v>
      </c>
      <c r="AE225" t="s">
        <v>110</v>
      </c>
      <c r="AF225">
        <v>43</v>
      </c>
      <c r="AG225">
        <v>0.08</v>
      </c>
      <c r="AJ225" t="s">
        <v>981</v>
      </c>
      <c r="AK225" t="s">
        <v>147</v>
      </c>
      <c r="AL225" t="s">
        <v>982</v>
      </c>
      <c r="AM225">
        <v>16.22</v>
      </c>
      <c r="AN225" t="s">
        <v>186</v>
      </c>
      <c r="AO225">
        <v>300</v>
      </c>
      <c r="AP225" t="s">
        <v>187</v>
      </c>
      <c r="AQ225" t="s">
        <v>117</v>
      </c>
      <c r="AR225">
        <v>1</v>
      </c>
      <c r="AT225">
        <v>0.3</v>
      </c>
      <c r="AU225" t="s">
        <v>91</v>
      </c>
      <c r="AV225" t="s">
        <v>983</v>
      </c>
      <c r="AW225" t="s">
        <v>122</v>
      </c>
      <c r="AX225" t="s">
        <v>270</v>
      </c>
    </row>
    <row r="226" spans="1:50" x14ac:dyDescent="0.25">
      <c r="A226" t="s">
        <v>3636</v>
      </c>
      <c r="B226" t="s">
        <v>1960</v>
      </c>
      <c r="C226" t="s">
        <v>2485</v>
      </c>
      <c r="D226" t="s">
        <v>2402</v>
      </c>
      <c r="E226" t="s">
        <v>91</v>
      </c>
      <c r="F226" t="s">
        <v>1225</v>
      </c>
      <c r="G226">
        <v>23</v>
      </c>
      <c r="H226">
        <v>334.59</v>
      </c>
      <c r="K226" t="s">
        <v>92</v>
      </c>
      <c r="L226" t="s">
        <v>1027</v>
      </c>
      <c r="M226" t="s">
        <v>3193</v>
      </c>
      <c r="N226" t="s">
        <v>166</v>
      </c>
      <c r="O226" t="s">
        <v>543</v>
      </c>
      <c r="P226" t="s">
        <v>1706</v>
      </c>
      <c r="Q226" t="s">
        <v>3637</v>
      </c>
      <c r="R226" t="s">
        <v>564</v>
      </c>
      <c r="S226" t="s">
        <v>3638</v>
      </c>
      <c r="T226" t="s">
        <v>3639</v>
      </c>
      <c r="U226" t="s">
        <v>3640</v>
      </c>
      <c r="V226" t="s">
        <v>70</v>
      </c>
      <c r="W226" t="s">
        <v>726</v>
      </c>
      <c r="X226" t="s">
        <v>175</v>
      </c>
      <c r="Y226" t="s">
        <v>73</v>
      </c>
      <c r="Z226" t="s">
        <v>3641</v>
      </c>
      <c r="AA226" t="s">
        <v>19</v>
      </c>
      <c r="AB226" t="s">
        <v>405</v>
      </c>
      <c r="AC226">
        <v>1</v>
      </c>
      <c r="AD226" t="s">
        <v>146</v>
      </c>
      <c r="AE226" t="s">
        <v>406</v>
      </c>
      <c r="AF226" t="s">
        <v>163</v>
      </c>
      <c r="AG226" t="s">
        <v>211</v>
      </c>
      <c r="AJ226" t="s">
        <v>3642</v>
      </c>
      <c r="AK226" t="s">
        <v>147</v>
      </c>
      <c r="AL226" t="s">
        <v>3643</v>
      </c>
      <c r="AM226" t="s">
        <v>3644</v>
      </c>
      <c r="AN226" t="s">
        <v>150</v>
      </c>
      <c r="AO226">
        <v>113</v>
      </c>
      <c r="AP226" t="s">
        <v>214</v>
      </c>
      <c r="AQ226" t="s">
        <v>242</v>
      </c>
      <c r="AR226" t="s">
        <v>319</v>
      </c>
      <c r="AT226" t="s">
        <v>361</v>
      </c>
      <c r="AU226" t="s">
        <v>3645</v>
      </c>
      <c r="AV226" t="s">
        <v>3646</v>
      </c>
      <c r="AW226" t="s">
        <v>1593</v>
      </c>
      <c r="AX226" t="s">
        <v>246</v>
      </c>
    </row>
    <row r="227" spans="1:50" x14ac:dyDescent="0.25">
      <c r="A227" t="s">
        <v>3647</v>
      </c>
      <c r="B227" t="s">
        <v>3120</v>
      </c>
      <c r="C227" t="s">
        <v>3648</v>
      </c>
      <c r="D227" t="s">
        <v>2962</v>
      </c>
      <c r="E227" t="s">
        <v>3649</v>
      </c>
      <c r="F227" t="s">
        <v>1446</v>
      </c>
      <c r="G227" t="s">
        <v>2900</v>
      </c>
      <c r="H227" t="s">
        <v>3650</v>
      </c>
      <c r="J227" t="s">
        <v>3651</v>
      </c>
      <c r="K227" t="s">
        <v>92</v>
      </c>
      <c r="L227" t="s">
        <v>3652</v>
      </c>
      <c r="M227" t="s">
        <v>3653</v>
      </c>
      <c r="N227" t="s">
        <v>95</v>
      </c>
      <c r="O227" t="s">
        <v>461</v>
      </c>
      <c r="P227" t="s">
        <v>3654</v>
      </c>
      <c r="Q227" t="s">
        <v>3655</v>
      </c>
      <c r="R227" t="s">
        <v>1395</v>
      </c>
      <c r="S227" t="s">
        <v>3656</v>
      </c>
      <c r="T227" t="s">
        <v>3657</v>
      </c>
      <c r="U227" t="s">
        <v>3658</v>
      </c>
      <c r="V227" t="s">
        <v>70</v>
      </c>
      <c r="W227" t="s">
        <v>206</v>
      </c>
      <c r="X227" t="s">
        <v>72</v>
      </c>
      <c r="Y227" t="s">
        <v>73</v>
      </c>
      <c r="Z227" t="s">
        <v>3659</v>
      </c>
      <c r="AA227" t="s">
        <v>144</v>
      </c>
      <c r="AB227" t="s">
        <v>528</v>
      </c>
      <c r="AC227">
        <v>8</v>
      </c>
      <c r="AD227">
        <v>2025</v>
      </c>
      <c r="AE227" t="s">
        <v>77</v>
      </c>
      <c r="AF227">
        <v>34</v>
      </c>
      <c r="AG227" t="s">
        <v>238</v>
      </c>
      <c r="AJ227" t="s">
        <v>134</v>
      </c>
      <c r="AK227" t="s">
        <v>571</v>
      </c>
      <c r="AL227" t="s">
        <v>3660</v>
      </c>
      <c r="AM227" t="s">
        <v>3661</v>
      </c>
      <c r="AN227" t="s">
        <v>186</v>
      </c>
      <c r="AO227">
        <v>370</v>
      </c>
      <c r="AP227">
        <v>5</v>
      </c>
      <c r="AQ227" t="s">
        <v>786</v>
      </c>
      <c r="AR227" t="s">
        <v>118</v>
      </c>
      <c r="AS227" t="s">
        <v>429</v>
      </c>
      <c r="AT227" t="s">
        <v>361</v>
      </c>
      <c r="AU227" t="s">
        <v>163</v>
      </c>
      <c r="AV227" t="s">
        <v>3662</v>
      </c>
      <c r="AW227" t="s">
        <v>1593</v>
      </c>
      <c r="AX227" t="s">
        <v>246</v>
      </c>
    </row>
    <row r="228" spans="1:50" x14ac:dyDescent="0.25">
      <c r="A228" t="s">
        <v>3663</v>
      </c>
      <c r="B228" t="s">
        <v>3664</v>
      </c>
      <c r="C228" t="s">
        <v>91</v>
      </c>
      <c r="D228" t="s">
        <v>3665</v>
      </c>
      <c r="E228" t="s">
        <v>3666</v>
      </c>
      <c r="F228" t="s">
        <v>3667</v>
      </c>
      <c r="G228">
        <v>2</v>
      </c>
      <c r="H228">
        <v>79.14</v>
      </c>
      <c r="I228" t="s">
        <v>162</v>
      </c>
      <c r="J228" t="s">
        <v>3668</v>
      </c>
      <c r="K228" t="s">
        <v>59</v>
      </c>
      <c r="L228" t="s">
        <v>2982</v>
      </c>
      <c r="M228" t="s">
        <v>2649</v>
      </c>
      <c r="N228" t="s">
        <v>396</v>
      </c>
      <c r="O228" t="s">
        <v>854</v>
      </c>
      <c r="P228" t="s">
        <v>3669</v>
      </c>
      <c r="Q228" t="s">
        <v>3670</v>
      </c>
      <c r="R228" t="s">
        <v>2253</v>
      </c>
      <c r="S228" t="s">
        <v>3671</v>
      </c>
      <c r="T228" t="s">
        <v>3672</v>
      </c>
      <c r="U228" t="s">
        <v>3673</v>
      </c>
      <c r="V228" t="s">
        <v>290</v>
      </c>
      <c r="W228" t="s">
        <v>71</v>
      </c>
      <c r="X228" t="s">
        <v>105</v>
      </c>
      <c r="Y228" t="s">
        <v>118</v>
      </c>
      <c r="Z228" t="s">
        <v>3674</v>
      </c>
      <c r="AA228" t="s">
        <v>75</v>
      </c>
      <c r="AB228" t="s">
        <v>76</v>
      </c>
      <c r="AC228" t="s">
        <v>1381</v>
      </c>
      <c r="AD228" t="s">
        <v>237</v>
      </c>
      <c r="AE228" t="s">
        <v>181</v>
      </c>
      <c r="AF228">
        <v>21</v>
      </c>
      <c r="AG228">
        <v>0.08</v>
      </c>
      <c r="AJ228" t="s">
        <v>3675</v>
      </c>
      <c r="AK228" t="s">
        <v>240</v>
      </c>
      <c r="AL228" t="s">
        <v>3676</v>
      </c>
      <c r="AM228" t="s">
        <v>3677</v>
      </c>
      <c r="AN228" t="s">
        <v>82</v>
      </c>
      <c r="AO228">
        <v>251</v>
      </c>
      <c r="AR228" t="s">
        <v>243</v>
      </c>
      <c r="AS228" t="s">
        <v>429</v>
      </c>
      <c r="AT228">
        <v>0.3</v>
      </c>
      <c r="AU228" t="s">
        <v>3678</v>
      </c>
      <c r="AV228" t="s">
        <v>1872</v>
      </c>
      <c r="AW228" t="s">
        <v>122</v>
      </c>
    </row>
    <row r="229" spans="1:50" x14ac:dyDescent="0.25">
      <c r="A229" t="s">
        <v>3679</v>
      </c>
      <c r="B229" t="s">
        <v>3680</v>
      </c>
      <c r="C229" t="s">
        <v>434</v>
      </c>
      <c r="D229" t="s">
        <v>3681</v>
      </c>
      <c r="E229" t="s">
        <v>3682</v>
      </c>
      <c r="F229" t="s">
        <v>134</v>
      </c>
      <c r="G229" t="s">
        <v>2438</v>
      </c>
      <c r="H229">
        <v>471.22</v>
      </c>
      <c r="I229">
        <v>0.1</v>
      </c>
      <c r="J229">
        <v>8481.9599999999991</v>
      </c>
      <c r="K229" t="s">
        <v>280</v>
      </c>
      <c r="L229" t="s">
        <v>1357</v>
      </c>
      <c r="M229" t="s">
        <v>142</v>
      </c>
      <c r="N229" t="s">
        <v>95</v>
      </c>
      <c r="O229" t="s">
        <v>760</v>
      </c>
      <c r="P229" t="s">
        <v>284</v>
      </c>
      <c r="Q229" t="s">
        <v>3683</v>
      </c>
      <c r="R229" t="s">
        <v>702</v>
      </c>
      <c r="S229" t="s">
        <v>3684</v>
      </c>
      <c r="T229" t="s">
        <v>3685</v>
      </c>
      <c r="U229" t="s">
        <v>3686</v>
      </c>
      <c r="V229" t="s">
        <v>70</v>
      </c>
      <c r="W229" t="s">
        <v>71</v>
      </c>
      <c r="X229" t="s">
        <v>424</v>
      </c>
      <c r="Y229" t="s">
        <v>106</v>
      </c>
      <c r="Z229" t="s">
        <v>3687</v>
      </c>
      <c r="AA229" t="s">
        <v>144</v>
      </c>
      <c r="AB229" t="s">
        <v>528</v>
      </c>
      <c r="AC229">
        <v>9</v>
      </c>
      <c r="AD229" t="s">
        <v>314</v>
      </c>
      <c r="AE229" t="s">
        <v>181</v>
      </c>
      <c r="AF229">
        <v>49</v>
      </c>
      <c r="AG229">
        <v>0.08</v>
      </c>
      <c r="AJ229" t="s">
        <v>3688</v>
      </c>
      <c r="AK229" t="s">
        <v>183</v>
      </c>
      <c r="AL229" t="s">
        <v>3689</v>
      </c>
      <c r="AM229" t="s">
        <v>3690</v>
      </c>
      <c r="AN229" t="s">
        <v>116</v>
      </c>
      <c r="AO229">
        <v>65</v>
      </c>
      <c r="AP229">
        <v>3</v>
      </c>
      <c r="AQ229" t="s">
        <v>117</v>
      </c>
      <c r="AR229" t="s">
        <v>243</v>
      </c>
      <c r="AS229" t="s">
        <v>429</v>
      </c>
      <c r="AT229" t="s">
        <v>119</v>
      </c>
      <c r="AU229" t="s">
        <v>3691</v>
      </c>
      <c r="AV229" t="s">
        <v>3692</v>
      </c>
      <c r="AW229" t="s">
        <v>3692</v>
      </c>
      <c r="AX229" t="s">
        <v>191</v>
      </c>
    </row>
    <row r="230" spans="1:50" x14ac:dyDescent="0.25">
      <c r="A230" t="s">
        <v>3693</v>
      </c>
      <c r="B230" t="s">
        <v>3694</v>
      </c>
      <c r="C230" t="s">
        <v>3695</v>
      </c>
      <c r="D230" t="s">
        <v>3696</v>
      </c>
      <c r="E230" t="s">
        <v>3697</v>
      </c>
      <c r="F230" t="s">
        <v>928</v>
      </c>
      <c r="G230" t="s">
        <v>370</v>
      </c>
      <c r="H230" t="s">
        <v>3698</v>
      </c>
      <c r="J230" t="s">
        <v>3699</v>
      </c>
      <c r="K230" t="s">
        <v>132</v>
      </c>
      <c r="L230" t="s">
        <v>3700</v>
      </c>
      <c r="M230" t="s">
        <v>2270</v>
      </c>
      <c r="N230" t="s">
        <v>62</v>
      </c>
      <c r="O230" t="s">
        <v>304</v>
      </c>
      <c r="P230" t="s">
        <v>3701</v>
      </c>
      <c r="Q230" t="s">
        <v>3702</v>
      </c>
      <c r="R230" t="s">
        <v>169</v>
      </c>
      <c r="S230" t="s">
        <v>3703</v>
      </c>
      <c r="T230" t="s">
        <v>3704</v>
      </c>
      <c r="U230" t="s">
        <v>3705</v>
      </c>
      <c r="V230" t="s">
        <v>290</v>
      </c>
      <c r="W230" t="s">
        <v>71</v>
      </c>
      <c r="X230" t="s">
        <v>424</v>
      </c>
      <c r="Y230" t="s">
        <v>176</v>
      </c>
      <c r="Z230" t="s">
        <v>3706</v>
      </c>
      <c r="AA230" t="s">
        <v>236</v>
      </c>
      <c r="AB230" t="s">
        <v>108</v>
      </c>
      <c r="AC230" t="s">
        <v>264</v>
      </c>
      <c r="AD230">
        <v>2025</v>
      </c>
      <c r="AE230" t="s">
        <v>77</v>
      </c>
      <c r="AF230">
        <v>25</v>
      </c>
      <c r="AG230" t="s">
        <v>238</v>
      </c>
      <c r="AJ230" t="s">
        <v>3707</v>
      </c>
      <c r="AK230" t="s">
        <v>240</v>
      </c>
      <c r="AL230" t="s">
        <v>3708</v>
      </c>
      <c r="AM230">
        <v>21.77</v>
      </c>
      <c r="AN230" t="s">
        <v>267</v>
      </c>
      <c r="AO230">
        <v>14</v>
      </c>
      <c r="AP230">
        <v>4.5</v>
      </c>
      <c r="AQ230" t="s">
        <v>610</v>
      </c>
      <c r="AR230">
        <v>1</v>
      </c>
      <c r="AS230" t="s">
        <v>83</v>
      </c>
      <c r="AT230" t="s">
        <v>361</v>
      </c>
      <c r="AU230">
        <v>139.56</v>
      </c>
      <c r="AV230" t="s">
        <v>3709</v>
      </c>
      <c r="AX230" t="s">
        <v>191</v>
      </c>
    </row>
    <row r="231" spans="1:50" x14ac:dyDescent="0.25">
      <c r="A231" t="s">
        <v>3710</v>
      </c>
      <c r="B231" t="s">
        <v>3711</v>
      </c>
      <c r="C231" t="s">
        <v>3712</v>
      </c>
      <c r="D231" t="s">
        <v>2152</v>
      </c>
      <c r="E231" t="s">
        <v>1209</v>
      </c>
      <c r="G231" t="s">
        <v>1025</v>
      </c>
      <c r="H231" t="s">
        <v>1210</v>
      </c>
      <c r="I231">
        <v>0.1</v>
      </c>
      <c r="J231" t="s">
        <v>3713</v>
      </c>
      <c r="K231" t="s">
        <v>59</v>
      </c>
      <c r="L231" t="s">
        <v>2835</v>
      </c>
      <c r="M231" t="s">
        <v>3573</v>
      </c>
      <c r="N231" t="s">
        <v>62</v>
      </c>
      <c r="O231" t="s">
        <v>643</v>
      </c>
      <c r="P231" t="s">
        <v>3714</v>
      </c>
      <c r="Q231" t="s">
        <v>3715</v>
      </c>
      <c r="R231" t="s">
        <v>2076</v>
      </c>
      <c r="S231" t="s">
        <v>3716</v>
      </c>
      <c r="T231" t="s">
        <v>3717</v>
      </c>
      <c r="U231" t="s">
        <v>3718</v>
      </c>
      <c r="V231" t="s">
        <v>70</v>
      </c>
      <c r="W231" t="s">
        <v>311</v>
      </c>
      <c r="X231" t="s">
        <v>207</v>
      </c>
      <c r="Y231" t="s">
        <v>176</v>
      </c>
      <c r="Z231" t="s">
        <v>3719</v>
      </c>
      <c r="AA231" t="s">
        <v>75</v>
      </c>
      <c r="AB231" t="s">
        <v>528</v>
      </c>
      <c r="AC231" t="s">
        <v>589</v>
      </c>
      <c r="AD231">
        <v>2025</v>
      </c>
      <c r="AE231" t="s">
        <v>406</v>
      </c>
      <c r="AF231">
        <v>46</v>
      </c>
      <c r="AG231">
        <v>0.08</v>
      </c>
      <c r="AJ231" t="s">
        <v>3720</v>
      </c>
      <c r="AK231" t="s">
        <v>79</v>
      </c>
      <c r="AL231" t="s">
        <v>3721</v>
      </c>
      <c r="AM231">
        <v>23.15</v>
      </c>
      <c r="AN231" t="s">
        <v>82</v>
      </c>
      <c r="AO231">
        <v>21</v>
      </c>
      <c r="AP231">
        <v>1</v>
      </c>
      <c r="AQ231" t="s">
        <v>318</v>
      </c>
      <c r="AS231" t="s">
        <v>215</v>
      </c>
      <c r="AT231" t="s">
        <v>152</v>
      </c>
      <c r="AU231" t="s">
        <v>3722</v>
      </c>
      <c r="AV231" t="s">
        <v>3723</v>
      </c>
      <c r="AW231" t="s">
        <v>681</v>
      </c>
      <c r="AX231" t="s">
        <v>270</v>
      </c>
    </row>
    <row r="232" spans="1:50" x14ac:dyDescent="0.25">
      <c r="A232" t="s">
        <v>3724</v>
      </c>
      <c r="B232" t="s">
        <v>3725</v>
      </c>
      <c r="C232" t="s">
        <v>3726</v>
      </c>
      <c r="D232" t="s">
        <v>3727</v>
      </c>
      <c r="E232" t="s">
        <v>163</v>
      </c>
      <c r="F232" t="s">
        <v>134</v>
      </c>
      <c r="G232" t="s">
        <v>640</v>
      </c>
      <c r="H232" t="s">
        <v>3728</v>
      </c>
      <c r="I232" t="s">
        <v>58</v>
      </c>
      <c r="J232" t="s">
        <v>3698</v>
      </c>
      <c r="K232" t="s">
        <v>132</v>
      </c>
      <c r="L232" t="s">
        <v>2269</v>
      </c>
      <c r="M232" t="s">
        <v>3729</v>
      </c>
      <c r="N232" t="s">
        <v>166</v>
      </c>
      <c r="O232" t="s">
        <v>397</v>
      </c>
      <c r="P232" t="s">
        <v>333</v>
      </c>
      <c r="Q232" t="s">
        <v>3730</v>
      </c>
      <c r="R232" t="s">
        <v>1271</v>
      </c>
      <c r="S232" t="s">
        <v>3731</v>
      </c>
      <c r="T232" t="s">
        <v>3732</v>
      </c>
      <c r="U232" t="s">
        <v>3733</v>
      </c>
      <c r="V232" t="s">
        <v>205</v>
      </c>
      <c r="W232" t="s">
        <v>104</v>
      </c>
      <c r="X232" t="s">
        <v>105</v>
      </c>
      <c r="Y232" t="s">
        <v>106</v>
      </c>
      <c r="Z232" t="s">
        <v>3734</v>
      </c>
      <c r="AA232" t="s">
        <v>144</v>
      </c>
      <c r="AB232" t="s">
        <v>263</v>
      </c>
      <c r="AC232" t="s">
        <v>1381</v>
      </c>
      <c r="AD232" t="s">
        <v>314</v>
      </c>
      <c r="AE232" t="s">
        <v>181</v>
      </c>
      <c r="AF232">
        <v>38</v>
      </c>
      <c r="AG232">
        <v>0.08</v>
      </c>
      <c r="AJ232" t="s">
        <v>3735</v>
      </c>
      <c r="AK232" t="s">
        <v>147</v>
      </c>
      <c r="AL232" t="s">
        <v>3736</v>
      </c>
      <c r="AM232">
        <v>20.95</v>
      </c>
      <c r="AN232" t="s">
        <v>267</v>
      </c>
      <c r="AO232">
        <v>115</v>
      </c>
      <c r="AP232" t="s">
        <v>187</v>
      </c>
      <c r="AQ232" t="s">
        <v>242</v>
      </c>
      <c r="AR232" t="s">
        <v>319</v>
      </c>
      <c r="AS232" t="s">
        <v>429</v>
      </c>
      <c r="AT232" t="s">
        <v>361</v>
      </c>
      <c r="AU232" t="s">
        <v>163</v>
      </c>
      <c r="AV232" t="s">
        <v>3737</v>
      </c>
      <c r="AX232" t="s">
        <v>246</v>
      </c>
    </row>
    <row r="233" spans="1:50" x14ac:dyDescent="0.25">
      <c r="A233" t="s">
        <v>3738</v>
      </c>
      <c r="B233" t="s">
        <v>3739</v>
      </c>
      <c r="C233" t="s">
        <v>3740</v>
      </c>
      <c r="D233" t="s">
        <v>969</v>
      </c>
      <c r="E233" t="s">
        <v>3741</v>
      </c>
      <c r="F233" t="s">
        <v>1772</v>
      </c>
      <c r="G233" t="s">
        <v>1515</v>
      </c>
      <c r="H233" t="s">
        <v>2981</v>
      </c>
      <c r="I233" t="s">
        <v>253</v>
      </c>
      <c r="J233">
        <v>15549.75</v>
      </c>
      <c r="K233" t="s">
        <v>59</v>
      </c>
      <c r="L233" t="s">
        <v>3742</v>
      </c>
      <c r="M233" t="s">
        <v>1100</v>
      </c>
      <c r="N233" t="s">
        <v>95</v>
      </c>
      <c r="O233" t="s">
        <v>461</v>
      </c>
      <c r="P233" t="s">
        <v>3743</v>
      </c>
      <c r="Q233" t="s">
        <v>3744</v>
      </c>
      <c r="R233" t="s">
        <v>624</v>
      </c>
      <c r="S233" t="s">
        <v>3745</v>
      </c>
      <c r="T233" t="s">
        <v>3746</v>
      </c>
      <c r="U233" t="s">
        <v>3747</v>
      </c>
      <c r="V233" t="s">
        <v>70</v>
      </c>
      <c r="W233" t="s">
        <v>71</v>
      </c>
      <c r="X233" t="s">
        <v>105</v>
      </c>
      <c r="Y233" t="s">
        <v>337</v>
      </c>
      <c r="Z233" t="s">
        <v>3748</v>
      </c>
      <c r="AA233" t="s">
        <v>75</v>
      </c>
      <c r="AB233" t="s">
        <v>179</v>
      </c>
      <c r="AC233" t="s">
        <v>2036</v>
      </c>
      <c r="AD233" t="s">
        <v>237</v>
      </c>
      <c r="AE233" t="s">
        <v>110</v>
      </c>
      <c r="AF233">
        <v>74</v>
      </c>
      <c r="AG233" t="s">
        <v>211</v>
      </c>
      <c r="AJ233" t="s">
        <v>3749</v>
      </c>
      <c r="AK233" t="s">
        <v>571</v>
      </c>
      <c r="AL233" t="s">
        <v>3750</v>
      </c>
      <c r="AM233" t="s">
        <v>3751</v>
      </c>
      <c r="AN233" t="s">
        <v>150</v>
      </c>
      <c r="AO233">
        <v>197</v>
      </c>
      <c r="AP233">
        <v>1</v>
      </c>
      <c r="AQ233" t="s">
        <v>117</v>
      </c>
      <c r="AR233">
        <v>0</v>
      </c>
      <c r="AT233" t="s">
        <v>119</v>
      </c>
      <c r="AU233" t="s">
        <v>3752</v>
      </c>
      <c r="AV233" t="s">
        <v>3753</v>
      </c>
      <c r="AX233" t="s">
        <v>85</v>
      </c>
    </row>
    <row r="234" spans="1:50" x14ac:dyDescent="0.25">
      <c r="A234" t="s">
        <v>3754</v>
      </c>
      <c r="B234" t="s">
        <v>3755</v>
      </c>
      <c r="C234" t="s">
        <v>3756</v>
      </c>
      <c r="D234" t="s">
        <v>2319</v>
      </c>
      <c r="E234" t="s">
        <v>1735</v>
      </c>
      <c r="F234" t="s">
        <v>91</v>
      </c>
      <c r="G234" t="s">
        <v>252</v>
      </c>
      <c r="H234" t="s">
        <v>697</v>
      </c>
      <c r="J234" t="s">
        <v>3757</v>
      </c>
      <c r="K234" t="s">
        <v>132</v>
      </c>
      <c r="L234" t="s">
        <v>759</v>
      </c>
      <c r="M234" t="s">
        <v>3758</v>
      </c>
      <c r="N234" t="s">
        <v>135</v>
      </c>
      <c r="O234" t="s">
        <v>777</v>
      </c>
      <c r="P234" t="s">
        <v>1249</v>
      </c>
      <c r="Q234" t="s">
        <v>3759</v>
      </c>
      <c r="R234" t="s">
        <v>169</v>
      </c>
      <c r="S234" t="s">
        <v>3760</v>
      </c>
      <c r="T234" t="s">
        <v>3761</v>
      </c>
      <c r="U234" t="s">
        <v>3762</v>
      </c>
      <c r="V234" t="s">
        <v>290</v>
      </c>
      <c r="W234" t="s">
        <v>174</v>
      </c>
      <c r="X234" t="s">
        <v>105</v>
      </c>
      <c r="Y234" t="s">
        <v>176</v>
      </c>
      <c r="Z234" t="s">
        <v>3763</v>
      </c>
      <c r="AA234" t="s">
        <v>178</v>
      </c>
      <c r="AB234" t="s">
        <v>108</v>
      </c>
      <c r="AC234" t="s">
        <v>651</v>
      </c>
      <c r="AD234">
        <v>2026</v>
      </c>
      <c r="AE234" t="s">
        <v>110</v>
      </c>
      <c r="AF234">
        <v>3</v>
      </c>
      <c r="AG234">
        <v>0.08</v>
      </c>
      <c r="AJ234" t="s">
        <v>3764</v>
      </c>
      <c r="AK234" t="s">
        <v>79</v>
      </c>
      <c r="AL234" t="s">
        <v>3765</v>
      </c>
      <c r="AM234" t="s">
        <v>3766</v>
      </c>
      <c r="AN234" t="s">
        <v>82</v>
      </c>
      <c r="AO234">
        <v>301</v>
      </c>
      <c r="AP234">
        <v>2</v>
      </c>
      <c r="AQ234" t="s">
        <v>242</v>
      </c>
      <c r="AR234">
        <v>0</v>
      </c>
      <c r="AS234" t="s">
        <v>83</v>
      </c>
      <c r="AT234" t="s">
        <v>152</v>
      </c>
      <c r="AU234" t="s">
        <v>3767</v>
      </c>
      <c r="AV234" t="s">
        <v>3768</v>
      </c>
    </row>
    <row r="235" spans="1:50" x14ac:dyDescent="0.25">
      <c r="A235" t="s">
        <v>3769</v>
      </c>
      <c r="B235" t="s">
        <v>3770</v>
      </c>
      <c r="C235" t="s">
        <v>3771</v>
      </c>
      <c r="D235" t="s">
        <v>1825</v>
      </c>
      <c r="E235" t="s">
        <v>134</v>
      </c>
      <c r="F235" t="s">
        <v>1876</v>
      </c>
      <c r="G235">
        <v>11</v>
      </c>
      <c r="H235" t="s">
        <v>1828</v>
      </c>
      <c r="I235" t="s">
        <v>253</v>
      </c>
      <c r="J235" t="s">
        <v>3772</v>
      </c>
      <c r="K235" t="s">
        <v>59</v>
      </c>
      <c r="L235" t="s">
        <v>699</v>
      </c>
      <c r="M235" t="s">
        <v>134</v>
      </c>
      <c r="N235" t="s">
        <v>62</v>
      </c>
      <c r="O235" t="s">
        <v>136</v>
      </c>
      <c r="P235" t="s">
        <v>1481</v>
      </c>
      <c r="Q235" t="s">
        <v>3773</v>
      </c>
      <c r="R235" t="s">
        <v>286</v>
      </c>
      <c r="S235" t="s">
        <v>3774</v>
      </c>
      <c r="T235" t="s">
        <v>3775</v>
      </c>
      <c r="U235" t="s">
        <v>3776</v>
      </c>
      <c r="V235" t="s">
        <v>290</v>
      </c>
      <c r="W235" t="s">
        <v>174</v>
      </c>
      <c r="X235" t="s">
        <v>424</v>
      </c>
      <c r="Y235" t="s">
        <v>176</v>
      </c>
      <c r="Z235" t="s">
        <v>3777</v>
      </c>
      <c r="AA235" t="s">
        <v>19</v>
      </c>
      <c r="AB235" t="s">
        <v>263</v>
      </c>
      <c r="AC235" t="s">
        <v>2586</v>
      </c>
      <c r="AD235" t="s">
        <v>314</v>
      </c>
      <c r="AE235" t="s">
        <v>406</v>
      </c>
      <c r="AF235">
        <v>9</v>
      </c>
      <c r="AG235" t="s">
        <v>111</v>
      </c>
      <c r="AJ235" t="s">
        <v>142</v>
      </c>
      <c r="AK235" t="s">
        <v>113</v>
      </c>
      <c r="AL235" t="s">
        <v>3778</v>
      </c>
      <c r="AM235" t="s">
        <v>3779</v>
      </c>
      <c r="AN235" t="s">
        <v>116</v>
      </c>
      <c r="AO235">
        <v>450</v>
      </c>
      <c r="AP235">
        <v>4.5</v>
      </c>
      <c r="AQ235" t="s">
        <v>117</v>
      </c>
      <c r="AR235">
        <v>1</v>
      </c>
      <c r="AT235" t="s">
        <v>361</v>
      </c>
      <c r="AU235" t="s">
        <v>3780</v>
      </c>
      <c r="AV235" t="s">
        <v>2279</v>
      </c>
      <c r="AX235" t="s">
        <v>85</v>
      </c>
    </row>
    <row r="236" spans="1:50" x14ac:dyDescent="0.25">
      <c r="A236" t="s">
        <v>3781</v>
      </c>
      <c r="B236" t="s">
        <v>3782</v>
      </c>
      <c r="C236" t="s">
        <v>3783</v>
      </c>
      <c r="D236" t="s">
        <v>3784</v>
      </c>
      <c r="E236" t="s">
        <v>3785</v>
      </c>
      <c r="F236" t="s">
        <v>299</v>
      </c>
      <c r="G236">
        <v>19</v>
      </c>
      <c r="H236">
        <v>1313.33</v>
      </c>
      <c r="I236">
        <v>0.1</v>
      </c>
      <c r="J236" t="s">
        <v>3786</v>
      </c>
      <c r="K236" t="s">
        <v>132</v>
      </c>
      <c r="L236" t="s">
        <v>853</v>
      </c>
      <c r="M236" t="s">
        <v>3787</v>
      </c>
      <c r="N236" t="s">
        <v>135</v>
      </c>
      <c r="O236" t="s">
        <v>502</v>
      </c>
      <c r="P236" t="s">
        <v>955</v>
      </c>
      <c r="Q236" t="s">
        <v>3788</v>
      </c>
      <c r="R236" t="s">
        <v>1450</v>
      </c>
      <c r="S236" t="s">
        <v>3789</v>
      </c>
      <c r="T236" t="s">
        <v>3790</v>
      </c>
      <c r="U236" t="s">
        <v>3791</v>
      </c>
      <c r="V236" t="s">
        <v>173</v>
      </c>
      <c r="W236" t="s">
        <v>311</v>
      </c>
      <c r="X236" t="s">
        <v>207</v>
      </c>
      <c r="Y236" t="s">
        <v>106</v>
      </c>
      <c r="Z236" t="s">
        <v>3792</v>
      </c>
      <c r="AA236" t="s">
        <v>178</v>
      </c>
      <c r="AB236" t="s">
        <v>263</v>
      </c>
      <c r="AC236">
        <v>5</v>
      </c>
      <c r="AD236" t="s">
        <v>210</v>
      </c>
      <c r="AE236" t="s">
        <v>406</v>
      </c>
      <c r="AF236">
        <v>49</v>
      </c>
      <c r="AG236" t="s">
        <v>238</v>
      </c>
      <c r="AJ236" t="s">
        <v>3793</v>
      </c>
      <c r="AK236" t="s">
        <v>147</v>
      </c>
      <c r="AL236" t="s">
        <v>3794</v>
      </c>
      <c r="AM236" t="s">
        <v>3795</v>
      </c>
      <c r="AN236" t="s">
        <v>116</v>
      </c>
      <c r="AO236">
        <v>184</v>
      </c>
      <c r="AP236">
        <v>1</v>
      </c>
      <c r="AQ236" t="s">
        <v>117</v>
      </c>
      <c r="AR236" t="s">
        <v>319</v>
      </c>
      <c r="AS236" t="s">
        <v>429</v>
      </c>
      <c r="AT236" t="s">
        <v>119</v>
      </c>
      <c r="AU236">
        <v>748.6</v>
      </c>
      <c r="AV236" t="s">
        <v>3796</v>
      </c>
      <c r="AX236" t="s">
        <v>270</v>
      </c>
    </row>
    <row r="237" spans="1:50" x14ac:dyDescent="0.25">
      <c r="A237" t="s">
        <v>3797</v>
      </c>
      <c r="B237" t="s">
        <v>3798</v>
      </c>
      <c r="C237" t="s">
        <v>3799</v>
      </c>
      <c r="D237" t="s">
        <v>2335</v>
      </c>
      <c r="E237" t="s">
        <v>3121</v>
      </c>
      <c r="F237" t="s">
        <v>222</v>
      </c>
      <c r="G237" t="s">
        <v>1006</v>
      </c>
      <c r="H237" t="s">
        <v>91</v>
      </c>
      <c r="I237" t="s">
        <v>58</v>
      </c>
      <c r="J237">
        <v>3917.25</v>
      </c>
      <c r="K237" t="s">
        <v>132</v>
      </c>
      <c r="L237" t="s">
        <v>2387</v>
      </c>
      <c r="M237" t="s">
        <v>2270</v>
      </c>
      <c r="N237" t="s">
        <v>417</v>
      </c>
      <c r="O237" t="s">
        <v>375</v>
      </c>
      <c r="P237" t="s">
        <v>1481</v>
      </c>
      <c r="Q237" t="s">
        <v>3800</v>
      </c>
      <c r="R237" t="s">
        <v>722</v>
      </c>
      <c r="S237" t="s">
        <v>3801</v>
      </c>
      <c r="T237" t="s">
        <v>3802</v>
      </c>
      <c r="U237" t="s">
        <v>3803</v>
      </c>
      <c r="V237" t="s">
        <v>103</v>
      </c>
      <c r="W237" t="s">
        <v>104</v>
      </c>
      <c r="X237" t="s">
        <v>175</v>
      </c>
      <c r="Y237" t="s">
        <v>118</v>
      </c>
      <c r="Z237" t="s">
        <v>3804</v>
      </c>
      <c r="AA237" t="s">
        <v>19</v>
      </c>
      <c r="AB237" t="s">
        <v>179</v>
      </c>
      <c r="AC237" t="s">
        <v>447</v>
      </c>
      <c r="AD237" t="s">
        <v>314</v>
      </c>
      <c r="AE237" t="s">
        <v>77</v>
      </c>
      <c r="AF237">
        <v>76</v>
      </c>
      <c r="AG237" t="s">
        <v>238</v>
      </c>
      <c r="AJ237" t="s">
        <v>3805</v>
      </c>
      <c r="AK237" t="s">
        <v>240</v>
      </c>
      <c r="AL237" t="s">
        <v>3806</v>
      </c>
      <c r="AM237" t="s">
        <v>3807</v>
      </c>
      <c r="AN237" t="s">
        <v>267</v>
      </c>
      <c r="AO237">
        <v>499</v>
      </c>
      <c r="AP237">
        <v>4.5</v>
      </c>
      <c r="AQ237" t="s">
        <v>151</v>
      </c>
      <c r="AT237" t="s">
        <v>361</v>
      </c>
      <c r="AV237" t="s">
        <v>3808</v>
      </c>
      <c r="AW237" t="s">
        <v>733</v>
      </c>
      <c r="AX237" t="s">
        <v>85</v>
      </c>
    </row>
    <row r="238" spans="1:50" x14ac:dyDescent="0.25">
      <c r="A238" t="s">
        <v>3809</v>
      </c>
      <c r="B238" t="s">
        <v>3810</v>
      </c>
      <c r="C238" t="s">
        <v>3811</v>
      </c>
      <c r="D238" t="s">
        <v>1717</v>
      </c>
      <c r="E238" t="s">
        <v>850</v>
      </c>
      <c r="F238" t="s">
        <v>3812</v>
      </c>
      <c r="G238">
        <v>21</v>
      </c>
      <c r="H238" t="s">
        <v>3059</v>
      </c>
      <c r="I238" t="s">
        <v>162</v>
      </c>
      <c r="J238" t="s">
        <v>3813</v>
      </c>
      <c r="K238" t="s">
        <v>92</v>
      </c>
      <c r="L238" t="s">
        <v>3363</v>
      </c>
      <c r="N238" t="s">
        <v>135</v>
      </c>
      <c r="O238" t="s">
        <v>543</v>
      </c>
      <c r="P238" t="s">
        <v>3814</v>
      </c>
      <c r="Q238" t="s">
        <v>3815</v>
      </c>
      <c r="R238" t="s">
        <v>564</v>
      </c>
      <c r="S238" t="s">
        <v>3816</v>
      </c>
      <c r="T238" t="s">
        <v>3817</v>
      </c>
      <c r="U238" t="s">
        <v>3818</v>
      </c>
      <c r="V238" t="s">
        <v>103</v>
      </c>
      <c r="W238" t="s">
        <v>311</v>
      </c>
      <c r="X238" t="s">
        <v>105</v>
      </c>
      <c r="Y238" t="s">
        <v>337</v>
      </c>
      <c r="Z238" t="s">
        <v>3819</v>
      </c>
      <c r="AA238" t="s">
        <v>75</v>
      </c>
      <c r="AB238" t="s">
        <v>528</v>
      </c>
      <c r="AC238" t="s">
        <v>2175</v>
      </c>
      <c r="AD238" t="s">
        <v>237</v>
      </c>
      <c r="AE238" t="s">
        <v>406</v>
      </c>
      <c r="AF238" t="s">
        <v>142</v>
      </c>
      <c r="AG238" t="s">
        <v>238</v>
      </c>
      <c r="AJ238" t="s">
        <v>3820</v>
      </c>
      <c r="AK238" t="s">
        <v>79</v>
      </c>
      <c r="AL238" t="s">
        <v>3821</v>
      </c>
      <c r="AM238" t="s">
        <v>3822</v>
      </c>
      <c r="AN238" t="s">
        <v>116</v>
      </c>
      <c r="AO238">
        <v>293</v>
      </c>
      <c r="AQ238" t="s">
        <v>318</v>
      </c>
      <c r="AR238">
        <v>1</v>
      </c>
      <c r="AT238">
        <v>0.3</v>
      </c>
      <c r="AU238" t="s">
        <v>163</v>
      </c>
      <c r="AV238" t="s">
        <v>3823</v>
      </c>
      <c r="AW238" t="s">
        <v>1367</v>
      </c>
      <c r="AX238" t="s">
        <v>191</v>
      </c>
    </row>
    <row r="239" spans="1:50" x14ac:dyDescent="0.25">
      <c r="A239" t="s">
        <v>3824</v>
      </c>
      <c r="B239" t="s">
        <v>3825</v>
      </c>
      <c r="C239" t="s">
        <v>3826</v>
      </c>
      <c r="D239" t="s">
        <v>3827</v>
      </c>
      <c r="E239" t="s">
        <v>3828</v>
      </c>
      <c r="F239" t="s">
        <v>1287</v>
      </c>
      <c r="G239" t="s">
        <v>3829</v>
      </c>
      <c r="H239" t="s">
        <v>1007</v>
      </c>
      <c r="I239" t="s">
        <v>162</v>
      </c>
      <c r="J239" t="s">
        <v>3830</v>
      </c>
      <c r="K239" t="s">
        <v>280</v>
      </c>
      <c r="L239" t="s">
        <v>2387</v>
      </c>
      <c r="M239" t="s">
        <v>3831</v>
      </c>
      <c r="N239" t="s">
        <v>95</v>
      </c>
      <c r="O239" t="s">
        <v>304</v>
      </c>
      <c r="P239" t="s">
        <v>1196</v>
      </c>
      <c r="Q239" t="s">
        <v>3832</v>
      </c>
      <c r="R239" t="s">
        <v>1502</v>
      </c>
      <c r="S239" t="s">
        <v>3833</v>
      </c>
      <c r="T239" t="s">
        <v>3834</v>
      </c>
      <c r="U239" t="s">
        <v>142</v>
      </c>
      <c r="V239" t="s">
        <v>290</v>
      </c>
      <c r="W239" t="s">
        <v>311</v>
      </c>
      <c r="X239" t="s">
        <v>175</v>
      </c>
      <c r="Y239" t="s">
        <v>106</v>
      </c>
      <c r="Z239" t="s">
        <v>3835</v>
      </c>
      <c r="AA239" t="s">
        <v>19</v>
      </c>
      <c r="AB239" t="s">
        <v>528</v>
      </c>
      <c r="AC239" t="s">
        <v>313</v>
      </c>
      <c r="AD239" t="s">
        <v>237</v>
      </c>
      <c r="AE239" t="s">
        <v>181</v>
      </c>
      <c r="AF239">
        <v>3</v>
      </c>
      <c r="AG239" t="s">
        <v>111</v>
      </c>
      <c r="AJ239" t="s">
        <v>3836</v>
      </c>
      <c r="AK239" t="s">
        <v>79</v>
      </c>
      <c r="AL239" t="s">
        <v>3837</v>
      </c>
      <c r="AM239" t="s">
        <v>3838</v>
      </c>
      <c r="AN239" t="s">
        <v>267</v>
      </c>
      <c r="AO239">
        <v>293</v>
      </c>
      <c r="AQ239" t="s">
        <v>151</v>
      </c>
      <c r="AR239" t="s">
        <v>118</v>
      </c>
      <c r="AU239" t="s">
        <v>3839</v>
      </c>
      <c r="AV239" t="s">
        <v>3840</v>
      </c>
      <c r="AW239" t="s">
        <v>122</v>
      </c>
      <c r="AX239" t="s">
        <v>191</v>
      </c>
    </row>
    <row r="240" spans="1:50" x14ac:dyDescent="0.25">
      <c r="A240" t="s">
        <v>3841</v>
      </c>
      <c r="B240" t="s">
        <v>3842</v>
      </c>
      <c r="C240" t="s">
        <v>3843</v>
      </c>
      <c r="D240" t="s">
        <v>3844</v>
      </c>
      <c r="E240" t="s">
        <v>3845</v>
      </c>
      <c r="F240" t="s">
        <v>2695</v>
      </c>
      <c r="G240" t="s">
        <v>989</v>
      </c>
      <c r="H240" t="s">
        <v>3846</v>
      </c>
      <c r="I240" t="s">
        <v>253</v>
      </c>
      <c r="J240" t="s">
        <v>134</v>
      </c>
      <c r="K240" t="s">
        <v>330</v>
      </c>
      <c r="L240" t="s">
        <v>3742</v>
      </c>
      <c r="M240" t="s">
        <v>163</v>
      </c>
      <c r="N240" t="s">
        <v>62</v>
      </c>
      <c r="O240" t="s">
        <v>136</v>
      </c>
      <c r="P240" t="s">
        <v>3847</v>
      </c>
      <c r="Q240" t="s">
        <v>3848</v>
      </c>
      <c r="R240" t="s">
        <v>1359</v>
      </c>
      <c r="S240" t="s">
        <v>3849</v>
      </c>
      <c r="T240" t="s">
        <v>3850</v>
      </c>
      <c r="U240" t="s">
        <v>3851</v>
      </c>
      <c r="V240" t="s">
        <v>70</v>
      </c>
      <c r="W240" t="s">
        <v>311</v>
      </c>
      <c r="X240" t="s">
        <v>207</v>
      </c>
      <c r="Y240" t="s">
        <v>118</v>
      </c>
      <c r="Z240" t="s">
        <v>3852</v>
      </c>
      <c r="AA240" t="s">
        <v>236</v>
      </c>
      <c r="AB240" t="s">
        <v>528</v>
      </c>
      <c r="AC240" t="s">
        <v>145</v>
      </c>
      <c r="AD240" t="s">
        <v>314</v>
      </c>
      <c r="AE240" t="s">
        <v>181</v>
      </c>
      <c r="AF240">
        <v>1</v>
      </c>
      <c r="AG240">
        <v>0.08</v>
      </c>
      <c r="AJ240" t="s">
        <v>3853</v>
      </c>
      <c r="AK240" t="s">
        <v>571</v>
      </c>
      <c r="AL240" t="s">
        <v>3854</v>
      </c>
      <c r="AM240" t="s">
        <v>3855</v>
      </c>
      <c r="AN240" t="s">
        <v>186</v>
      </c>
      <c r="AO240">
        <v>422</v>
      </c>
      <c r="AP240">
        <v>2</v>
      </c>
      <c r="AQ240" t="s">
        <v>151</v>
      </c>
      <c r="AR240">
        <v>1</v>
      </c>
      <c r="AS240" t="s">
        <v>429</v>
      </c>
      <c r="AT240" t="s">
        <v>361</v>
      </c>
      <c r="AU240" t="s">
        <v>3856</v>
      </c>
      <c r="AV240" t="s">
        <v>3857</v>
      </c>
      <c r="AW240" t="s">
        <v>3858</v>
      </c>
    </row>
    <row r="241" spans="1:50" x14ac:dyDescent="0.25">
      <c r="A241" t="s">
        <v>3859</v>
      </c>
      <c r="B241" t="s">
        <v>3860</v>
      </c>
      <c r="C241" t="s">
        <v>3861</v>
      </c>
      <c r="D241" t="s">
        <v>3862</v>
      </c>
      <c r="E241" t="s">
        <v>3863</v>
      </c>
      <c r="F241" t="s">
        <v>56</v>
      </c>
      <c r="G241" t="s">
        <v>1288</v>
      </c>
      <c r="H241" t="s">
        <v>3864</v>
      </c>
      <c r="I241">
        <v>0.1</v>
      </c>
      <c r="J241" t="s">
        <v>3865</v>
      </c>
      <c r="K241" t="s">
        <v>280</v>
      </c>
      <c r="L241" t="s">
        <v>932</v>
      </c>
      <c r="N241" t="s">
        <v>62</v>
      </c>
      <c r="O241" t="s">
        <v>502</v>
      </c>
      <c r="P241" t="s">
        <v>1982</v>
      </c>
      <c r="Q241" t="s">
        <v>3866</v>
      </c>
      <c r="R241" t="s">
        <v>1708</v>
      </c>
      <c r="S241" t="s">
        <v>3867</v>
      </c>
      <c r="T241" t="s">
        <v>3868</v>
      </c>
      <c r="U241" t="s">
        <v>3869</v>
      </c>
      <c r="V241" t="s">
        <v>290</v>
      </c>
      <c r="W241" t="s">
        <v>206</v>
      </c>
      <c r="X241" t="s">
        <v>233</v>
      </c>
      <c r="Y241" t="s">
        <v>106</v>
      </c>
      <c r="Z241" t="s">
        <v>3870</v>
      </c>
      <c r="AA241" t="s">
        <v>236</v>
      </c>
      <c r="AB241" t="s">
        <v>76</v>
      </c>
      <c r="AC241" t="s">
        <v>357</v>
      </c>
      <c r="AD241" t="s">
        <v>146</v>
      </c>
      <c r="AE241" t="s">
        <v>77</v>
      </c>
      <c r="AF241" t="s">
        <v>134</v>
      </c>
      <c r="AG241">
        <v>0.08</v>
      </c>
      <c r="AJ241" t="s">
        <v>3871</v>
      </c>
      <c r="AK241" t="s">
        <v>113</v>
      </c>
      <c r="AL241" t="s">
        <v>3872</v>
      </c>
      <c r="AM241">
        <v>23.55</v>
      </c>
      <c r="AN241" t="s">
        <v>116</v>
      </c>
      <c r="AO241">
        <v>389</v>
      </c>
      <c r="AP241">
        <v>2</v>
      </c>
      <c r="AQ241" t="s">
        <v>318</v>
      </c>
      <c r="AR241">
        <v>0</v>
      </c>
      <c r="AS241" t="s">
        <v>215</v>
      </c>
      <c r="AT241" t="s">
        <v>152</v>
      </c>
      <c r="AU241" t="s">
        <v>3873</v>
      </c>
      <c r="AV241" t="s">
        <v>3874</v>
      </c>
      <c r="AW241" t="s">
        <v>122</v>
      </c>
      <c r="AX241" t="s">
        <v>191</v>
      </c>
    </row>
    <row r="242" spans="1:50" x14ac:dyDescent="0.25">
      <c r="A242" t="s">
        <v>3875</v>
      </c>
      <c r="B242" t="s">
        <v>3876</v>
      </c>
      <c r="C242" t="s">
        <v>712</v>
      </c>
      <c r="D242" t="s">
        <v>3135</v>
      </c>
      <c r="E242" t="s">
        <v>3877</v>
      </c>
      <c r="F242" t="s">
        <v>90</v>
      </c>
      <c r="G242" t="s">
        <v>851</v>
      </c>
      <c r="H242" t="s">
        <v>796</v>
      </c>
      <c r="I242">
        <v>0.1</v>
      </c>
      <c r="J242" t="s">
        <v>3878</v>
      </c>
      <c r="K242" t="s">
        <v>92</v>
      </c>
      <c r="L242" t="s">
        <v>3544</v>
      </c>
      <c r="M242" t="s">
        <v>91</v>
      </c>
      <c r="N242" t="s">
        <v>166</v>
      </c>
      <c r="O242" t="s">
        <v>304</v>
      </c>
      <c r="P242" t="s">
        <v>3879</v>
      </c>
      <c r="Q242" t="s">
        <v>3880</v>
      </c>
      <c r="R242" t="s">
        <v>646</v>
      </c>
      <c r="S242" t="s">
        <v>3881</v>
      </c>
      <c r="T242" t="s">
        <v>3882</v>
      </c>
      <c r="U242" t="s">
        <v>3883</v>
      </c>
      <c r="V242" t="s">
        <v>173</v>
      </c>
      <c r="W242" t="s">
        <v>104</v>
      </c>
      <c r="X242" t="s">
        <v>72</v>
      </c>
      <c r="Y242" t="s">
        <v>176</v>
      </c>
      <c r="Z242" t="s">
        <v>3884</v>
      </c>
      <c r="AA242" t="s">
        <v>178</v>
      </c>
      <c r="AB242" t="s">
        <v>179</v>
      </c>
      <c r="AC242" t="s">
        <v>728</v>
      </c>
      <c r="AD242" t="s">
        <v>210</v>
      </c>
      <c r="AE242" t="s">
        <v>77</v>
      </c>
      <c r="AF242" t="s">
        <v>163</v>
      </c>
      <c r="AG242">
        <v>0.08</v>
      </c>
      <c r="AJ242" t="s">
        <v>3885</v>
      </c>
      <c r="AK242" t="s">
        <v>113</v>
      </c>
      <c r="AL242" t="s">
        <v>3886</v>
      </c>
      <c r="AM242" t="s">
        <v>1590</v>
      </c>
      <c r="AN242" t="s">
        <v>267</v>
      </c>
      <c r="AO242">
        <v>200</v>
      </c>
      <c r="AP242">
        <v>4.5</v>
      </c>
      <c r="AQ242" t="s">
        <v>117</v>
      </c>
      <c r="AR242" t="s">
        <v>243</v>
      </c>
      <c r="AS242" t="s">
        <v>83</v>
      </c>
      <c r="AT242" t="s">
        <v>361</v>
      </c>
      <c r="AU242" t="s">
        <v>3887</v>
      </c>
      <c r="AV242" t="s">
        <v>3888</v>
      </c>
      <c r="AW242" t="s">
        <v>3889</v>
      </c>
      <c r="AX242" t="s">
        <v>191</v>
      </c>
    </row>
    <row r="243" spans="1:50" x14ac:dyDescent="0.25">
      <c r="A243" t="s">
        <v>3890</v>
      </c>
      <c r="B243" t="s">
        <v>3891</v>
      </c>
      <c r="C243" t="s">
        <v>3892</v>
      </c>
      <c r="D243" t="s">
        <v>478</v>
      </c>
      <c r="F243" t="s">
        <v>128</v>
      </c>
      <c r="G243" t="s">
        <v>1407</v>
      </c>
      <c r="H243" t="s">
        <v>3893</v>
      </c>
      <c r="I243" t="s">
        <v>58</v>
      </c>
      <c r="J243" t="s">
        <v>3894</v>
      </c>
      <c r="K243" t="s">
        <v>330</v>
      </c>
      <c r="L243" t="s">
        <v>3076</v>
      </c>
      <c r="M243" t="s">
        <v>163</v>
      </c>
      <c r="N243" t="s">
        <v>417</v>
      </c>
      <c r="O243" t="s">
        <v>643</v>
      </c>
      <c r="P243" t="s">
        <v>1431</v>
      </c>
      <c r="Q243" t="s">
        <v>3895</v>
      </c>
      <c r="R243" t="s">
        <v>1359</v>
      </c>
      <c r="S243" t="s">
        <v>3896</v>
      </c>
      <c r="T243" t="s">
        <v>3897</v>
      </c>
      <c r="U243" t="s">
        <v>3898</v>
      </c>
      <c r="V243" t="s">
        <v>290</v>
      </c>
      <c r="W243" t="s">
        <v>726</v>
      </c>
      <c r="X243" t="s">
        <v>233</v>
      </c>
      <c r="Y243" t="s">
        <v>106</v>
      </c>
      <c r="Z243" t="s">
        <v>3899</v>
      </c>
      <c r="AA243" t="s">
        <v>236</v>
      </c>
      <c r="AB243" t="s">
        <v>263</v>
      </c>
      <c r="AC243" t="s">
        <v>651</v>
      </c>
      <c r="AD243" t="s">
        <v>210</v>
      </c>
      <c r="AE243" t="s">
        <v>406</v>
      </c>
      <c r="AF243">
        <v>62</v>
      </c>
      <c r="AG243">
        <v>0.08</v>
      </c>
      <c r="AJ243" t="s">
        <v>3900</v>
      </c>
      <c r="AK243" t="s">
        <v>79</v>
      </c>
      <c r="AL243" t="s">
        <v>3901</v>
      </c>
      <c r="AM243">
        <v>23.43</v>
      </c>
      <c r="AN243" t="s">
        <v>186</v>
      </c>
      <c r="AO243">
        <v>148</v>
      </c>
      <c r="AP243" t="s">
        <v>214</v>
      </c>
      <c r="AQ243" t="s">
        <v>318</v>
      </c>
      <c r="AT243">
        <v>0.3</v>
      </c>
      <c r="AU243" t="s">
        <v>163</v>
      </c>
      <c r="AV243" t="s">
        <v>1367</v>
      </c>
    </row>
    <row r="244" spans="1:50" x14ac:dyDescent="0.25">
      <c r="A244" t="s">
        <v>3902</v>
      </c>
      <c r="B244" t="s">
        <v>3903</v>
      </c>
      <c r="C244" t="s">
        <v>3904</v>
      </c>
      <c r="D244" t="s">
        <v>3905</v>
      </c>
      <c r="E244" t="s">
        <v>3906</v>
      </c>
      <c r="F244" t="s">
        <v>538</v>
      </c>
      <c r="G244" t="s">
        <v>3907</v>
      </c>
      <c r="H244" t="s">
        <v>3390</v>
      </c>
      <c r="J244" t="s">
        <v>3908</v>
      </c>
      <c r="K244" t="s">
        <v>280</v>
      </c>
      <c r="L244" t="s">
        <v>3909</v>
      </c>
      <c r="M244" t="s">
        <v>3910</v>
      </c>
      <c r="N244" t="s">
        <v>135</v>
      </c>
      <c r="O244" t="s">
        <v>777</v>
      </c>
      <c r="P244" t="s">
        <v>2490</v>
      </c>
      <c r="Q244" t="s">
        <v>3911</v>
      </c>
      <c r="R244" t="s">
        <v>1251</v>
      </c>
      <c r="S244" t="s">
        <v>3912</v>
      </c>
      <c r="T244" t="s">
        <v>3913</v>
      </c>
      <c r="U244" t="s">
        <v>134</v>
      </c>
      <c r="V244" t="s">
        <v>70</v>
      </c>
      <c r="W244" t="s">
        <v>174</v>
      </c>
      <c r="X244" t="s">
        <v>72</v>
      </c>
      <c r="Y244" t="s">
        <v>106</v>
      </c>
      <c r="Z244" t="s">
        <v>3914</v>
      </c>
      <c r="AA244" t="s">
        <v>75</v>
      </c>
      <c r="AB244" t="s">
        <v>179</v>
      </c>
      <c r="AC244">
        <v>5</v>
      </c>
      <c r="AD244" t="s">
        <v>314</v>
      </c>
      <c r="AE244" t="s">
        <v>110</v>
      </c>
      <c r="AF244">
        <v>1</v>
      </c>
      <c r="AG244" t="s">
        <v>211</v>
      </c>
      <c r="AJ244">
        <v>35.270000000000003</v>
      </c>
      <c r="AK244" t="s">
        <v>183</v>
      </c>
      <c r="AL244" t="s">
        <v>3915</v>
      </c>
      <c r="AM244" t="s">
        <v>3916</v>
      </c>
      <c r="AN244" t="s">
        <v>267</v>
      </c>
      <c r="AO244">
        <v>380</v>
      </c>
      <c r="AP244">
        <v>5</v>
      </c>
      <c r="AQ244" t="s">
        <v>242</v>
      </c>
      <c r="AR244">
        <v>0</v>
      </c>
      <c r="AU244" t="s">
        <v>91</v>
      </c>
      <c r="AV244" t="s">
        <v>922</v>
      </c>
      <c r="AW244" t="s">
        <v>122</v>
      </c>
      <c r="AX244" t="s">
        <v>85</v>
      </c>
    </row>
    <row r="245" spans="1:50" x14ac:dyDescent="0.25">
      <c r="A245" t="s">
        <v>3917</v>
      </c>
      <c r="B245" t="s">
        <v>3918</v>
      </c>
      <c r="C245" t="s">
        <v>3919</v>
      </c>
      <c r="D245" t="s">
        <v>3104</v>
      </c>
      <c r="E245" t="s">
        <v>134</v>
      </c>
      <c r="F245" t="s">
        <v>327</v>
      </c>
      <c r="G245" t="s">
        <v>951</v>
      </c>
      <c r="H245" t="s">
        <v>3107</v>
      </c>
      <c r="I245" t="s">
        <v>162</v>
      </c>
      <c r="K245" t="s">
        <v>59</v>
      </c>
      <c r="L245" t="s">
        <v>699</v>
      </c>
      <c r="M245" t="s">
        <v>142</v>
      </c>
      <c r="N245" t="s">
        <v>417</v>
      </c>
      <c r="O245" t="s">
        <v>543</v>
      </c>
      <c r="P245" t="s">
        <v>3920</v>
      </c>
      <c r="Q245" t="s">
        <v>3921</v>
      </c>
      <c r="R245" t="s">
        <v>564</v>
      </c>
      <c r="S245" t="s">
        <v>3922</v>
      </c>
      <c r="T245" t="s">
        <v>3923</v>
      </c>
      <c r="U245" t="s">
        <v>3924</v>
      </c>
      <c r="V245" t="s">
        <v>173</v>
      </c>
      <c r="W245" t="s">
        <v>206</v>
      </c>
      <c r="X245" t="s">
        <v>72</v>
      </c>
      <c r="Y245" t="s">
        <v>234</v>
      </c>
      <c r="Z245" t="s">
        <v>3925</v>
      </c>
      <c r="AA245" t="s">
        <v>144</v>
      </c>
      <c r="AB245" t="s">
        <v>108</v>
      </c>
      <c r="AC245">
        <v>1</v>
      </c>
      <c r="AD245" t="s">
        <v>237</v>
      </c>
      <c r="AE245" t="s">
        <v>110</v>
      </c>
      <c r="AF245">
        <v>18</v>
      </c>
      <c r="AG245" t="s">
        <v>111</v>
      </c>
      <c r="AJ245" t="s">
        <v>3926</v>
      </c>
      <c r="AK245" t="s">
        <v>113</v>
      </c>
      <c r="AL245" t="s">
        <v>3927</v>
      </c>
      <c r="AM245" t="s">
        <v>3928</v>
      </c>
      <c r="AN245" t="s">
        <v>267</v>
      </c>
      <c r="AO245">
        <v>282</v>
      </c>
      <c r="AP245">
        <v>1</v>
      </c>
      <c r="AQ245" t="s">
        <v>318</v>
      </c>
      <c r="AR245" t="s">
        <v>319</v>
      </c>
      <c r="AS245" t="s">
        <v>83</v>
      </c>
      <c r="AT245">
        <v>0.3</v>
      </c>
      <c r="AU245" t="s">
        <v>3929</v>
      </c>
      <c r="AV245" t="s">
        <v>3344</v>
      </c>
      <c r="AX245" t="s">
        <v>191</v>
      </c>
    </row>
    <row r="246" spans="1:50" x14ac:dyDescent="0.25">
      <c r="A246" t="s">
        <v>3930</v>
      </c>
      <c r="B246" t="s">
        <v>3931</v>
      </c>
      <c r="C246" t="s">
        <v>3932</v>
      </c>
      <c r="D246" t="s">
        <v>3933</v>
      </c>
      <c r="E246" t="s">
        <v>3934</v>
      </c>
      <c r="F246" t="s">
        <v>91</v>
      </c>
      <c r="G246">
        <v>15</v>
      </c>
      <c r="H246">
        <v>430.47</v>
      </c>
      <c r="I246" t="s">
        <v>58</v>
      </c>
      <c r="J246" t="s">
        <v>3935</v>
      </c>
      <c r="K246" t="s">
        <v>92</v>
      </c>
      <c r="L246" t="s">
        <v>741</v>
      </c>
      <c r="M246" t="s">
        <v>142</v>
      </c>
      <c r="N246" t="s">
        <v>95</v>
      </c>
      <c r="O246" t="s">
        <v>836</v>
      </c>
      <c r="P246" t="s">
        <v>1342</v>
      </c>
      <c r="Q246" t="s">
        <v>3936</v>
      </c>
      <c r="R246" t="s">
        <v>464</v>
      </c>
      <c r="S246" t="s">
        <v>3937</v>
      </c>
      <c r="T246" t="s">
        <v>3938</v>
      </c>
      <c r="U246" t="s">
        <v>3939</v>
      </c>
      <c r="V246" t="s">
        <v>103</v>
      </c>
      <c r="W246" t="s">
        <v>311</v>
      </c>
      <c r="X246" t="s">
        <v>233</v>
      </c>
      <c r="Y246" t="s">
        <v>337</v>
      </c>
      <c r="Z246" t="s">
        <v>3940</v>
      </c>
      <c r="AA246" t="s">
        <v>236</v>
      </c>
      <c r="AB246" t="s">
        <v>405</v>
      </c>
      <c r="AC246">
        <v>7</v>
      </c>
      <c r="AD246" t="s">
        <v>146</v>
      </c>
      <c r="AE246" t="s">
        <v>110</v>
      </c>
      <c r="AF246">
        <v>90</v>
      </c>
      <c r="AG246" t="s">
        <v>211</v>
      </c>
      <c r="AJ246" t="s">
        <v>3941</v>
      </c>
      <c r="AK246" t="s">
        <v>183</v>
      </c>
      <c r="AL246" t="s">
        <v>3942</v>
      </c>
      <c r="AM246">
        <v>1.1499999999999999</v>
      </c>
      <c r="AN246" t="s">
        <v>150</v>
      </c>
      <c r="AO246">
        <v>47</v>
      </c>
      <c r="AP246" t="s">
        <v>187</v>
      </c>
      <c r="AQ246" t="s">
        <v>117</v>
      </c>
      <c r="AT246" t="s">
        <v>119</v>
      </c>
      <c r="AU246">
        <v>193.71</v>
      </c>
      <c r="AV246" t="s">
        <v>3943</v>
      </c>
      <c r="AW246" t="s">
        <v>122</v>
      </c>
      <c r="AX246" t="s">
        <v>270</v>
      </c>
    </row>
    <row r="247" spans="1:50" x14ac:dyDescent="0.25">
      <c r="A247" t="s">
        <v>3944</v>
      </c>
      <c r="B247" t="s">
        <v>3945</v>
      </c>
      <c r="C247" t="s">
        <v>3946</v>
      </c>
      <c r="D247" t="s">
        <v>3947</v>
      </c>
      <c r="E247" t="s">
        <v>1355</v>
      </c>
      <c r="F247" t="s">
        <v>327</v>
      </c>
      <c r="G247">
        <v>24</v>
      </c>
      <c r="H247" t="s">
        <v>415</v>
      </c>
      <c r="I247" t="s">
        <v>253</v>
      </c>
      <c r="J247" t="s">
        <v>3948</v>
      </c>
      <c r="K247" t="s">
        <v>280</v>
      </c>
      <c r="L247" t="s">
        <v>197</v>
      </c>
      <c r="M247" t="s">
        <v>3949</v>
      </c>
      <c r="N247" t="s">
        <v>417</v>
      </c>
      <c r="O247" t="s">
        <v>760</v>
      </c>
      <c r="P247" t="s">
        <v>3950</v>
      </c>
      <c r="Q247" t="s">
        <v>3951</v>
      </c>
      <c r="R247" t="s">
        <v>258</v>
      </c>
      <c r="S247" t="s">
        <v>3952</v>
      </c>
      <c r="T247" t="s">
        <v>3953</v>
      </c>
      <c r="U247" t="s">
        <v>3954</v>
      </c>
      <c r="V247" t="s">
        <v>205</v>
      </c>
      <c r="W247" t="s">
        <v>71</v>
      </c>
      <c r="X247" t="s">
        <v>72</v>
      </c>
      <c r="Y247" t="s">
        <v>176</v>
      </c>
      <c r="Z247" t="s">
        <v>3955</v>
      </c>
      <c r="AA247" t="s">
        <v>19</v>
      </c>
      <c r="AB247" t="s">
        <v>179</v>
      </c>
      <c r="AC247" t="s">
        <v>3282</v>
      </c>
      <c r="AD247">
        <v>2025</v>
      </c>
      <c r="AE247" t="s">
        <v>77</v>
      </c>
      <c r="AF247">
        <v>72</v>
      </c>
      <c r="AG247" t="s">
        <v>111</v>
      </c>
      <c r="AJ247" t="s">
        <v>3853</v>
      </c>
      <c r="AK247" t="s">
        <v>79</v>
      </c>
      <c r="AL247" t="s">
        <v>3956</v>
      </c>
      <c r="AM247" t="s">
        <v>3957</v>
      </c>
      <c r="AN247" t="s">
        <v>116</v>
      </c>
      <c r="AO247">
        <v>160</v>
      </c>
      <c r="AP247">
        <v>2</v>
      </c>
      <c r="AQ247" t="s">
        <v>610</v>
      </c>
      <c r="AR247" t="s">
        <v>319</v>
      </c>
      <c r="AS247" t="s">
        <v>429</v>
      </c>
      <c r="AT247">
        <v>0.3</v>
      </c>
      <c r="AU247" t="s">
        <v>142</v>
      </c>
      <c r="AV247" t="s">
        <v>3958</v>
      </c>
      <c r="AW247" t="s">
        <v>3959</v>
      </c>
      <c r="AX247" t="s">
        <v>191</v>
      </c>
    </row>
    <row r="248" spans="1:50" x14ac:dyDescent="0.25">
      <c r="A248" t="s">
        <v>3960</v>
      </c>
      <c r="B248" t="s">
        <v>3961</v>
      </c>
      <c r="C248" t="s">
        <v>3962</v>
      </c>
      <c r="D248" t="s">
        <v>2353</v>
      </c>
      <c r="E248" t="s">
        <v>3963</v>
      </c>
      <c r="F248" t="s">
        <v>1563</v>
      </c>
      <c r="G248" t="s">
        <v>3964</v>
      </c>
      <c r="H248" t="s">
        <v>1863</v>
      </c>
      <c r="I248" t="s">
        <v>162</v>
      </c>
      <c r="J248" t="s">
        <v>3965</v>
      </c>
      <c r="K248" t="s">
        <v>92</v>
      </c>
      <c r="L248" t="s">
        <v>225</v>
      </c>
      <c r="M248" t="s">
        <v>3966</v>
      </c>
      <c r="N248" t="s">
        <v>62</v>
      </c>
      <c r="O248" t="s">
        <v>136</v>
      </c>
      <c r="P248" t="s">
        <v>284</v>
      </c>
      <c r="Q248" t="s">
        <v>3967</v>
      </c>
      <c r="R248" t="s">
        <v>1502</v>
      </c>
      <c r="S248" t="s">
        <v>3968</v>
      </c>
      <c r="T248" t="s">
        <v>3969</v>
      </c>
      <c r="U248" t="s">
        <v>3970</v>
      </c>
      <c r="V248" t="s">
        <v>290</v>
      </c>
      <c r="W248" t="s">
        <v>104</v>
      </c>
      <c r="X248" t="s">
        <v>207</v>
      </c>
      <c r="Y248" t="s">
        <v>337</v>
      </c>
      <c r="Z248" t="s">
        <v>3971</v>
      </c>
      <c r="AA248" t="s">
        <v>75</v>
      </c>
      <c r="AB248" t="s">
        <v>405</v>
      </c>
      <c r="AC248" t="s">
        <v>264</v>
      </c>
      <c r="AD248">
        <v>2026</v>
      </c>
      <c r="AE248" t="s">
        <v>406</v>
      </c>
      <c r="AF248">
        <v>35</v>
      </c>
      <c r="AG248">
        <v>0.08</v>
      </c>
      <c r="AJ248">
        <v>14.93</v>
      </c>
      <c r="AK248" t="s">
        <v>183</v>
      </c>
      <c r="AL248" t="s">
        <v>3972</v>
      </c>
      <c r="AM248">
        <v>18.12</v>
      </c>
      <c r="AN248" t="s">
        <v>82</v>
      </c>
      <c r="AO248">
        <v>225</v>
      </c>
      <c r="AP248">
        <v>3</v>
      </c>
      <c r="AQ248" t="s">
        <v>610</v>
      </c>
      <c r="AR248" t="s">
        <v>243</v>
      </c>
      <c r="AS248" t="s">
        <v>83</v>
      </c>
      <c r="AT248" t="s">
        <v>361</v>
      </c>
      <c r="AU248" t="s">
        <v>91</v>
      </c>
      <c r="AV248" t="s">
        <v>3973</v>
      </c>
      <c r="AX248" t="s">
        <v>270</v>
      </c>
    </row>
    <row r="249" spans="1:50" x14ac:dyDescent="0.25">
      <c r="A249" t="s">
        <v>3974</v>
      </c>
      <c r="B249" t="s">
        <v>3975</v>
      </c>
      <c r="C249" t="s">
        <v>3976</v>
      </c>
      <c r="D249" t="s">
        <v>3977</v>
      </c>
      <c r="E249" t="s">
        <v>134</v>
      </c>
      <c r="F249" t="s">
        <v>327</v>
      </c>
      <c r="G249" t="s">
        <v>1718</v>
      </c>
      <c r="H249" t="s">
        <v>1267</v>
      </c>
      <c r="I249">
        <v>0</v>
      </c>
      <c r="J249" t="s">
        <v>3978</v>
      </c>
      <c r="K249" t="s">
        <v>330</v>
      </c>
      <c r="L249" t="s">
        <v>2566</v>
      </c>
      <c r="M249" t="s">
        <v>134</v>
      </c>
      <c r="N249" t="s">
        <v>62</v>
      </c>
      <c r="O249" t="s">
        <v>502</v>
      </c>
      <c r="P249" t="s">
        <v>955</v>
      </c>
      <c r="Q249" t="s">
        <v>3979</v>
      </c>
      <c r="R249" t="s">
        <v>646</v>
      </c>
      <c r="S249" t="s">
        <v>3980</v>
      </c>
      <c r="T249" t="s">
        <v>3981</v>
      </c>
      <c r="U249" t="s">
        <v>3982</v>
      </c>
      <c r="V249" t="s">
        <v>173</v>
      </c>
      <c r="W249" t="s">
        <v>311</v>
      </c>
      <c r="X249" t="s">
        <v>207</v>
      </c>
      <c r="Y249" t="s">
        <v>337</v>
      </c>
      <c r="Z249" t="s">
        <v>3983</v>
      </c>
      <c r="AA249" t="s">
        <v>144</v>
      </c>
      <c r="AB249" t="s">
        <v>108</v>
      </c>
      <c r="AC249" t="s">
        <v>180</v>
      </c>
      <c r="AD249">
        <v>2026</v>
      </c>
      <c r="AE249" t="s">
        <v>77</v>
      </c>
      <c r="AF249">
        <v>58</v>
      </c>
      <c r="AG249" t="s">
        <v>111</v>
      </c>
      <c r="AJ249">
        <v>27.51</v>
      </c>
      <c r="AK249" t="s">
        <v>571</v>
      </c>
      <c r="AL249" t="s">
        <v>3984</v>
      </c>
      <c r="AM249" t="s">
        <v>3985</v>
      </c>
      <c r="AN249" t="s">
        <v>150</v>
      </c>
      <c r="AO249">
        <v>147</v>
      </c>
      <c r="AP249">
        <v>3</v>
      </c>
      <c r="AR249" t="s">
        <v>188</v>
      </c>
      <c r="AS249" t="s">
        <v>83</v>
      </c>
      <c r="AU249">
        <v>453.87</v>
      </c>
      <c r="AV249" t="s">
        <v>3635</v>
      </c>
      <c r="AX249" t="s">
        <v>85</v>
      </c>
    </row>
    <row r="250" spans="1:50" x14ac:dyDescent="0.25">
      <c r="A250" t="s">
        <v>3986</v>
      </c>
      <c r="B250" t="s">
        <v>3987</v>
      </c>
      <c r="C250" t="s">
        <v>3988</v>
      </c>
      <c r="D250" t="s">
        <v>1701</v>
      </c>
      <c r="E250" t="s">
        <v>2185</v>
      </c>
      <c r="F250" t="s">
        <v>3349</v>
      </c>
      <c r="G250" t="s">
        <v>2946</v>
      </c>
      <c r="H250" t="s">
        <v>1703</v>
      </c>
      <c r="I250" t="s">
        <v>58</v>
      </c>
      <c r="J250">
        <v>1067.31</v>
      </c>
      <c r="K250" t="s">
        <v>330</v>
      </c>
      <c r="L250" t="s">
        <v>350</v>
      </c>
      <c r="M250" t="s">
        <v>91</v>
      </c>
      <c r="N250" t="s">
        <v>396</v>
      </c>
      <c r="O250" t="s">
        <v>643</v>
      </c>
      <c r="P250" t="s">
        <v>3989</v>
      </c>
      <c r="Q250" t="s">
        <v>3990</v>
      </c>
      <c r="R250" t="s">
        <v>400</v>
      </c>
      <c r="S250" t="s">
        <v>3991</v>
      </c>
      <c r="T250" t="s">
        <v>3992</v>
      </c>
      <c r="U250" t="s">
        <v>3993</v>
      </c>
      <c r="V250" t="s">
        <v>103</v>
      </c>
      <c r="W250" t="s">
        <v>311</v>
      </c>
      <c r="X250" t="s">
        <v>105</v>
      </c>
      <c r="Y250" t="s">
        <v>118</v>
      </c>
      <c r="Z250" t="s">
        <v>3994</v>
      </c>
      <c r="AA250" t="s">
        <v>236</v>
      </c>
      <c r="AB250" t="s">
        <v>179</v>
      </c>
      <c r="AC250" t="s">
        <v>264</v>
      </c>
      <c r="AD250">
        <v>2025</v>
      </c>
      <c r="AE250" t="s">
        <v>77</v>
      </c>
      <c r="AF250">
        <v>83</v>
      </c>
      <c r="AG250" t="s">
        <v>238</v>
      </c>
      <c r="AJ250" t="s">
        <v>3995</v>
      </c>
      <c r="AK250" t="s">
        <v>571</v>
      </c>
      <c r="AL250" t="s">
        <v>3996</v>
      </c>
      <c r="AM250">
        <v>14.4</v>
      </c>
      <c r="AN250" t="s">
        <v>82</v>
      </c>
      <c r="AO250">
        <v>148</v>
      </c>
      <c r="AQ250" t="s">
        <v>151</v>
      </c>
      <c r="AR250" t="s">
        <v>188</v>
      </c>
      <c r="AT250">
        <v>0.3</v>
      </c>
      <c r="AU250" t="s">
        <v>142</v>
      </c>
      <c r="AV250" t="s">
        <v>3997</v>
      </c>
      <c r="AX250" t="s">
        <v>246</v>
      </c>
    </row>
    <row r="251" spans="1:50" x14ac:dyDescent="0.25">
      <c r="A251" t="s">
        <v>3998</v>
      </c>
      <c r="B251" t="s">
        <v>3999</v>
      </c>
      <c r="C251" t="s">
        <v>4000</v>
      </c>
      <c r="D251" t="s">
        <v>4001</v>
      </c>
      <c r="E251" t="s">
        <v>4002</v>
      </c>
      <c r="F251" t="s">
        <v>299</v>
      </c>
      <c r="G251" t="s">
        <v>871</v>
      </c>
      <c r="H251" t="s">
        <v>4003</v>
      </c>
      <c r="J251" t="s">
        <v>4004</v>
      </c>
      <c r="K251" t="s">
        <v>59</v>
      </c>
      <c r="L251" t="s">
        <v>1392</v>
      </c>
      <c r="M251" t="s">
        <v>91</v>
      </c>
      <c r="N251" t="s">
        <v>166</v>
      </c>
      <c r="O251" t="s">
        <v>854</v>
      </c>
      <c r="P251" t="s">
        <v>4005</v>
      </c>
      <c r="Q251" t="s">
        <v>4006</v>
      </c>
      <c r="R251" t="s">
        <v>1395</v>
      </c>
      <c r="S251" t="s">
        <v>4007</v>
      </c>
      <c r="T251" t="s">
        <v>4008</v>
      </c>
      <c r="U251" t="s">
        <v>4009</v>
      </c>
      <c r="V251" t="s">
        <v>290</v>
      </c>
      <c r="W251" t="s">
        <v>206</v>
      </c>
      <c r="X251" t="s">
        <v>72</v>
      </c>
      <c r="Y251" t="s">
        <v>106</v>
      </c>
      <c r="Z251" t="s">
        <v>4010</v>
      </c>
      <c r="AA251" t="s">
        <v>144</v>
      </c>
      <c r="AB251" t="s">
        <v>405</v>
      </c>
      <c r="AC251" t="s">
        <v>569</v>
      </c>
      <c r="AD251" t="s">
        <v>210</v>
      </c>
      <c r="AE251" t="s">
        <v>181</v>
      </c>
      <c r="AF251" t="s">
        <v>142</v>
      </c>
      <c r="AG251">
        <v>0.08</v>
      </c>
      <c r="AJ251">
        <v>9.3699999999999992</v>
      </c>
      <c r="AK251" t="s">
        <v>147</v>
      </c>
      <c r="AL251" t="s">
        <v>4011</v>
      </c>
      <c r="AM251" t="s">
        <v>4012</v>
      </c>
      <c r="AN251" t="s">
        <v>150</v>
      </c>
      <c r="AO251">
        <v>163</v>
      </c>
      <c r="AP251">
        <v>3</v>
      </c>
      <c r="AR251">
        <v>1</v>
      </c>
      <c r="AT251">
        <v>0.3</v>
      </c>
      <c r="AU251" t="s">
        <v>4013</v>
      </c>
      <c r="AV251" t="s">
        <v>4014</v>
      </c>
      <c r="AW251" t="s">
        <v>122</v>
      </c>
      <c r="AX251" t="s">
        <v>270</v>
      </c>
    </row>
    <row r="252" spans="1:50" x14ac:dyDescent="0.25">
      <c r="A252" t="s">
        <v>4015</v>
      </c>
      <c r="B252" t="s">
        <v>556</v>
      </c>
      <c r="C252" t="s">
        <v>4016</v>
      </c>
      <c r="D252" t="s">
        <v>4017</v>
      </c>
      <c r="E252" t="s">
        <v>163</v>
      </c>
      <c r="F252" t="s">
        <v>2219</v>
      </c>
      <c r="G252" t="s">
        <v>3907</v>
      </c>
      <c r="H252" t="s">
        <v>4018</v>
      </c>
      <c r="I252" t="s">
        <v>58</v>
      </c>
      <c r="J252" t="s">
        <v>4019</v>
      </c>
      <c r="K252" t="s">
        <v>330</v>
      </c>
      <c r="L252" t="s">
        <v>1009</v>
      </c>
      <c r="M252" t="s">
        <v>4020</v>
      </c>
      <c r="N252" t="s">
        <v>62</v>
      </c>
      <c r="O252" t="s">
        <v>643</v>
      </c>
      <c r="P252" t="s">
        <v>4021</v>
      </c>
      <c r="Q252" t="s">
        <v>4022</v>
      </c>
      <c r="R252" t="s">
        <v>1395</v>
      </c>
      <c r="S252" t="s">
        <v>4023</v>
      </c>
      <c r="T252" t="s">
        <v>4024</v>
      </c>
      <c r="U252" t="s">
        <v>4025</v>
      </c>
      <c r="V252" t="s">
        <v>70</v>
      </c>
      <c r="W252" t="s">
        <v>726</v>
      </c>
      <c r="X252" t="s">
        <v>233</v>
      </c>
      <c r="Y252" t="s">
        <v>118</v>
      </c>
      <c r="Z252" t="s">
        <v>4026</v>
      </c>
      <c r="AA252" t="s">
        <v>75</v>
      </c>
      <c r="AB252" t="s">
        <v>528</v>
      </c>
      <c r="AC252" t="s">
        <v>569</v>
      </c>
      <c r="AD252" t="s">
        <v>237</v>
      </c>
      <c r="AE252" t="s">
        <v>406</v>
      </c>
      <c r="AF252">
        <v>69</v>
      </c>
      <c r="AG252">
        <v>0.08</v>
      </c>
      <c r="AJ252" t="s">
        <v>4027</v>
      </c>
      <c r="AK252" t="s">
        <v>571</v>
      </c>
      <c r="AL252" t="s">
        <v>4028</v>
      </c>
      <c r="AM252" t="s">
        <v>4029</v>
      </c>
      <c r="AN252" t="s">
        <v>116</v>
      </c>
      <c r="AO252">
        <v>393</v>
      </c>
      <c r="AP252">
        <v>4</v>
      </c>
      <c r="AQ252" t="s">
        <v>318</v>
      </c>
      <c r="AS252" t="s">
        <v>215</v>
      </c>
      <c r="AT252" t="s">
        <v>152</v>
      </c>
      <c r="AU252">
        <v>306.75</v>
      </c>
      <c r="AV252" t="s">
        <v>4030</v>
      </c>
      <c r="AW252" t="s">
        <v>122</v>
      </c>
      <c r="AX252" t="s">
        <v>270</v>
      </c>
    </row>
    <row r="253" spans="1:50" x14ac:dyDescent="0.25">
      <c r="A253" t="s">
        <v>4031</v>
      </c>
      <c r="B253" t="s">
        <v>4032</v>
      </c>
      <c r="C253" t="s">
        <v>4033</v>
      </c>
      <c r="D253" t="s">
        <v>4034</v>
      </c>
      <c r="E253" t="s">
        <v>4035</v>
      </c>
      <c r="F253" t="s">
        <v>4036</v>
      </c>
      <c r="G253" t="s">
        <v>2356</v>
      </c>
      <c r="H253" t="s">
        <v>3452</v>
      </c>
      <c r="I253">
        <v>0.1</v>
      </c>
      <c r="J253" t="s">
        <v>134</v>
      </c>
      <c r="K253" t="s">
        <v>280</v>
      </c>
      <c r="L253" t="s">
        <v>2203</v>
      </c>
      <c r="M253" t="s">
        <v>134</v>
      </c>
      <c r="N253" t="s">
        <v>95</v>
      </c>
      <c r="O253" t="s">
        <v>954</v>
      </c>
      <c r="P253" t="s">
        <v>4037</v>
      </c>
      <c r="Q253" t="s">
        <v>4038</v>
      </c>
      <c r="R253" t="s">
        <v>201</v>
      </c>
      <c r="S253" t="s">
        <v>4039</v>
      </c>
      <c r="T253" t="s">
        <v>4040</v>
      </c>
      <c r="U253" t="s">
        <v>163</v>
      </c>
      <c r="V253" t="s">
        <v>103</v>
      </c>
      <c r="W253" t="s">
        <v>206</v>
      </c>
      <c r="X253" t="s">
        <v>207</v>
      </c>
      <c r="Y253" t="s">
        <v>234</v>
      </c>
      <c r="Z253" t="s">
        <v>4041</v>
      </c>
      <c r="AA253" t="s">
        <v>144</v>
      </c>
      <c r="AB253" t="s">
        <v>76</v>
      </c>
      <c r="AC253" t="s">
        <v>569</v>
      </c>
      <c r="AD253" t="s">
        <v>146</v>
      </c>
      <c r="AE253" t="s">
        <v>77</v>
      </c>
      <c r="AF253">
        <v>5</v>
      </c>
      <c r="AG253" t="s">
        <v>238</v>
      </c>
      <c r="AJ253" t="s">
        <v>134</v>
      </c>
      <c r="AK253" t="s">
        <v>240</v>
      </c>
      <c r="AL253" t="s">
        <v>4042</v>
      </c>
      <c r="AM253" t="s">
        <v>2844</v>
      </c>
      <c r="AN253" t="s">
        <v>82</v>
      </c>
      <c r="AO253">
        <v>58</v>
      </c>
      <c r="AP253">
        <v>5</v>
      </c>
      <c r="AQ253" t="s">
        <v>786</v>
      </c>
      <c r="AR253" t="s">
        <v>188</v>
      </c>
      <c r="AT253">
        <v>0.3</v>
      </c>
      <c r="AU253" t="s">
        <v>4043</v>
      </c>
      <c r="AV253" t="s">
        <v>4044</v>
      </c>
      <c r="AW253" t="s">
        <v>4044</v>
      </c>
      <c r="AX253" t="s">
        <v>191</v>
      </c>
    </row>
    <row r="255" spans="1:50" x14ac:dyDescent="0.25">
      <c r="A255" t="s">
        <v>4045</v>
      </c>
      <c r="B255" t="s">
        <v>4046</v>
      </c>
      <c r="C255" t="s">
        <v>4047</v>
      </c>
      <c r="D255" t="s">
        <v>1263</v>
      </c>
      <c r="E255" t="s">
        <v>91</v>
      </c>
      <c r="F255" t="s">
        <v>327</v>
      </c>
      <c r="G255" t="s">
        <v>4048</v>
      </c>
      <c r="H255" t="s">
        <v>4049</v>
      </c>
      <c r="I255">
        <v>0.1</v>
      </c>
      <c r="J255" t="s">
        <v>4050</v>
      </c>
      <c r="K255" t="s">
        <v>59</v>
      </c>
      <c r="L255" t="s">
        <v>2045</v>
      </c>
      <c r="M255" t="s">
        <v>4051</v>
      </c>
      <c r="N255" t="s">
        <v>95</v>
      </c>
      <c r="O255" t="s">
        <v>63</v>
      </c>
      <c r="P255" t="s">
        <v>4052</v>
      </c>
      <c r="Q255" t="s">
        <v>4053</v>
      </c>
      <c r="R255" t="s">
        <v>2076</v>
      </c>
      <c r="S255" t="s">
        <v>4054</v>
      </c>
      <c r="T255" t="s">
        <v>1273</v>
      </c>
      <c r="U255" t="s">
        <v>4055</v>
      </c>
      <c r="V255" t="s">
        <v>205</v>
      </c>
      <c r="W255" t="s">
        <v>726</v>
      </c>
      <c r="X255" t="s">
        <v>105</v>
      </c>
      <c r="Y255" t="s">
        <v>176</v>
      </c>
      <c r="Z255" t="s">
        <v>4056</v>
      </c>
      <c r="AA255" t="s">
        <v>236</v>
      </c>
      <c r="AB255" t="s">
        <v>263</v>
      </c>
      <c r="AC255" t="s">
        <v>145</v>
      </c>
      <c r="AD255">
        <v>2025</v>
      </c>
      <c r="AE255" t="s">
        <v>406</v>
      </c>
      <c r="AF255">
        <v>42</v>
      </c>
      <c r="AG255" t="s">
        <v>111</v>
      </c>
      <c r="AJ255" t="s">
        <v>4057</v>
      </c>
      <c r="AK255" t="s">
        <v>571</v>
      </c>
      <c r="AL255" t="s">
        <v>4058</v>
      </c>
      <c r="AM255" t="s">
        <v>4059</v>
      </c>
      <c r="AN255" t="s">
        <v>267</v>
      </c>
      <c r="AO255">
        <v>279</v>
      </c>
      <c r="AP255">
        <v>4.5</v>
      </c>
      <c r="AQ255" t="s">
        <v>786</v>
      </c>
      <c r="AR255" t="s">
        <v>118</v>
      </c>
      <c r="AS255" t="s">
        <v>83</v>
      </c>
      <c r="AT255" t="s">
        <v>361</v>
      </c>
      <c r="AV255" t="s">
        <v>4060</v>
      </c>
      <c r="AW255" t="s">
        <v>122</v>
      </c>
    </row>
    <row r="256" spans="1:50" x14ac:dyDescent="0.25">
      <c r="A256" t="s">
        <v>4061</v>
      </c>
      <c r="B256" t="s">
        <v>4062</v>
      </c>
      <c r="C256" t="s">
        <v>4063</v>
      </c>
      <c r="D256" t="s">
        <v>4064</v>
      </c>
      <c r="E256" t="s">
        <v>4065</v>
      </c>
      <c r="F256" t="s">
        <v>928</v>
      </c>
      <c r="G256" t="s">
        <v>4066</v>
      </c>
      <c r="H256" t="s">
        <v>4067</v>
      </c>
      <c r="I256" t="s">
        <v>253</v>
      </c>
      <c r="J256" t="s">
        <v>4068</v>
      </c>
      <c r="K256" t="s">
        <v>59</v>
      </c>
      <c r="L256" t="s">
        <v>1410</v>
      </c>
      <c r="M256" t="s">
        <v>884</v>
      </c>
      <c r="N256" t="s">
        <v>62</v>
      </c>
      <c r="O256" t="s">
        <v>96</v>
      </c>
      <c r="P256" t="s">
        <v>4069</v>
      </c>
      <c r="Q256" t="s">
        <v>4070</v>
      </c>
      <c r="R256" t="s">
        <v>1178</v>
      </c>
      <c r="S256" t="s">
        <v>4071</v>
      </c>
      <c r="T256" t="s">
        <v>4072</v>
      </c>
      <c r="U256" t="s">
        <v>4073</v>
      </c>
      <c r="V256" t="s">
        <v>70</v>
      </c>
      <c r="W256" t="s">
        <v>174</v>
      </c>
      <c r="X256" t="s">
        <v>105</v>
      </c>
      <c r="Y256" t="s">
        <v>176</v>
      </c>
      <c r="Z256" t="s">
        <v>4074</v>
      </c>
      <c r="AA256" t="s">
        <v>178</v>
      </c>
      <c r="AB256" t="s">
        <v>108</v>
      </c>
      <c r="AC256">
        <v>11</v>
      </c>
      <c r="AD256">
        <v>2025</v>
      </c>
      <c r="AE256" t="s">
        <v>181</v>
      </c>
      <c r="AF256">
        <v>66</v>
      </c>
      <c r="AG256">
        <v>0.08</v>
      </c>
      <c r="AJ256">
        <v>22.19</v>
      </c>
      <c r="AK256" t="s">
        <v>79</v>
      </c>
      <c r="AL256" t="s">
        <v>4075</v>
      </c>
      <c r="AM256">
        <v>15.83</v>
      </c>
      <c r="AN256" t="s">
        <v>82</v>
      </c>
      <c r="AO256">
        <v>356</v>
      </c>
      <c r="AR256">
        <v>0</v>
      </c>
      <c r="AS256" t="s">
        <v>83</v>
      </c>
      <c r="AU256" t="s">
        <v>4076</v>
      </c>
      <c r="AV256" t="s">
        <v>4077</v>
      </c>
      <c r="AW256" t="s">
        <v>1019</v>
      </c>
      <c r="AX256" t="s">
        <v>246</v>
      </c>
    </row>
    <row r="257" spans="1:50" x14ac:dyDescent="0.25">
      <c r="A257" t="s">
        <v>4078</v>
      </c>
      <c r="B257" t="s">
        <v>4079</v>
      </c>
      <c r="C257" t="s">
        <v>4080</v>
      </c>
      <c r="D257" t="s">
        <v>4081</v>
      </c>
      <c r="E257" t="s">
        <v>142</v>
      </c>
      <c r="F257" t="s">
        <v>327</v>
      </c>
      <c r="G257" t="s">
        <v>1862</v>
      </c>
      <c r="H257">
        <v>334.59</v>
      </c>
      <c r="I257" t="s">
        <v>58</v>
      </c>
      <c r="J257" t="s">
        <v>4082</v>
      </c>
      <c r="K257" t="s">
        <v>92</v>
      </c>
      <c r="L257" t="s">
        <v>973</v>
      </c>
      <c r="M257" t="s">
        <v>2947</v>
      </c>
      <c r="N257" t="s">
        <v>135</v>
      </c>
      <c r="O257" t="s">
        <v>1122</v>
      </c>
      <c r="P257" t="s">
        <v>855</v>
      </c>
      <c r="Q257" t="s">
        <v>4083</v>
      </c>
      <c r="R257" t="s">
        <v>646</v>
      </c>
      <c r="S257" t="s">
        <v>4084</v>
      </c>
      <c r="T257" t="s">
        <v>4085</v>
      </c>
      <c r="U257" t="s">
        <v>4086</v>
      </c>
      <c r="V257" t="s">
        <v>290</v>
      </c>
      <c r="W257" t="s">
        <v>104</v>
      </c>
      <c r="X257" t="s">
        <v>233</v>
      </c>
      <c r="Y257" t="s">
        <v>106</v>
      </c>
      <c r="Z257" t="s">
        <v>4087</v>
      </c>
      <c r="AA257" t="s">
        <v>178</v>
      </c>
      <c r="AB257" t="s">
        <v>263</v>
      </c>
      <c r="AC257">
        <v>2</v>
      </c>
      <c r="AD257">
        <v>2025</v>
      </c>
      <c r="AE257" t="s">
        <v>110</v>
      </c>
      <c r="AF257">
        <v>12</v>
      </c>
      <c r="AG257" t="s">
        <v>111</v>
      </c>
      <c r="AJ257" t="s">
        <v>4088</v>
      </c>
      <c r="AK257" t="s">
        <v>183</v>
      </c>
      <c r="AL257" t="s">
        <v>4089</v>
      </c>
      <c r="AM257" t="s">
        <v>3525</v>
      </c>
      <c r="AN257" t="s">
        <v>116</v>
      </c>
      <c r="AO257">
        <v>77</v>
      </c>
      <c r="AP257">
        <v>4</v>
      </c>
      <c r="AS257" t="s">
        <v>429</v>
      </c>
      <c r="AU257" t="s">
        <v>134</v>
      </c>
      <c r="AV257" t="s">
        <v>4090</v>
      </c>
      <c r="AW257" t="s">
        <v>1301</v>
      </c>
      <c r="AX257" t="s">
        <v>85</v>
      </c>
    </row>
    <row r="258" spans="1:50" x14ac:dyDescent="0.25">
      <c r="A258" t="s">
        <v>4091</v>
      </c>
      <c r="B258" t="s">
        <v>4092</v>
      </c>
      <c r="C258" t="s">
        <v>4093</v>
      </c>
      <c r="D258" t="s">
        <v>4094</v>
      </c>
      <c r="E258" t="s">
        <v>4095</v>
      </c>
      <c r="F258" t="s">
        <v>134</v>
      </c>
      <c r="G258" t="s">
        <v>1407</v>
      </c>
      <c r="H258" t="s">
        <v>4096</v>
      </c>
      <c r="I258">
        <v>0</v>
      </c>
      <c r="J258" t="s">
        <v>4097</v>
      </c>
      <c r="K258" t="s">
        <v>59</v>
      </c>
      <c r="L258" t="s">
        <v>93</v>
      </c>
      <c r="M258" t="s">
        <v>374</v>
      </c>
      <c r="N258" t="s">
        <v>95</v>
      </c>
      <c r="O258" t="s">
        <v>1230</v>
      </c>
      <c r="P258" t="s">
        <v>1982</v>
      </c>
      <c r="Q258" t="s">
        <v>4098</v>
      </c>
      <c r="R258" t="s">
        <v>484</v>
      </c>
      <c r="S258" t="s">
        <v>4099</v>
      </c>
      <c r="T258" t="s">
        <v>4100</v>
      </c>
      <c r="U258" t="s">
        <v>4101</v>
      </c>
      <c r="V258" t="s">
        <v>290</v>
      </c>
      <c r="W258" t="s">
        <v>71</v>
      </c>
      <c r="X258" t="s">
        <v>424</v>
      </c>
      <c r="Y258" t="s">
        <v>73</v>
      </c>
      <c r="Z258" t="s">
        <v>4102</v>
      </c>
      <c r="AA258" t="s">
        <v>144</v>
      </c>
      <c r="AB258" t="s">
        <v>528</v>
      </c>
      <c r="AC258" t="s">
        <v>313</v>
      </c>
      <c r="AD258" t="s">
        <v>314</v>
      </c>
      <c r="AE258" t="s">
        <v>77</v>
      </c>
      <c r="AF258">
        <v>45</v>
      </c>
      <c r="AG258" t="s">
        <v>111</v>
      </c>
      <c r="AJ258">
        <v>13.14</v>
      </c>
      <c r="AK258" t="s">
        <v>79</v>
      </c>
      <c r="AL258" t="s">
        <v>4103</v>
      </c>
      <c r="AM258">
        <v>28.73</v>
      </c>
      <c r="AN258" t="s">
        <v>150</v>
      </c>
      <c r="AO258">
        <v>59</v>
      </c>
      <c r="AP258">
        <v>4</v>
      </c>
      <c r="AQ258" t="s">
        <v>318</v>
      </c>
      <c r="AS258" t="s">
        <v>429</v>
      </c>
      <c r="AT258" t="s">
        <v>361</v>
      </c>
      <c r="AU258" t="s">
        <v>91</v>
      </c>
      <c r="AV258" t="s">
        <v>4104</v>
      </c>
      <c r="AW258" t="s">
        <v>122</v>
      </c>
      <c r="AX258" t="s">
        <v>246</v>
      </c>
    </row>
    <row r="259" spans="1:50" x14ac:dyDescent="0.25">
      <c r="A259" t="s">
        <v>4105</v>
      </c>
      <c r="B259" t="s">
        <v>4106</v>
      </c>
      <c r="C259" t="s">
        <v>4107</v>
      </c>
      <c r="D259" t="s">
        <v>4108</v>
      </c>
      <c r="E259" t="s">
        <v>163</v>
      </c>
      <c r="F259" t="s">
        <v>90</v>
      </c>
      <c r="G259" t="s">
        <v>2356</v>
      </c>
      <c r="H259" t="s">
        <v>4109</v>
      </c>
      <c r="J259" t="s">
        <v>4110</v>
      </c>
      <c r="K259" t="s">
        <v>59</v>
      </c>
      <c r="L259" t="s">
        <v>1498</v>
      </c>
      <c r="M259" t="s">
        <v>1499</v>
      </c>
      <c r="N259" t="s">
        <v>135</v>
      </c>
      <c r="O259" t="s">
        <v>397</v>
      </c>
      <c r="P259" t="s">
        <v>1532</v>
      </c>
      <c r="Q259" t="s">
        <v>4111</v>
      </c>
      <c r="R259" t="s">
        <v>378</v>
      </c>
      <c r="S259" t="s">
        <v>4112</v>
      </c>
      <c r="T259" t="s">
        <v>4113</v>
      </c>
      <c r="U259" t="s">
        <v>4114</v>
      </c>
      <c r="V259" t="s">
        <v>173</v>
      </c>
      <c r="W259" t="s">
        <v>311</v>
      </c>
      <c r="X259" t="s">
        <v>72</v>
      </c>
      <c r="Y259" t="s">
        <v>337</v>
      </c>
      <c r="Z259" t="s">
        <v>4115</v>
      </c>
      <c r="AA259" t="s">
        <v>19</v>
      </c>
      <c r="AB259" t="s">
        <v>76</v>
      </c>
      <c r="AC259">
        <v>7</v>
      </c>
      <c r="AD259" t="s">
        <v>237</v>
      </c>
      <c r="AE259" t="s">
        <v>77</v>
      </c>
      <c r="AF259">
        <v>0</v>
      </c>
      <c r="AG259" t="s">
        <v>238</v>
      </c>
      <c r="AJ259" t="s">
        <v>4116</v>
      </c>
      <c r="AK259" t="s">
        <v>240</v>
      </c>
      <c r="AL259" t="s">
        <v>4117</v>
      </c>
      <c r="AM259">
        <v>18.489999999999998</v>
      </c>
      <c r="AN259" t="s">
        <v>150</v>
      </c>
      <c r="AO259">
        <v>78</v>
      </c>
      <c r="AQ259" t="s">
        <v>786</v>
      </c>
      <c r="AR259" t="s">
        <v>118</v>
      </c>
      <c r="AT259" t="s">
        <v>119</v>
      </c>
      <c r="AU259" t="s">
        <v>163</v>
      </c>
      <c r="AV259" t="s">
        <v>386</v>
      </c>
      <c r="AW259" t="s">
        <v>122</v>
      </c>
      <c r="AX259" t="s">
        <v>270</v>
      </c>
    </row>
    <row r="260" spans="1:50" x14ac:dyDescent="0.25">
      <c r="A260" t="s">
        <v>4118</v>
      </c>
      <c r="B260" t="s">
        <v>4119</v>
      </c>
      <c r="C260" t="s">
        <v>4120</v>
      </c>
      <c r="D260" t="s">
        <v>250</v>
      </c>
      <c r="E260" t="s">
        <v>163</v>
      </c>
      <c r="F260" t="s">
        <v>327</v>
      </c>
      <c r="G260" t="s">
        <v>4121</v>
      </c>
      <c r="H260" t="s">
        <v>134</v>
      </c>
      <c r="I260" t="s">
        <v>162</v>
      </c>
      <c r="J260" t="s">
        <v>4122</v>
      </c>
      <c r="K260" t="s">
        <v>280</v>
      </c>
      <c r="L260" t="s">
        <v>1046</v>
      </c>
      <c r="M260" t="s">
        <v>142</v>
      </c>
      <c r="N260" t="s">
        <v>95</v>
      </c>
      <c r="O260" t="s">
        <v>304</v>
      </c>
      <c r="P260" t="s">
        <v>4123</v>
      </c>
      <c r="Q260" t="s">
        <v>4124</v>
      </c>
      <c r="R260" t="s">
        <v>66</v>
      </c>
      <c r="S260" t="s">
        <v>4125</v>
      </c>
      <c r="T260" t="s">
        <v>4126</v>
      </c>
      <c r="U260" t="s">
        <v>4127</v>
      </c>
      <c r="V260" t="s">
        <v>173</v>
      </c>
      <c r="W260" t="s">
        <v>206</v>
      </c>
      <c r="X260" t="s">
        <v>105</v>
      </c>
      <c r="Y260" t="s">
        <v>106</v>
      </c>
      <c r="Z260" t="s">
        <v>4128</v>
      </c>
      <c r="AA260" t="s">
        <v>236</v>
      </c>
      <c r="AB260" t="s">
        <v>528</v>
      </c>
      <c r="AC260">
        <v>12</v>
      </c>
      <c r="AD260" t="s">
        <v>237</v>
      </c>
      <c r="AE260" t="s">
        <v>110</v>
      </c>
      <c r="AF260">
        <v>34</v>
      </c>
      <c r="AG260">
        <v>0.08</v>
      </c>
      <c r="AJ260" t="s">
        <v>163</v>
      </c>
      <c r="AK260" t="s">
        <v>79</v>
      </c>
      <c r="AL260" t="s">
        <v>4129</v>
      </c>
      <c r="AM260">
        <v>7.38</v>
      </c>
      <c r="AN260" t="s">
        <v>82</v>
      </c>
      <c r="AO260">
        <v>419</v>
      </c>
      <c r="AP260">
        <v>4.5</v>
      </c>
      <c r="AQ260" t="s">
        <v>786</v>
      </c>
      <c r="AR260" t="s">
        <v>188</v>
      </c>
      <c r="AT260" t="s">
        <v>152</v>
      </c>
      <c r="AU260" t="s">
        <v>134</v>
      </c>
      <c r="AV260" t="s">
        <v>4130</v>
      </c>
      <c r="AW260" t="s">
        <v>789</v>
      </c>
    </row>
    <row r="261" spans="1:50" x14ac:dyDescent="0.25">
      <c r="A261" t="s">
        <v>4131</v>
      </c>
      <c r="B261" t="s">
        <v>4132</v>
      </c>
      <c r="C261" t="s">
        <v>142</v>
      </c>
      <c r="D261" t="s">
        <v>4133</v>
      </c>
      <c r="E261" t="s">
        <v>4134</v>
      </c>
      <c r="F261" t="s">
        <v>276</v>
      </c>
      <c r="G261" t="s">
        <v>3334</v>
      </c>
      <c r="H261">
        <v>1111.1099999999999</v>
      </c>
      <c r="I261" t="s">
        <v>58</v>
      </c>
      <c r="J261" t="s">
        <v>142</v>
      </c>
      <c r="K261" t="s">
        <v>330</v>
      </c>
      <c r="L261" t="s">
        <v>164</v>
      </c>
      <c r="M261" t="s">
        <v>163</v>
      </c>
      <c r="N261" t="s">
        <v>135</v>
      </c>
      <c r="O261" t="s">
        <v>643</v>
      </c>
      <c r="P261" t="s">
        <v>4135</v>
      </c>
      <c r="Q261" t="s">
        <v>4136</v>
      </c>
      <c r="R261" t="s">
        <v>134</v>
      </c>
      <c r="S261" t="s">
        <v>4137</v>
      </c>
      <c r="T261" t="s">
        <v>4138</v>
      </c>
      <c r="U261" t="s">
        <v>4139</v>
      </c>
      <c r="V261" t="s">
        <v>290</v>
      </c>
      <c r="W261" t="s">
        <v>311</v>
      </c>
      <c r="X261" t="s">
        <v>233</v>
      </c>
      <c r="Y261" t="s">
        <v>337</v>
      </c>
      <c r="Z261" t="s">
        <v>4140</v>
      </c>
      <c r="AA261" t="s">
        <v>144</v>
      </c>
      <c r="AB261" t="s">
        <v>528</v>
      </c>
      <c r="AC261">
        <v>6</v>
      </c>
      <c r="AD261" t="s">
        <v>210</v>
      </c>
      <c r="AE261" t="s">
        <v>406</v>
      </c>
      <c r="AG261" t="s">
        <v>111</v>
      </c>
      <c r="AJ261" t="s">
        <v>2604</v>
      </c>
      <c r="AK261" t="s">
        <v>79</v>
      </c>
      <c r="AL261" t="s">
        <v>4141</v>
      </c>
      <c r="AM261" t="s">
        <v>4142</v>
      </c>
      <c r="AN261" t="s">
        <v>116</v>
      </c>
      <c r="AO261">
        <v>118</v>
      </c>
      <c r="AQ261" t="s">
        <v>610</v>
      </c>
      <c r="AR261" t="s">
        <v>188</v>
      </c>
      <c r="AS261" t="s">
        <v>83</v>
      </c>
      <c r="AT261">
        <v>0.3</v>
      </c>
      <c r="AU261" t="s">
        <v>163</v>
      </c>
      <c r="AV261" t="s">
        <v>4143</v>
      </c>
      <c r="AW261" t="s">
        <v>4144</v>
      </c>
      <c r="AX261" t="s">
        <v>246</v>
      </c>
    </row>
    <row r="262" spans="1:50" x14ac:dyDescent="0.25">
      <c r="A262" t="s">
        <v>1680</v>
      </c>
      <c r="B262" t="s">
        <v>1681</v>
      </c>
      <c r="C262" t="s">
        <v>1682</v>
      </c>
      <c r="D262" t="s">
        <v>1683</v>
      </c>
      <c r="E262" t="s">
        <v>134</v>
      </c>
      <c r="F262" t="s">
        <v>1684</v>
      </c>
      <c r="G262" t="s">
        <v>579</v>
      </c>
      <c r="H262" t="s">
        <v>1267</v>
      </c>
      <c r="I262">
        <v>0.1</v>
      </c>
      <c r="J262" t="s">
        <v>1685</v>
      </c>
      <c r="K262" t="s">
        <v>92</v>
      </c>
      <c r="L262" t="s">
        <v>1686</v>
      </c>
      <c r="M262" t="s">
        <v>1687</v>
      </c>
      <c r="N262" t="s">
        <v>62</v>
      </c>
      <c r="O262" t="s">
        <v>561</v>
      </c>
      <c r="P262" t="s">
        <v>778</v>
      </c>
      <c r="Q262" t="s">
        <v>1688</v>
      </c>
      <c r="R262" t="s">
        <v>484</v>
      </c>
      <c r="S262" t="s">
        <v>1689</v>
      </c>
      <c r="T262" t="s">
        <v>1690</v>
      </c>
      <c r="U262" t="s">
        <v>1691</v>
      </c>
      <c r="V262" t="s">
        <v>103</v>
      </c>
      <c r="W262" t="s">
        <v>206</v>
      </c>
      <c r="X262" t="s">
        <v>424</v>
      </c>
      <c r="Y262" t="s">
        <v>106</v>
      </c>
      <c r="Z262" t="s">
        <v>1692</v>
      </c>
      <c r="AA262" t="s">
        <v>144</v>
      </c>
      <c r="AB262" t="s">
        <v>179</v>
      </c>
      <c r="AC262">
        <v>6</v>
      </c>
      <c r="AD262" t="s">
        <v>146</v>
      </c>
      <c r="AE262" t="s">
        <v>181</v>
      </c>
      <c r="AF262">
        <v>87</v>
      </c>
      <c r="AG262" t="s">
        <v>211</v>
      </c>
      <c r="AJ262">
        <v>24.6</v>
      </c>
      <c r="AK262" t="s">
        <v>79</v>
      </c>
      <c r="AL262" t="s">
        <v>1693</v>
      </c>
      <c r="AM262" t="s">
        <v>1694</v>
      </c>
      <c r="AN262" t="s">
        <v>82</v>
      </c>
      <c r="AO262">
        <v>374</v>
      </c>
      <c r="AP262">
        <v>3</v>
      </c>
      <c r="AR262">
        <v>1</v>
      </c>
      <c r="AS262" t="s">
        <v>83</v>
      </c>
      <c r="AT262" t="s">
        <v>152</v>
      </c>
      <c r="AU262" t="s">
        <v>1695</v>
      </c>
      <c r="AV262" t="s">
        <v>1696</v>
      </c>
      <c r="AW262" t="s">
        <v>1697</v>
      </c>
      <c r="AX262" t="s">
        <v>246</v>
      </c>
    </row>
    <row r="263" spans="1:50" x14ac:dyDescent="0.25">
      <c r="A263" t="s">
        <v>4145</v>
      </c>
      <c r="B263" t="s">
        <v>4146</v>
      </c>
      <c r="C263" t="s">
        <v>4147</v>
      </c>
      <c r="D263" t="s">
        <v>4148</v>
      </c>
      <c r="E263" t="s">
        <v>163</v>
      </c>
      <c r="F263" t="s">
        <v>222</v>
      </c>
      <c r="G263">
        <v>14</v>
      </c>
      <c r="H263" t="s">
        <v>1703</v>
      </c>
      <c r="I263" t="s">
        <v>162</v>
      </c>
      <c r="J263" t="s">
        <v>4149</v>
      </c>
      <c r="K263" t="s">
        <v>92</v>
      </c>
      <c r="L263" t="s">
        <v>2982</v>
      </c>
      <c r="M263" t="s">
        <v>1872</v>
      </c>
      <c r="N263" t="s">
        <v>417</v>
      </c>
      <c r="O263" t="s">
        <v>621</v>
      </c>
      <c r="P263" t="s">
        <v>1651</v>
      </c>
      <c r="Q263" t="s">
        <v>4150</v>
      </c>
      <c r="R263" t="s">
        <v>134</v>
      </c>
      <c r="S263" t="s">
        <v>4151</v>
      </c>
      <c r="T263" t="s">
        <v>4152</v>
      </c>
      <c r="U263" t="s">
        <v>4153</v>
      </c>
      <c r="V263" t="s">
        <v>103</v>
      </c>
      <c r="W263" t="s">
        <v>174</v>
      </c>
      <c r="X263" t="s">
        <v>175</v>
      </c>
      <c r="Y263" t="s">
        <v>106</v>
      </c>
      <c r="Z263" t="s">
        <v>4154</v>
      </c>
      <c r="AA263" t="s">
        <v>75</v>
      </c>
      <c r="AB263" t="s">
        <v>179</v>
      </c>
      <c r="AC263">
        <v>8</v>
      </c>
      <c r="AD263" t="s">
        <v>237</v>
      </c>
      <c r="AE263" t="s">
        <v>110</v>
      </c>
      <c r="AF263">
        <v>68</v>
      </c>
      <c r="AG263" t="s">
        <v>111</v>
      </c>
      <c r="AJ263" t="s">
        <v>4155</v>
      </c>
      <c r="AK263" t="s">
        <v>183</v>
      </c>
      <c r="AL263" t="s">
        <v>4156</v>
      </c>
      <c r="AM263">
        <v>16.68</v>
      </c>
      <c r="AN263" t="s">
        <v>82</v>
      </c>
      <c r="AO263">
        <v>51</v>
      </c>
      <c r="AQ263" t="s">
        <v>786</v>
      </c>
      <c r="AR263" t="s">
        <v>319</v>
      </c>
      <c r="AT263" t="s">
        <v>361</v>
      </c>
      <c r="AU263" t="s">
        <v>4157</v>
      </c>
      <c r="AV263" t="s">
        <v>4158</v>
      </c>
      <c r="AW263" t="s">
        <v>4158</v>
      </c>
      <c r="AX263" t="s">
        <v>191</v>
      </c>
    </row>
    <row r="264" spans="1:50" x14ac:dyDescent="0.25">
      <c r="A264" t="s">
        <v>2978</v>
      </c>
      <c r="B264" t="s">
        <v>1152</v>
      </c>
      <c r="C264" t="s">
        <v>2979</v>
      </c>
      <c r="D264" t="s">
        <v>737</v>
      </c>
      <c r="E264" t="s">
        <v>2980</v>
      </c>
      <c r="F264" t="s">
        <v>1772</v>
      </c>
      <c r="G264" t="s">
        <v>776</v>
      </c>
      <c r="H264" t="s">
        <v>2981</v>
      </c>
      <c r="I264" t="s">
        <v>162</v>
      </c>
      <c r="K264" t="s">
        <v>280</v>
      </c>
      <c r="L264" t="s">
        <v>2982</v>
      </c>
      <c r="M264" t="s">
        <v>1872</v>
      </c>
      <c r="N264" t="s">
        <v>95</v>
      </c>
      <c r="O264" t="s">
        <v>954</v>
      </c>
      <c r="P264" t="s">
        <v>2169</v>
      </c>
      <c r="Q264" t="s">
        <v>2983</v>
      </c>
      <c r="R264" t="s">
        <v>646</v>
      </c>
      <c r="S264" t="s">
        <v>2984</v>
      </c>
      <c r="T264" t="s">
        <v>2985</v>
      </c>
      <c r="U264" t="s">
        <v>2986</v>
      </c>
      <c r="V264" t="s">
        <v>205</v>
      </c>
      <c r="W264" t="s">
        <v>206</v>
      </c>
      <c r="X264" t="s">
        <v>207</v>
      </c>
      <c r="Y264" t="s">
        <v>106</v>
      </c>
      <c r="Z264" t="s">
        <v>2987</v>
      </c>
      <c r="AA264" t="s">
        <v>19</v>
      </c>
      <c r="AB264" t="s">
        <v>405</v>
      </c>
      <c r="AC264" t="s">
        <v>2988</v>
      </c>
      <c r="AD264" t="s">
        <v>314</v>
      </c>
      <c r="AE264" t="s">
        <v>77</v>
      </c>
      <c r="AF264">
        <v>87</v>
      </c>
      <c r="AG264" t="s">
        <v>238</v>
      </c>
      <c r="AJ264">
        <v>39.9</v>
      </c>
      <c r="AK264" t="s">
        <v>113</v>
      </c>
      <c r="AL264" t="s">
        <v>2989</v>
      </c>
      <c r="AM264" t="s">
        <v>2990</v>
      </c>
      <c r="AN264" t="s">
        <v>150</v>
      </c>
      <c r="AO264">
        <v>305</v>
      </c>
      <c r="AP264">
        <v>2</v>
      </c>
      <c r="AQ264" t="s">
        <v>242</v>
      </c>
      <c r="AR264" t="s">
        <v>243</v>
      </c>
      <c r="AS264" t="s">
        <v>215</v>
      </c>
      <c r="AT264" t="s">
        <v>361</v>
      </c>
      <c r="AU264" t="s">
        <v>91</v>
      </c>
      <c r="AV264" t="s">
        <v>2991</v>
      </c>
      <c r="AW264" t="s">
        <v>1301</v>
      </c>
      <c r="AX264" t="s">
        <v>85</v>
      </c>
    </row>
    <row r="265" spans="1:50" x14ac:dyDescent="0.25">
      <c r="A265" t="s">
        <v>4159</v>
      </c>
      <c r="B265" t="s">
        <v>4160</v>
      </c>
      <c r="C265" t="s">
        <v>4161</v>
      </c>
      <c r="D265" t="s">
        <v>4162</v>
      </c>
      <c r="E265" t="s">
        <v>2899</v>
      </c>
      <c r="F265" t="s">
        <v>299</v>
      </c>
      <c r="G265" t="s">
        <v>597</v>
      </c>
      <c r="H265" t="s">
        <v>1098</v>
      </c>
      <c r="I265" t="s">
        <v>58</v>
      </c>
      <c r="J265" t="s">
        <v>4163</v>
      </c>
      <c r="K265" t="s">
        <v>330</v>
      </c>
      <c r="L265" t="s">
        <v>481</v>
      </c>
      <c r="M265" t="s">
        <v>4164</v>
      </c>
      <c r="N265" t="s">
        <v>166</v>
      </c>
      <c r="O265" t="s">
        <v>836</v>
      </c>
      <c r="P265" t="s">
        <v>1010</v>
      </c>
      <c r="Q265" t="s">
        <v>4165</v>
      </c>
      <c r="R265" t="s">
        <v>505</v>
      </c>
      <c r="S265" t="s">
        <v>4166</v>
      </c>
      <c r="T265" t="s">
        <v>4167</v>
      </c>
      <c r="U265" t="s">
        <v>4168</v>
      </c>
      <c r="V265" t="s">
        <v>173</v>
      </c>
      <c r="W265" t="s">
        <v>206</v>
      </c>
      <c r="X265" t="s">
        <v>175</v>
      </c>
      <c r="Y265" t="s">
        <v>176</v>
      </c>
      <c r="Z265" t="s">
        <v>4169</v>
      </c>
      <c r="AA265" t="s">
        <v>19</v>
      </c>
      <c r="AB265" t="s">
        <v>76</v>
      </c>
      <c r="AC265" t="s">
        <v>1107</v>
      </c>
      <c r="AD265">
        <v>2025</v>
      </c>
      <c r="AE265" t="s">
        <v>77</v>
      </c>
      <c r="AF265">
        <v>37</v>
      </c>
      <c r="AG265" t="s">
        <v>238</v>
      </c>
      <c r="AJ265" t="s">
        <v>4170</v>
      </c>
      <c r="AK265" t="s">
        <v>240</v>
      </c>
      <c r="AL265" t="s">
        <v>4171</v>
      </c>
      <c r="AM265" t="s">
        <v>4172</v>
      </c>
      <c r="AN265" t="s">
        <v>186</v>
      </c>
      <c r="AO265">
        <v>287</v>
      </c>
      <c r="AP265">
        <v>4</v>
      </c>
      <c r="AQ265" t="s">
        <v>318</v>
      </c>
      <c r="AR265">
        <v>1</v>
      </c>
      <c r="AS265" t="s">
        <v>83</v>
      </c>
      <c r="AT265">
        <v>0.3</v>
      </c>
      <c r="AU265" t="s">
        <v>163</v>
      </c>
      <c r="AV265" t="s">
        <v>4173</v>
      </c>
      <c r="AW265" t="s">
        <v>4174</v>
      </c>
      <c r="AX265" t="s">
        <v>270</v>
      </c>
    </row>
    <row r="266" spans="1:50" x14ac:dyDescent="0.25">
      <c r="A266" t="s">
        <v>4175</v>
      </c>
      <c r="B266" t="s">
        <v>4176</v>
      </c>
      <c r="C266" t="s">
        <v>4177</v>
      </c>
      <c r="D266" t="s">
        <v>4178</v>
      </c>
      <c r="E266" t="s">
        <v>2236</v>
      </c>
      <c r="F266" t="s">
        <v>327</v>
      </c>
      <c r="G266" t="s">
        <v>1515</v>
      </c>
      <c r="H266" t="s">
        <v>4179</v>
      </c>
      <c r="I266" t="s">
        <v>58</v>
      </c>
      <c r="J266" t="s">
        <v>4180</v>
      </c>
      <c r="K266" t="s">
        <v>280</v>
      </c>
      <c r="L266" t="s">
        <v>4181</v>
      </c>
      <c r="M266" t="s">
        <v>134</v>
      </c>
      <c r="N266" t="s">
        <v>396</v>
      </c>
      <c r="O266" t="s">
        <v>836</v>
      </c>
      <c r="P266" t="s">
        <v>1010</v>
      </c>
      <c r="Q266" t="s">
        <v>4182</v>
      </c>
      <c r="R266" t="s">
        <v>400</v>
      </c>
      <c r="S266" t="s">
        <v>4183</v>
      </c>
      <c r="T266" t="s">
        <v>4184</v>
      </c>
      <c r="U266" t="s">
        <v>4185</v>
      </c>
      <c r="V266" t="s">
        <v>70</v>
      </c>
      <c r="W266" t="s">
        <v>71</v>
      </c>
      <c r="X266" t="s">
        <v>233</v>
      </c>
      <c r="Y266" t="s">
        <v>106</v>
      </c>
      <c r="Z266" t="s">
        <v>4186</v>
      </c>
      <c r="AA266" t="s">
        <v>144</v>
      </c>
      <c r="AB266" t="s">
        <v>76</v>
      </c>
      <c r="AC266" t="s">
        <v>180</v>
      </c>
      <c r="AD266" t="s">
        <v>146</v>
      </c>
      <c r="AE266" t="s">
        <v>77</v>
      </c>
      <c r="AF266">
        <v>54</v>
      </c>
      <c r="AG266">
        <v>0.08</v>
      </c>
      <c r="AJ266" t="s">
        <v>3473</v>
      </c>
      <c r="AK266" t="s">
        <v>183</v>
      </c>
      <c r="AL266" t="s">
        <v>4187</v>
      </c>
      <c r="AM266" t="s">
        <v>4188</v>
      </c>
      <c r="AN266" t="s">
        <v>82</v>
      </c>
      <c r="AO266">
        <v>78</v>
      </c>
      <c r="AQ266" t="s">
        <v>318</v>
      </c>
      <c r="AR266" t="s">
        <v>243</v>
      </c>
      <c r="AT266" t="s">
        <v>119</v>
      </c>
      <c r="AU266" t="s">
        <v>1525</v>
      </c>
      <c r="AV266" t="s">
        <v>4189</v>
      </c>
      <c r="AW266" t="s">
        <v>533</v>
      </c>
    </row>
    <row r="267" spans="1:50" x14ac:dyDescent="0.25">
      <c r="A267" t="s">
        <v>4190</v>
      </c>
      <c r="B267" t="s">
        <v>4191</v>
      </c>
      <c r="C267" t="s">
        <v>4192</v>
      </c>
      <c r="D267" t="s">
        <v>435</v>
      </c>
      <c r="E267" t="s">
        <v>4193</v>
      </c>
      <c r="F267" t="s">
        <v>222</v>
      </c>
      <c r="G267" t="s">
        <v>2946</v>
      </c>
      <c r="H267" t="s">
        <v>1289</v>
      </c>
      <c r="I267" t="s">
        <v>58</v>
      </c>
      <c r="J267" t="s">
        <v>4194</v>
      </c>
      <c r="K267" t="s">
        <v>280</v>
      </c>
      <c r="L267" t="s">
        <v>1157</v>
      </c>
      <c r="M267" t="s">
        <v>4195</v>
      </c>
      <c r="N267" t="s">
        <v>135</v>
      </c>
      <c r="O267" t="s">
        <v>543</v>
      </c>
      <c r="P267" t="s">
        <v>2358</v>
      </c>
      <c r="Q267" t="s">
        <v>4196</v>
      </c>
      <c r="R267" t="s">
        <v>420</v>
      </c>
      <c r="S267" t="s">
        <v>4197</v>
      </c>
      <c r="T267" t="s">
        <v>4198</v>
      </c>
      <c r="U267" t="s">
        <v>4199</v>
      </c>
      <c r="V267" t="s">
        <v>205</v>
      </c>
      <c r="W267" t="s">
        <v>174</v>
      </c>
      <c r="X267" t="s">
        <v>72</v>
      </c>
      <c r="Y267" t="s">
        <v>73</v>
      </c>
      <c r="Z267" t="s">
        <v>4200</v>
      </c>
      <c r="AA267" t="s">
        <v>19</v>
      </c>
      <c r="AB267" t="s">
        <v>76</v>
      </c>
      <c r="AC267" t="s">
        <v>766</v>
      </c>
      <c r="AD267" t="s">
        <v>314</v>
      </c>
      <c r="AE267" t="s">
        <v>406</v>
      </c>
      <c r="AF267">
        <v>33</v>
      </c>
      <c r="AG267" t="s">
        <v>238</v>
      </c>
      <c r="AJ267" t="s">
        <v>4201</v>
      </c>
      <c r="AK267" t="s">
        <v>79</v>
      </c>
      <c r="AL267" t="s">
        <v>4202</v>
      </c>
      <c r="AM267">
        <v>4.74</v>
      </c>
      <c r="AN267" t="s">
        <v>267</v>
      </c>
      <c r="AO267">
        <v>13</v>
      </c>
      <c r="AP267">
        <v>5</v>
      </c>
      <c r="AQ267" t="s">
        <v>610</v>
      </c>
      <c r="AR267" t="s">
        <v>243</v>
      </c>
      <c r="AS267" t="s">
        <v>215</v>
      </c>
      <c r="AT267" t="s">
        <v>361</v>
      </c>
      <c r="AU267" t="s">
        <v>4203</v>
      </c>
      <c r="AV267" t="s">
        <v>533</v>
      </c>
      <c r="AW267" t="s">
        <v>122</v>
      </c>
      <c r="AX267" t="s">
        <v>246</v>
      </c>
    </row>
    <row r="268" spans="1:50" x14ac:dyDescent="0.25">
      <c r="A268" t="s">
        <v>4204</v>
      </c>
      <c r="B268" t="s">
        <v>4205</v>
      </c>
      <c r="C268" t="s">
        <v>4206</v>
      </c>
      <c r="D268" t="s">
        <v>3977</v>
      </c>
      <c r="E268" t="s">
        <v>1372</v>
      </c>
      <c r="F268" t="s">
        <v>928</v>
      </c>
      <c r="G268" t="s">
        <v>370</v>
      </c>
      <c r="H268" t="s">
        <v>1267</v>
      </c>
      <c r="I268">
        <v>0.1</v>
      </c>
      <c r="J268" t="s">
        <v>91</v>
      </c>
      <c r="K268" t="s">
        <v>280</v>
      </c>
      <c r="L268" t="s">
        <v>3011</v>
      </c>
      <c r="M268" t="s">
        <v>3012</v>
      </c>
      <c r="N268" t="s">
        <v>396</v>
      </c>
      <c r="O268" t="s">
        <v>375</v>
      </c>
      <c r="P268" t="s">
        <v>4207</v>
      </c>
      <c r="Q268" t="s">
        <v>4208</v>
      </c>
      <c r="R268" t="s">
        <v>935</v>
      </c>
      <c r="S268" t="s">
        <v>4209</v>
      </c>
      <c r="T268" t="s">
        <v>4210</v>
      </c>
      <c r="U268" t="s">
        <v>4211</v>
      </c>
      <c r="V268" t="s">
        <v>103</v>
      </c>
      <c r="W268" t="s">
        <v>71</v>
      </c>
      <c r="X268" t="s">
        <v>105</v>
      </c>
      <c r="Y268" t="s">
        <v>176</v>
      </c>
      <c r="Z268" t="s">
        <v>4212</v>
      </c>
      <c r="AA268" t="s">
        <v>19</v>
      </c>
      <c r="AB268" t="s">
        <v>179</v>
      </c>
      <c r="AC268">
        <v>2</v>
      </c>
      <c r="AD268" t="s">
        <v>237</v>
      </c>
      <c r="AE268" t="s">
        <v>77</v>
      </c>
      <c r="AF268">
        <v>77</v>
      </c>
      <c r="AG268" t="s">
        <v>238</v>
      </c>
      <c r="AJ268" t="s">
        <v>4213</v>
      </c>
      <c r="AK268" t="s">
        <v>571</v>
      </c>
      <c r="AL268" t="s">
        <v>4214</v>
      </c>
      <c r="AM268" t="s">
        <v>4215</v>
      </c>
      <c r="AN268" t="s">
        <v>116</v>
      </c>
      <c r="AO268">
        <v>21</v>
      </c>
      <c r="AQ268" t="s">
        <v>151</v>
      </c>
      <c r="AR268">
        <v>0</v>
      </c>
      <c r="AT268" t="s">
        <v>152</v>
      </c>
      <c r="AU268" t="s">
        <v>4216</v>
      </c>
      <c r="AV268" t="s">
        <v>4217</v>
      </c>
      <c r="AW268" t="s">
        <v>944</v>
      </c>
      <c r="AX268" t="s">
        <v>270</v>
      </c>
    </row>
    <row r="269" spans="1:50" x14ac:dyDescent="0.25">
      <c r="A269" t="s">
        <v>4218</v>
      </c>
      <c r="B269" t="s">
        <v>2318</v>
      </c>
      <c r="C269" t="s">
        <v>4219</v>
      </c>
      <c r="D269" t="s">
        <v>4220</v>
      </c>
      <c r="E269" t="s">
        <v>4221</v>
      </c>
      <c r="F269" t="s">
        <v>4222</v>
      </c>
      <c r="G269" t="s">
        <v>4223</v>
      </c>
      <c r="H269" t="s">
        <v>4224</v>
      </c>
      <c r="J269" t="s">
        <v>134</v>
      </c>
      <c r="K269" t="s">
        <v>92</v>
      </c>
      <c r="L269" t="s">
        <v>1931</v>
      </c>
      <c r="M269" t="s">
        <v>4225</v>
      </c>
      <c r="N269" t="s">
        <v>417</v>
      </c>
      <c r="O269" t="s">
        <v>198</v>
      </c>
      <c r="P269" t="s">
        <v>992</v>
      </c>
      <c r="Q269" t="s">
        <v>4226</v>
      </c>
      <c r="R269" t="s">
        <v>91</v>
      </c>
      <c r="S269" t="s">
        <v>4227</v>
      </c>
      <c r="T269" t="s">
        <v>4228</v>
      </c>
      <c r="U269" t="s">
        <v>4229</v>
      </c>
      <c r="V269" t="s">
        <v>205</v>
      </c>
      <c r="W269" t="s">
        <v>104</v>
      </c>
      <c r="X269" t="s">
        <v>233</v>
      </c>
      <c r="Y269" t="s">
        <v>118</v>
      </c>
      <c r="Z269" t="s">
        <v>4230</v>
      </c>
      <c r="AA269" t="s">
        <v>236</v>
      </c>
      <c r="AB269" t="s">
        <v>108</v>
      </c>
      <c r="AC269" t="s">
        <v>264</v>
      </c>
      <c r="AD269">
        <v>2026</v>
      </c>
      <c r="AE269" t="s">
        <v>110</v>
      </c>
      <c r="AF269" t="s">
        <v>142</v>
      </c>
      <c r="AG269" t="s">
        <v>111</v>
      </c>
      <c r="AJ269" t="s">
        <v>4231</v>
      </c>
      <c r="AK269" t="s">
        <v>571</v>
      </c>
      <c r="AL269" t="s">
        <v>4232</v>
      </c>
      <c r="AM269">
        <v>21.15</v>
      </c>
      <c r="AN269" t="s">
        <v>267</v>
      </c>
      <c r="AO269">
        <v>399</v>
      </c>
      <c r="AP269">
        <v>3</v>
      </c>
      <c r="AQ269" t="s">
        <v>151</v>
      </c>
      <c r="AR269" t="s">
        <v>243</v>
      </c>
      <c r="AS269" t="s">
        <v>215</v>
      </c>
      <c r="AT269" t="s">
        <v>361</v>
      </c>
      <c r="AU269" t="s">
        <v>4233</v>
      </c>
      <c r="AV269" t="s">
        <v>4234</v>
      </c>
      <c r="AW269" t="s">
        <v>789</v>
      </c>
      <c r="AX269" t="s">
        <v>246</v>
      </c>
    </row>
    <row r="270" spans="1:50" x14ac:dyDescent="0.25">
      <c r="A270" t="s">
        <v>4235</v>
      </c>
      <c r="B270" t="s">
        <v>4236</v>
      </c>
      <c r="C270" t="s">
        <v>4237</v>
      </c>
      <c r="D270" t="s">
        <v>4238</v>
      </c>
      <c r="E270" t="s">
        <v>4239</v>
      </c>
      <c r="F270" t="s">
        <v>142</v>
      </c>
      <c r="G270">
        <v>11</v>
      </c>
      <c r="H270" t="s">
        <v>1828</v>
      </c>
      <c r="K270" t="s">
        <v>330</v>
      </c>
      <c r="L270" t="s">
        <v>2029</v>
      </c>
      <c r="M270" t="s">
        <v>1047</v>
      </c>
      <c r="N270" t="s">
        <v>135</v>
      </c>
      <c r="O270" t="s">
        <v>375</v>
      </c>
      <c r="P270" t="s">
        <v>1706</v>
      </c>
      <c r="Q270" t="s">
        <v>4240</v>
      </c>
      <c r="R270" t="s">
        <v>2743</v>
      </c>
      <c r="S270" t="s">
        <v>4241</v>
      </c>
      <c r="T270" t="s">
        <v>4242</v>
      </c>
      <c r="U270" t="s">
        <v>4243</v>
      </c>
      <c r="V270" t="s">
        <v>290</v>
      </c>
      <c r="W270" t="s">
        <v>104</v>
      </c>
      <c r="X270" t="s">
        <v>175</v>
      </c>
      <c r="Y270" t="s">
        <v>73</v>
      </c>
      <c r="Z270" t="s">
        <v>4244</v>
      </c>
      <c r="AA270" t="s">
        <v>19</v>
      </c>
      <c r="AB270" t="s">
        <v>108</v>
      </c>
      <c r="AC270" t="s">
        <v>145</v>
      </c>
      <c r="AD270" t="s">
        <v>146</v>
      </c>
      <c r="AE270" t="s">
        <v>110</v>
      </c>
      <c r="AF270" t="s">
        <v>142</v>
      </c>
      <c r="AG270" t="s">
        <v>111</v>
      </c>
      <c r="AJ270" t="s">
        <v>4245</v>
      </c>
      <c r="AK270" t="s">
        <v>183</v>
      </c>
      <c r="AL270" t="s">
        <v>4246</v>
      </c>
      <c r="AM270" t="s">
        <v>4247</v>
      </c>
      <c r="AN270" t="s">
        <v>267</v>
      </c>
      <c r="AO270">
        <v>142</v>
      </c>
      <c r="AP270">
        <v>4</v>
      </c>
      <c r="AQ270" t="s">
        <v>610</v>
      </c>
      <c r="AR270" t="s">
        <v>118</v>
      </c>
      <c r="AT270" t="s">
        <v>152</v>
      </c>
      <c r="AU270" t="s">
        <v>91</v>
      </c>
      <c r="AV270" t="s">
        <v>3526</v>
      </c>
      <c r="AW270" t="s">
        <v>965</v>
      </c>
      <c r="AX270" t="s">
        <v>270</v>
      </c>
    </row>
    <row r="271" spans="1:50" x14ac:dyDescent="0.25">
      <c r="A271" t="s">
        <v>4248</v>
      </c>
      <c r="B271" t="s">
        <v>4249</v>
      </c>
      <c r="C271" t="s">
        <v>1188</v>
      </c>
      <c r="D271" t="s">
        <v>2088</v>
      </c>
      <c r="E271" t="s">
        <v>1155</v>
      </c>
      <c r="F271" t="s">
        <v>4250</v>
      </c>
      <c r="G271" t="s">
        <v>252</v>
      </c>
      <c r="H271" t="s">
        <v>4251</v>
      </c>
      <c r="I271">
        <v>0.1</v>
      </c>
      <c r="J271" t="s">
        <v>4252</v>
      </c>
      <c r="K271" t="s">
        <v>280</v>
      </c>
      <c r="L271" t="s">
        <v>197</v>
      </c>
      <c r="M271" t="s">
        <v>4253</v>
      </c>
      <c r="N271" t="s">
        <v>396</v>
      </c>
      <c r="O271" t="s">
        <v>304</v>
      </c>
      <c r="P271" t="s">
        <v>1196</v>
      </c>
      <c r="Q271" t="s">
        <v>4254</v>
      </c>
      <c r="R271" t="s">
        <v>665</v>
      </c>
      <c r="S271" t="s">
        <v>4255</v>
      </c>
      <c r="T271" t="s">
        <v>4256</v>
      </c>
      <c r="U271" t="s">
        <v>163</v>
      </c>
      <c r="V271" t="s">
        <v>70</v>
      </c>
      <c r="W271" t="s">
        <v>206</v>
      </c>
      <c r="X271" t="s">
        <v>207</v>
      </c>
      <c r="Y271" t="s">
        <v>106</v>
      </c>
      <c r="Z271" t="s">
        <v>4257</v>
      </c>
      <c r="AA271" t="s">
        <v>178</v>
      </c>
      <c r="AB271" t="s">
        <v>528</v>
      </c>
      <c r="AC271" t="s">
        <v>447</v>
      </c>
      <c r="AD271">
        <v>2025</v>
      </c>
      <c r="AE271" t="s">
        <v>406</v>
      </c>
      <c r="AF271" t="s">
        <v>163</v>
      </c>
      <c r="AG271">
        <v>0.08</v>
      </c>
      <c r="AJ271">
        <v>34.340000000000003</v>
      </c>
      <c r="AK271" t="s">
        <v>240</v>
      </c>
      <c r="AL271" t="s">
        <v>4258</v>
      </c>
      <c r="AM271" t="s">
        <v>4259</v>
      </c>
      <c r="AN271" t="s">
        <v>82</v>
      </c>
      <c r="AO271">
        <v>162</v>
      </c>
      <c r="AQ271" t="s">
        <v>242</v>
      </c>
      <c r="AR271">
        <v>1</v>
      </c>
      <c r="AT271" t="s">
        <v>119</v>
      </c>
      <c r="AU271" t="s">
        <v>4260</v>
      </c>
      <c r="AV271" t="s">
        <v>4261</v>
      </c>
      <c r="AX271" t="s">
        <v>85</v>
      </c>
    </row>
    <row r="272" spans="1:50" x14ac:dyDescent="0.25">
      <c r="A272" t="s">
        <v>4262</v>
      </c>
      <c r="B272" t="s">
        <v>4263</v>
      </c>
      <c r="C272" t="s">
        <v>4264</v>
      </c>
      <c r="D272" t="s">
        <v>126</v>
      </c>
      <c r="E272" t="s">
        <v>4265</v>
      </c>
      <c r="F272" t="s">
        <v>299</v>
      </c>
      <c r="G272">
        <v>16</v>
      </c>
      <c r="H272">
        <v>1479.77</v>
      </c>
      <c r="I272" t="s">
        <v>58</v>
      </c>
      <c r="J272">
        <v>23676.32</v>
      </c>
      <c r="K272" t="s">
        <v>59</v>
      </c>
      <c r="L272" t="s">
        <v>3276</v>
      </c>
      <c r="M272" t="s">
        <v>163</v>
      </c>
      <c r="N272" t="s">
        <v>396</v>
      </c>
      <c r="O272" t="s">
        <v>621</v>
      </c>
      <c r="P272" t="s">
        <v>376</v>
      </c>
      <c r="Q272" t="s">
        <v>4266</v>
      </c>
      <c r="R272" t="s">
        <v>935</v>
      </c>
      <c r="S272" t="s">
        <v>4267</v>
      </c>
      <c r="T272" t="s">
        <v>466</v>
      </c>
      <c r="U272" t="s">
        <v>4268</v>
      </c>
      <c r="V272" t="s">
        <v>205</v>
      </c>
      <c r="W272" t="s">
        <v>206</v>
      </c>
      <c r="X272" t="s">
        <v>424</v>
      </c>
      <c r="Y272" t="s">
        <v>176</v>
      </c>
      <c r="Z272" t="s">
        <v>4269</v>
      </c>
      <c r="AA272" t="s">
        <v>75</v>
      </c>
      <c r="AB272" t="s">
        <v>528</v>
      </c>
      <c r="AC272" t="s">
        <v>1851</v>
      </c>
      <c r="AD272">
        <v>2025</v>
      </c>
      <c r="AE272" t="s">
        <v>181</v>
      </c>
      <c r="AF272">
        <v>17</v>
      </c>
      <c r="AG272">
        <v>0.08</v>
      </c>
      <c r="AJ272" t="s">
        <v>4270</v>
      </c>
      <c r="AK272" t="s">
        <v>571</v>
      </c>
      <c r="AL272" t="s">
        <v>4271</v>
      </c>
      <c r="AM272">
        <v>27</v>
      </c>
      <c r="AN272" t="s">
        <v>116</v>
      </c>
      <c r="AO272">
        <v>7</v>
      </c>
      <c r="AP272">
        <v>5</v>
      </c>
      <c r="AQ272" t="s">
        <v>151</v>
      </c>
      <c r="AR272">
        <v>0</v>
      </c>
      <c r="AU272">
        <v>710.29</v>
      </c>
      <c r="AV272" t="s">
        <v>4272</v>
      </c>
    </row>
    <row r="273" spans="1:50" x14ac:dyDescent="0.25">
      <c r="A273" t="s">
        <v>4273</v>
      </c>
      <c r="B273" t="s">
        <v>4274</v>
      </c>
      <c r="C273" t="s">
        <v>4275</v>
      </c>
      <c r="D273" t="s">
        <v>4276</v>
      </c>
      <c r="E273" t="s">
        <v>4277</v>
      </c>
      <c r="F273" t="s">
        <v>2355</v>
      </c>
      <c r="G273" t="s">
        <v>4278</v>
      </c>
      <c r="H273" t="s">
        <v>4279</v>
      </c>
      <c r="I273">
        <v>0</v>
      </c>
      <c r="J273" t="s">
        <v>4280</v>
      </c>
      <c r="K273" t="s">
        <v>330</v>
      </c>
      <c r="L273" t="s">
        <v>481</v>
      </c>
      <c r="M273" t="s">
        <v>91</v>
      </c>
      <c r="N273" t="s">
        <v>135</v>
      </c>
      <c r="O273" t="s">
        <v>397</v>
      </c>
      <c r="P273" t="s">
        <v>4281</v>
      </c>
      <c r="Q273" t="s">
        <v>4282</v>
      </c>
      <c r="R273" t="s">
        <v>1502</v>
      </c>
      <c r="S273" t="s">
        <v>4283</v>
      </c>
      <c r="T273" t="s">
        <v>4284</v>
      </c>
      <c r="U273" t="s">
        <v>4285</v>
      </c>
      <c r="V273" t="s">
        <v>290</v>
      </c>
      <c r="W273" t="s">
        <v>71</v>
      </c>
      <c r="X273" t="s">
        <v>207</v>
      </c>
      <c r="Y273" t="s">
        <v>73</v>
      </c>
      <c r="Z273" t="s">
        <v>4286</v>
      </c>
      <c r="AA273" t="s">
        <v>178</v>
      </c>
      <c r="AB273" t="s">
        <v>179</v>
      </c>
      <c r="AC273" t="s">
        <v>728</v>
      </c>
      <c r="AD273">
        <v>2025</v>
      </c>
      <c r="AE273" t="s">
        <v>77</v>
      </c>
      <c r="AF273">
        <v>39</v>
      </c>
      <c r="AG273" t="s">
        <v>211</v>
      </c>
      <c r="AJ273" t="s">
        <v>4287</v>
      </c>
      <c r="AK273" t="s">
        <v>147</v>
      </c>
      <c r="AL273" t="s">
        <v>4288</v>
      </c>
      <c r="AM273" t="s">
        <v>4289</v>
      </c>
      <c r="AN273" t="s">
        <v>150</v>
      </c>
      <c r="AP273" t="s">
        <v>187</v>
      </c>
      <c r="AQ273" t="s">
        <v>318</v>
      </c>
      <c r="AR273" t="s">
        <v>118</v>
      </c>
      <c r="AT273" t="s">
        <v>361</v>
      </c>
      <c r="AU273">
        <v>600.79</v>
      </c>
      <c r="AV273" t="s">
        <v>4290</v>
      </c>
      <c r="AW273" t="s">
        <v>4291</v>
      </c>
      <c r="AX273" t="s">
        <v>191</v>
      </c>
    </row>
    <row r="274" spans="1:50" x14ac:dyDescent="0.25">
      <c r="A274" t="s">
        <v>4292</v>
      </c>
      <c r="B274" t="s">
        <v>4293</v>
      </c>
      <c r="C274" t="s">
        <v>4294</v>
      </c>
      <c r="D274" t="s">
        <v>4295</v>
      </c>
      <c r="E274" t="s">
        <v>142</v>
      </c>
      <c r="F274" t="s">
        <v>142</v>
      </c>
      <c r="G274" t="s">
        <v>2073</v>
      </c>
      <c r="H274" t="s">
        <v>3122</v>
      </c>
      <c r="I274">
        <v>0.1</v>
      </c>
      <c r="J274" t="s">
        <v>4296</v>
      </c>
      <c r="K274" t="s">
        <v>92</v>
      </c>
      <c r="L274" t="s">
        <v>164</v>
      </c>
      <c r="M274" t="s">
        <v>91</v>
      </c>
      <c r="N274" t="s">
        <v>135</v>
      </c>
      <c r="O274" t="s">
        <v>136</v>
      </c>
      <c r="P274" t="s">
        <v>1481</v>
      </c>
      <c r="Q274" t="s">
        <v>4297</v>
      </c>
      <c r="R274" t="s">
        <v>564</v>
      </c>
      <c r="S274" t="s">
        <v>4298</v>
      </c>
      <c r="T274" t="s">
        <v>4299</v>
      </c>
      <c r="U274" t="s">
        <v>4300</v>
      </c>
      <c r="V274" t="s">
        <v>290</v>
      </c>
      <c r="W274" t="s">
        <v>104</v>
      </c>
      <c r="X274" t="s">
        <v>105</v>
      </c>
      <c r="Y274" t="s">
        <v>234</v>
      </c>
      <c r="Z274" t="s">
        <v>4301</v>
      </c>
      <c r="AA274" t="s">
        <v>144</v>
      </c>
      <c r="AB274" t="s">
        <v>528</v>
      </c>
      <c r="AC274" t="s">
        <v>1851</v>
      </c>
      <c r="AD274">
        <v>2025</v>
      </c>
      <c r="AE274" t="s">
        <v>110</v>
      </c>
      <c r="AF274">
        <v>41</v>
      </c>
      <c r="AG274" t="s">
        <v>111</v>
      </c>
      <c r="AJ274" t="s">
        <v>4302</v>
      </c>
      <c r="AK274" t="s">
        <v>113</v>
      </c>
      <c r="AL274" t="s">
        <v>4303</v>
      </c>
      <c r="AM274" t="s">
        <v>4304</v>
      </c>
      <c r="AN274" t="s">
        <v>116</v>
      </c>
      <c r="AO274">
        <v>390</v>
      </c>
      <c r="AP274">
        <v>1</v>
      </c>
      <c r="AQ274" t="s">
        <v>242</v>
      </c>
      <c r="AS274" t="s">
        <v>83</v>
      </c>
      <c r="AT274" t="s">
        <v>119</v>
      </c>
      <c r="AU274" t="s">
        <v>4305</v>
      </c>
      <c r="AV274" t="s">
        <v>4306</v>
      </c>
      <c r="AW274" t="s">
        <v>4307</v>
      </c>
      <c r="AX274" t="s">
        <v>191</v>
      </c>
    </row>
    <row r="275" spans="1:50" x14ac:dyDescent="0.25">
      <c r="A275" t="s">
        <v>4308</v>
      </c>
      <c r="B275" t="s">
        <v>4309</v>
      </c>
      <c r="C275" t="s">
        <v>4310</v>
      </c>
      <c r="D275" t="s">
        <v>4311</v>
      </c>
      <c r="E275" t="s">
        <v>1023</v>
      </c>
      <c r="F275" t="s">
        <v>327</v>
      </c>
      <c r="G275" t="s">
        <v>2338</v>
      </c>
      <c r="H275">
        <v>1411.27</v>
      </c>
      <c r="J275" t="s">
        <v>1964</v>
      </c>
      <c r="K275" t="s">
        <v>280</v>
      </c>
      <c r="L275" t="s">
        <v>2203</v>
      </c>
      <c r="M275" t="s">
        <v>513</v>
      </c>
      <c r="N275" t="s">
        <v>417</v>
      </c>
      <c r="O275" t="s">
        <v>397</v>
      </c>
      <c r="P275" t="s">
        <v>4312</v>
      </c>
      <c r="Q275" t="s">
        <v>4313</v>
      </c>
      <c r="R275" t="s">
        <v>665</v>
      </c>
      <c r="S275" t="s">
        <v>4314</v>
      </c>
      <c r="T275" t="s">
        <v>4315</v>
      </c>
      <c r="U275" t="s">
        <v>4316</v>
      </c>
      <c r="V275" t="s">
        <v>205</v>
      </c>
      <c r="W275" t="s">
        <v>174</v>
      </c>
      <c r="X275" t="s">
        <v>207</v>
      </c>
      <c r="Y275" t="s">
        <v>118</v>
      </c>
      <c r="Z275" t="s">
        <v>4317</v>
      </c>
      <c r="AA275" t="s">
        <v>75</v>
      </c>
      <c r="AB275" t="s">
        <v>528</v>
      </c>
      <c r="AC275" t="s">
        <v>180</v>
      </c>
      <c r="AD275" t="s">
        <v>314</v>
      </c>
      <c r="AE275" t="s">
        <v>406</v>
      </c>
      <c r="AF275">
        <v>7</v>
      </c>
      <c r="AG275" t="s">
        <v>238</v>
      </c>
      <c r="AJ275" t="s">
        <v>4318</v>
      </c>
      <c r="AK275" t="s">
        <v>571</v>
      </c>
      <c r="AL275" t="s">
        <v>4319</v>
      </c>
      <c r="AM275" t="s">
        <v>671</v>
      </c>
      <c r="AN275" t="s">
        <v>267</v>
      </c>
      <c r="AO275">
        <v>421</v>
      </c>
      <c r="AP275">
        <v>3</v>
      </c>
      <c r="AQ275" t="s">
        <v>786</v>
      </c>
      <c r="AU275" t="s">
        <v>142</v>
      </c>
      <c r="AV275" t="s">
        <v>4320</v>
      </c>
      <c r="AW275" t="s">
        <v>1697</v>
      </c>
      <c r="AX275" t="s">
        <v>270</v>
      </c>
    </row>
    <row r="276" spans="1:50" x14ac:dyDescent="0.25">
      <c r="A276" t="s">
        <v>4321</v>
      </c>
      <c r="B276" t="s">
        <v>4322</v>
      </c>
      <c r="C276" t="s">
        <v>4323</v>
      </c>
      <c r="D276" t="s">
        <v>793</v>
      </c>
      <c r="E276" t="s">
        <v>91</v>
      </c>
      <c r="F276" t="s">
        <v>4324</v>
      </c>
      <c r="G276">
        <v>23</v>
      </c>
      <c r="H276">
        <v>673.61</v>
      </c>
      <c r="I276" t="s">
        <v>162</v>
      </c>
      <c r="J276">
        <v>15493.03</v>
      </c>
      <c r="K276" t="s">
        <v>280</v>
      </c>
      <c r="L276" t="s">
        <v>4325</v>
      </c>
      <c r="M276" t="s">
        <v>2270</v>
      </c>
      <c r="N276" t="s">
        <v>166</v>
      </c>
      <c r="O276" t="s">
        <v>854</v>
      </c>
      <c r="P276" t="s">
        <v>1211</v>
      </c>
      <c r="Q276" t="s">
        <v>4326</v>
      </c>
      <c r="R276" t="s">
        <v>994</v>
      </c>
      <c r="S276" t="s">
        <v>4327</v>
      </c>
      <c r="T276" t="s">
        <v>4328</v>
      </c>
      <c r="U276" t="s">
        <v>4329</v>
      </c>
      <c r="V276" t="s">
        <v>70</v>
      </c>
      <c r="W276" t="s">
        <v>71</v>
      </c>
      <c r="X276" t="s">
        <v>175</v>
      </c>
      <c r="Y276" t="s">
        <v>106</v>
      </c>
      <c r="Z276" t="s">
        <v>4330</v>
      </c>
      <c r="AA276" t="s">
        <v>236</v>
      </c>
      <c r="AB276" t="s">
        <v>528</v>
      </c>
      <c r="AC276" t="s">
        <v>264</v>
      </c>
      <c r="AD276">
        <v>2025</v>
      </c>
      <c r="AE276" t="s">
        <v>406</v>
      </c>
      <c r="AF276">
        <v>29</v>
      </c>
      <c r="AG276" t="s">
        <v>238</v>
      </c>
      <c r="AJ276" t="s">
        <v>91</v>
      </c>
      <c r="AK276" t="s">
        <v>79</v>
      </c>
      <c r="AL276" t="s">
        <v>4331</v>
      </c>
      <c r="AM276" t="s">
        <v>1973</v>
      </c>
      <c r="AN276" t="s">
        <v>82</v>
      </c>
      <c r="AO276">
        <v>234</v>
      </c>
      <c r="AP276" t="s">
        <v>187</v>
      </c>
      <c r="AQ276" t="s">
        <v>151</v>
      </c>
      <c r="AR276">
        <v>1</v>
      </c>
      <c r="AS276" t="s">
        <v>429</v>
      </c>
      <c r="AT276" t="s">
        <v>361</v>
      </c>
      <c r="AU276" t="s">
        <v>4332</v>
      </c>
      <c r="AV276" t="s">
        <v>4333</v>
      </c>
      <c r="AW276" t="s">
        <v>122</v>
      </c>
      <c r="AX276" t="s">
        <v>246</v>
      </c>
    </row>
    <row r="277" spans="1:50" x14ac:dyDescent="0.25">
      <c r="A277" t="s">
        <v>4334</v>
      </c>
      <c r="B277" t="s">
        <v>4335</v>
      </c>
      <c r="C277" t="s">
        <v>4336</v>
      </c>
      <c r="D277" t="s">
        <v>4337</v>
      </c>
      <c r="E277" t="s">
        <v>1809</v>
      </c>
      <c r="F277" t="s">
        <v>299</v>
      </c>
      <c r="G277" t="s">
        <v>4338</v>
      </c>
      <c r="H277">
        <v>545.57000000000005</v>
      </c>
      <c r="I277" t="s">
        <v>162</v>
      </c>
      <c r="K277" t="s">
        <v>280</v>
      </c>
      <c r="L277" t="s">
        <v>481</v>
      </c>
      <c r="M277" t="s">
        <v>91</v>
      </c>
      <c r="N277" t="s">
        <v>396</v>
      </c>
      <c r="O277" t="s">
        <v>1230</v>
      </c>
      <c r="P277" t="s">
        <v>1269</v>
      </c>
      <c r="Q277" t="s">
        <v>4339</v>
      </c>
      <c r="R277" t="s">
        <v>505</v>
      </c>
      <c r="S277" t="s">
        <v>4340</v>
      </c>
      <c r="T277" t="s">
        <v>4341</v>
      </c>
      <c r="U277" t="s">
        <v>4342</v>
      </c>
      <c r="V277" t="s">
        <v>290</v>
      </c>
      <c r="W277" t="s">
        <v>71</v>
      </c>
      <c r="X277" t="s">
        <v>233</v>
      </c>
      <c r="Y277" t="s">
        <v>234</v>
      </c>
      <c r="Z277" t="s">
        <v>4343</v>
      </c>
      <c r="AA277" t="s">
        <v>19</v>
      </c>
      <c r="AB277" t="s">
        <v>108</v>
      </c>
      <c r="AC277" t="s">
        <v>264</v>
      </c>
      <c r="AD277" t="s">
        <v>237</v>
      </c>
      <c r="AE277" t="s">
        <v>77</v>
      </c>
      <c r="AF277">
        <v>12</v>
      </c>
      <c r="AG277" t="s">
        <v>111</v>
      </c>
      <c r="AJ277" t="s">
        <v>4344</v>
      </c>
      <c r="AK277" t="s">
        <v>240</v>
      </c>
      <c r="AL277" t="s">
        <v>4345</v>
      </c>
      <c r="AM277" t="s">
        <v>4346</v>
      </c>
      <c r="AN277" t="s">
        <v>116</v>
      </c>
      <c r="AO277">
        <v>456</v>
      </c>
      <c r="AP277">
        <v>3</v>
      </c>
      <c r="AQ277" t="s">
        <v>786</v>
      </c>
      <c r="AR277" t="s">
        <v>188</v>
      </c>
      <c r="AT277" t="s">
        <v>361</v>
      </c>
      <c r="AU277" t="s">
        <v>4347</v>
      </c>
      <c r="AV277" t="s">
        <v>4348</v>
      </c>
      <c r="AW277" t="s">
        <v>1527</v>
      </c>
      <c r="AX277" t="s">
        <v>191</v>
      </c>
    </row>
    <row r="278" spans="1:50" x14ac:dyDescent="0.25">
      <c r="A278" t="s">
        <v>4349</v>
      </c>
      <c r="B278" t="s">
        <v>4350</v>
      </c>
      <c r="C278" t="s">
        <v>4351</v>
      </c>
      <c r="D278" t="s">
        <v>1135</v>
      </c>
      <c r="E278" t="s">
        <v>4352</v>
      </c>
      <c r="F278" t="s">
        <v>327</v>
      </c>
      <c r="G278">
        <v>24</v>
      </c>
      <c r="H278" t="s">
        <v>3728</v>
      </c>
      <c r="J278" t="s">
        <v>142</v>
      </c>
      <c r="K278" t="s">
        <v>59</v>
      </c>
      <c r="L278" t="s">
        <v>4353</v>
      </c>
      <c r="N278" t="s">
        <v>62</v>
      </c>
      <c r="O278" t="s">
        <v>561</v>
      </c>
      <c r="P278" t="s">
        <v>4354</v>
      </c>
      <c r="Q278" t="s">
        <v>4355</v>
      </c>
      <c r="R278" t="s">
        <v>1271</v>
      </c>
      <c r="S278" t="s">
        <v>4356</v>
      </c>
      <c r="T278" t="s">
        <v>4357</v>
      </c>
      <c r="U278" t="s">
        <v>4358</v>
      </c>
      <c r="V278" t="s">
        <v>290</v>
      </c>
      <c r="W278" t="s">
        <v>311</v>
      </c>
      <c r="X278" t="s">
        <v>105</v>
      </c>
      <c r="Y278" t="s">
        <v>176</v>
      </c>
      <c r="Z278" t="s">
        <v>4359</v>
      </c>
      <c r="AA278" t="s">
        <v>19</v>
      </c>
      <c r="AB278" t="s">
        <v>405</v>
      </c>
      <c r="AC278" t="s">
        <v>2988</v>
      </c>
      <c r="AD278" t="s">
        <v>146</v>
      </c>
      <c r="AE278" t="s">
        <v>181</v>
      </c>
      <c r="AF278">
        <v>82</v>
      </c>
      <c r="AG278" t="s">
        <v>238</v>
      </c>
      <c r="AJ278" t="s">
        <v>652</v>
      </c>
      <c r="AK278" t="s">
        <v>240</v>
      </c>
      <c r="AL278" t="s">
        <v>4360</v>
      </c>
      <c r="AM278">
        <v>3.52</v>
      </c>
      <c r="AN278" t="s">
        <v>150</v>
      </c>
      <c r="AO278">
        <v>424</v>
      </c>
      <c r="AP278">
        <v>4.5</v>
      </c>
      <c r="AQ278" t="s">
        <v>318</v>
      </c>
      <c r="AS278" t="s">
        <v>429</v>
      </c>
      <c r="AT278" t="s">
        <v>119</v>
      </c>
      <c r="AU278" t="s">
        <v>4361</v>
      </c>
      <c r="AV278" t="s">
        <v>3526</v>
      </c>
      <c r="AX278" t="s">
        <v>246</v>
      </c>
    </row>
    <row r="279" spans="1:50" x14ac:dyDescent="0.25">
      <c r="A279" t="s">
        <v>4362</v>
      </c>
      <c r="B279" t="s">
        <v>2234</v>
      </c>
      <c r="C279" t="s">
        <v>4363</v>
      </c>
      <c r="D279" t="s">
        <v>3153</v>
      </c>
      <c r="E279" t="s">
        <v>4364</v>
      </c>
      <c r="F279" t="s">
        <v>1563</v>
      </c>
      <c r="G279" t="s">
        <v>2900</v>
      </c>
      <c r="H279" t="s">
        <v>641</v>
      </c>
      <c r="I279" t="s">
        <v>253</v>
      </c>
      <c r="J279" t="s">
        <v>4365</v>
      </c>
      <c r="K279" t="s">
        <v>59</v>
      </c>
      <c r="L279" t="s">
        <v>2915</v>
      </c>
      <c r="M279" t="s">
        <v>663</v>
      </c>
      <c r="N279" t="s">
        <v>135</v>
      </c>
      <c r="O279" t="s">
        <v>543</v>
      </c>
      <c r="P279" t="s">
        <v>4366</v>
      </c>
      <c r="Q279" t="s">
        <v>4367</v>
      </c>
      <c r="R279" t="s">
        <v>564</v>
      </c>
      <c r="S279" t="s">
        <v>4368</v>
      </c>
      <c r="T279" t="s">
        <v>4369</v>
      </c>
      <c r="U279" t="s">
        <v>4370</v>
      </c>
      <c r="V279" t="s">
        <v>205</v>
      </c>
      <c r="W279" t="s">
        <v>104</v>
      </c>
      <c r="X279" t="s">
        <v>424</v>
      </c>
      <c r="Y279" t="s">
        <v>73</v>
      </c>
      <c r="Z279" t="s">
        <v>4371</v>
      </c>
      <c r="AA279" t="s">
        <v>178</v>
      </c>
      <c r="AB279" t="s">
        <v>405</v>
      </c>
      <c r="AC279" t="s">
        <v>1313</v>
      </c>
      <c r="AD279">
        <v>2026</v>
      </c>
      <c r="AE279" t="s">
        <v>181</v>
      </c>
      <c r="AF279">
        <v>16</v>
      </c>
      <c r="AG279" t="s">
        <v>211</v>
      </c>
      <c r="AJ279" t="s">
        <v>142</v>
      </c>
      <c r="AK279" t="s">
        <v>571</v>
      </c>
      <c r="AL279" t="s">
        <v>4372</v>
      </c>
      <c r="AM279" t="s">
        <v>4373</v>
      </c>
      <c r="AN279" t="s">
        <v>116</v>
      </c>
      <c r="AO279">
        <v>279</v>
      </c>
      <c r="AP279">
        <v>1</v>
      </c>
      <c r="AQ279" t="s">
        <v>610</v>
      </c>
      <c r="AR279" t="s">
        <v>188</v>
      </c>
      <c r="AU279" t="s">
        <v>3713</v>
      </c>
      <c r="AV279" t="s">
        <v>1367</v>
      </c>
      <c r="AW279" t="s">
        <v>1367</v>
      </c>
      <c r="AX279" t="s">
        <v>246</v>
      </c>
    </row>
    <row r="280" spans="1:50" x14ac:dyDescent="0.25">
      <c r="A280" t="s">
        <v>4374</v>
      </c>
      <c r="B280" t="s">
        <v>4375</v>
      </c>
      <c r="C280" t="s">
        <v>4376</v>
      </c>
      <c r="D280" t="s">
        <v>250</v>
      </c>
      <c r="E280" t="s">
        <v>4377</v>
      </c>
      <c r="F280" t="s">
        <v>928</v>
      </c>
      <c r="G280" t="s">
        <v>160</v>
      </c>
      <c r="H280">
        <v>364.79</v>
      </c>
      <c r="I280" t="s">
        <v>162</v>
      </c>
      <c r="K280" t="s">
        <v>132</v>
      </c>
      <c r="L280" t="s">
        <v>1947</v>
      </c>
      <c r="M280" t="s">
        <v>91</v>
      </c>
      <c r="N280" t="s">
        <v>396</v>
      </c>
      <c r="O280" t="s">
        <v>375</v>
      </c>
      <c r="P280" t="s">
        <v>4378</v>
      </c>
      <c r="Q280" t="s">
        <v>4379</v>
      </c>
      <c r="R280" t="s">
        <v>1708</v>
      </c>
      <c r="S280" t="s">
        <v>4380</v>
      </c>
      <c r="T280" t="s">
        <v>4381</v>
      </c>
      <c r="U280" t="s">
        <v>4382</v>
      </c>
      <c r="V280" t="s">
        <v>290</v>
      </c>
      <c r="W280" t="s">
        <v>104</v>
      </c>
      <c r="X280" t="s">
        <v>175</v>
      </c>
      <c r="Y280" t="s">
        <v>176</v>
      </c>
      <c r="Z280" t="s">
        <v>4383</v>
      </c>
      <c r="AA280" t="s">
        <v>178</v>
      </c>
      <c r="AB280" t="s">
        <v>179</v>
      </c>
      <c r="AC280" t="s">
        <v>651</v>
      </c>
      <c r="AD280">
        <v>2026</v>
      </c>
      <c r="AE280" t="s">
        <v>406</v>
      </c>
      <c r="AF280">
        <v>5</v>
      </c>
      <c r="AG280" t="s">
        <v>111</v>
      </c>
      <c r="AJ280">
        <v>27.98</v>
      </c>
      <c r="AK280" t="s">
        <v>113</v>
      </c>
      <c r="AL280" t="s">
        <v>4384</v>
      </c>
      <c r="AM280" t="s">
        <v>4385</v>
      </c>
      <c r="AN280" t="s">
        <v>186</v>
      </c>
      <c r="AO280">
        <v>165</v>
      </c>
      <c r="AP280">
        <v>4.5</v>
      </c>
      <c r="AQ280" t="s">
        <v>117</v>
      </c>
      <c r="AR280">
        <v>0</v>
      </c>
      <c r="AS280" t="s">
        <v>429</v>
      </c>
      <c r="AT280" t="s">
        <v>119</v>
      </c>
      <c r="AU280">
        <v>372.09</v>
      </c>
      <c r="AV280" t="s">
        <v>4386</v>
      </c>
      <c r="AW280" t="s">
        <v>3302</v>
      </c>
      <c r="AX280" t="s">
        <v>191</v>
      </c>
    </row>
    <row r="281" spans="1:50" x14ac:dyDescent="0.25">
      <c r="A281" t="s">
        <v>4387</v>
      </c>
      <c r="B281" t="s">
        <v>4388</v>
      </c>
      <c r="C281" t="s">
        <v>142</v>
      </c>
      <c r="D281" t="s">
        <v>4389</v>
      </c>
      <c r="E281" t="s">
        <v>4390</v>
      </c>
      <c r="F281" t="s">
        <v>90</v>
      </c>
      <c r="G281" t="s">
        <v>1427</v>
      </c>
      <c r="H281" t="s">
        <v>2488</v>
      </c>
      <c r="I281">
        <v>0</v>
      </c>
      <c r="J281" t="s">
        <v>163</v>
      </c>
      <c r="K281" t="s">
        <v>330</v>
      </c>
      <c r="L281" t="s">
        <v>718</v>
      </c>
      <c r="M281" t="s">
        <v>719</v>
      </c>
      <c r="N281" t="s">
        <v>417</v>
      </c>
      <c r="O281" t="s">
        <v>461</v>
      </c>
      <c r="P281" t="s">
        <v>992</v>
      </c>
      <c r="Q281" t="s">
        <v>4391</v>
      </c>
      <c r="R281" t="s">
        <v>258</v>
      </c>
      <c r="S281" t="s">
        <v>4392</v>
      </c>
      <c r="T281" t="s">
        <v>4393</v>
      </c>
      <c r="U281" t="s">
        <v>4394</v>
      </c>
      <c r="V281" t="s">
        <v>205</v>
      </c>
      <c r="W281" t="s">
        <v>726</v>
      </c>
      <c r="X281" t="s">
        <v>105</v>
      </c>
      <c r="Y281" t="s">
        <v>337</v>
      </c>
      <c r="Z281" t="s">
        <v>4395</v>
      </c>
      <c r="AA281" t="s">
        <v>75</v>
      </c>
      <c r="AB281" t="s">
        <v>76</v>
      </c>
      <c r="AC281" t="s">
        <v>589</v>
      </c>
      <c r="AD281" t="s">
        <v>314</v>
      </c>
      <c r="AE281" t="s">
        <v>77</v>
      </c>
      <c r="AF281">
        <v>89</v>
      </c>
      <c r="AG281" t="s">
        <v>111</v>
      </c>
      <c r="AJ281" t="s">
        <v>4396</v>
      </c>
      <c r="AK281" t="s">
        <v>571</v>
      </c>
      <c r="AL281" t="s">
        <v>4397</v>
      </c>
      <c r="AM281" t="s">
        <v>4398</v>
      </c>
      <c r="AN281" t="s">
        <v>116</v>
      </c>
      <c r="AO281" t="s">
        <v>134</v>
      </c>
      <c r="AP281">
        <v>2</v>
      </c>
      <c r="AQ281" t="s">
        <v>318</v>
      </c>
      <c r="AT281" t="s">
        <v>361</v>
      </c>
      <c r="AU281" t="s">
        <v>4399</v>
      </c>
      <c r="AV281" t="s">
        <v>2398</v>
      </c>
      <c r="AW281" t="s">
        <v>1527</v>
      </c>
      <c r="AX281" t="s">
        <v>85</v>
      </c>
    </row>
    <row r="282" spans="1:50" x14ac:dyDescent="0.25">
      <c r="A282" t="s">
        <v>4400</v>
      </c>
      <c r="B282" t="s">
        <v>4401</v>
      </c>
      <c r="C282" t="s">
        <v>4402</v>
      </c>
      <c r="D282" t="s">
        <v>4403</v>
      </c>
      <c r="E282" t="s">
        <v>4404</v>
      </c>
      <c r="F282" t="s">
        <v>91</v>
      </c>
      <c r="G282" t="s">
        <v>4405</v>
      </c>
      <c r="H282" t="s">
        <v>813</v>
      </c>
      <c r="I282" t="s">
        <v>58</v>
      </c>
      <c r="J282" t="s">
        <v>4406</v>
      </c>
      <c r="K282" t="s">
        <v>59</v>
      </c>
      <c r="L282" t="s">
        <v>460</v>
      </c>
      <c r="M282" t="s">
        <v>4407</v>
      </c>
      <c r="N282" t="s">
        <v>62</v>
      </c>
      <c r="O282" t="s">
        <v>561</v>
      </c>
      <c r="P282" t="s">
        <v>4408</v>
      </c>
      <c r="Q282" t="s">
        <v>4409</v>
      </c>
      <c r="R282" t="s">
        <v>665</v>
      </c>
      <c r="S282" t="s">
        <v>4410</v>
      </c>
      <c r="T282" t="s">
        <v>4411</v>
      </c>
      <c r="U282" t="s">
        <v>4412</v>
      </c>
      <c r="V282" t="s">
        <v>70</v>
      </c>
      <c r="W282" t="s">
        <v>71</v>
      </c>
      <c r="X282" t="s">
        <v>424</v>
      </c>
      <c r="Y282" t="s">
        <v>73</v>
      </c>
      <c r="Z282" t="s">
        <v>4413</v>
      </c>
      <c r="AA282" t="s">
        <v>236</v>
      </c>
      <c r="AB282" t="s">
        <v>528</v>
      </c>
      <c r="AC282">
        <v>6</v>
      </c>
      <c r="AD282" t="s">
        <v>210</v>
      </c>
      <c r="AE282" t="s">
        <v>406</v>
      </c>
      <c r="AF282">
        <v>87</v>
      </c>
      <c r="AG282">
        <v>0.08</v>
      </c>
      <c r="AJ282">
        <v>37.6</v>
      </c>
      <c r="AK282" t="s">
        <v>240</v>
      </c>
      <c r="AL282" t="s">
        <v>4414</v>
      </c>
      <c r="AM282">
        <v>21.09</v>
      </c>
      <c r="AN282" t="s">
        <v>186</v>
      </c>
      <c r="AO282">
        <v>155</v>
      </c>
      <c r="AP282" t="s">
        <v>187</v>
      </c>
      <c r="AQ282" t="s">
        <v>242</v>
      </c>
      <c r="AR282" t="s">
        <v>188</v>
      </c>
      <c r="AS282" t="s">
        <v>215</v>
      </c>
      <c r="AU282" t="s">
        <v>4415</v>
      </c>
      <c r="AV282" t="s">
        <v>1317</v>
      </c>
      <c r="AW282" t="s">
        <v>1697</v>
      </c>
      <c r="AX282" t="s">
        <v>85</v>
      </c>
    </row>
    <row r="283" spans="1:50" x14ac:dyDescent="0.25">
      <c r="A283" t="s">
        <v>4416</v>
      </c>
      <c r="B283" t="s">
        <v>4417</v>
      </c>
      <c r="C283" t="s">
        <v>4418</v>
      </c>
      <c r="D283" t="s">
        <v>478</v>
      </c>
      <c r="E283" t="s">
        <v>4419</v>
      </c>
      <c r="F283" t="s">
        <v>299</v>
      </c>
      <c r="G283" t="s">
        <v>1980</v>
      </c>
      <c r="H283" t="s">
        <v>4420</v>
      </c>
      <c r="I283">
        <v>0.1</v>
      </c>
      <c r="J283" t="s">
        <v>4421</v>
      </c>
      <c r="K283" t="s">
        <v>92</v>
      </c>
      <c r="L283" t="s">
        <v>3076</v>
      </c>
      <c r="M283" t="s">
        <v>4422</v>
      </c>
      <c r="N283" t="s">
        <v>135</v>
      </c>
      <c r="O283" t="s">
        <v>63</v>
      </c>
      <c r="P283" t="s">
        <v>778</v>
      </c>
      <c r="Q283" t="s">
        <v>4423</v>
      </c>
      <c r="R283" t="s">
        <v>307</v>
      </c>
      <c r="S283" t="s">
        <v>4424</v>
      </c>
      <c r="T283" t="s">
        <v>4425</v>
      </c>
      <c r="U283" t="s">
        <v>4426</v>
      </c>
      <c r="V283" t="s">
        <v>290</v>
      </c>
      <c r="W283" t="s">
        <v>174</v>
      </c>
      <c r="X283" t="s">
        <v>72</v>
      </c>
      <c r="Y283" t="s">
        <v>234</v>
      </c>
      <c r="Z283" t="s">
        <v>4427</v>
      </c>
      <c r="AA283" t="s">
        <v>19</v>
      </c>
      <c r="AB283" t="s">
        <v>179</v>
      </c>
      <c r="AC283" t="s">
        <v>2586</v>
      </c>
      <c r="AD283" t="s">
        <v>314</v>
      </c>
      <c r="AE283" t="s">
        <v>181</v>
      </c>
      <c r="AF283">
        <v>13</v>
      </c>
      <c r="AG283" t="s">
        <v>238</v>
      </c>
      <c r="AJ283" t="s">
        <v>4428</v>
      </c>
      <c r="AK283" t="s">
        <v>240</v>
      </c>
      <c r="AL283" t="s">
        <v>4429</v>
      </c>
      <c r="AM283" t="s">
        <v>4430</v>
      </c>
      <c r="AN283" t="s">
        <v>116</v>
      </c>
      <c r="AO283">
        <v>172</v>
      </c>
      <c r="AP283">
        <v>4.5</v>
      </c>
      <c r="AQ283" t="s">
        <v>786</v>
      </c>
      <c r="AR283" t="s">
        <v>118</v>
      </c>
      <c r="AT283" t="s">
        <v>361</v>
      </c>
      <c r="AU283" t="s">
        <v>4431</v>
      </c>
      <c r="AV283" t="s">
        <v>4432</v>
      </c>
      <c r="AX283" t="s">
        <v>270</v>
      </c>
    </row>
    <row r="284" spans="1:50" x14ac:dyDescent="0.25">
      <c r="A284" t="s">
        <v>4433</v>
      </c>
      <c r="B284" t="s">
        <v>4434</v>
      </c>
      <c r="C284" t="s">
        <v>4435</v>
      </c>
      <c r="D284" t="s">
        <v>4436</v>
      </c>
      <c r="E284" t="s">
        <v>4437</v>
      </c>
      <c r="F284" t="s">
        <v>4438</v>
      </c>
      <c r="G284" t="s">
        <v>4439</v>
      </c>
      <c r="H284" t="s">
        <v>4440</v>
      </c>
      <c r="I284">
        <v>0</v>
      </c>
      <c r="J284" t="s">
        <v>4441</v>
      </c>
      <c r="K284" t="s">
        <v>59</v>
      </c>
      <c r="L284" t="s">
        <v>1498</v>
      </c>
      <c r="M284" t="s">
        <v>142</v>
      </c>
      <c r="N284" t="s">
        <v>166</v>
      </c>
      <c r="O284" t="s">
        <v>283</v>
      </c>
      <c r="P284" t="s">
        <v>3546</v>
      </c>
      <c r="Q284" t="s">
        <v>4442</v>
      </c>
      <c r="R284" t="s">
        <v>505</v>
      </c>
      <c r="S284" t="s">
        <v>4443</v>
      </c>
      <c r="T284" t="s">
        <v>4444</v>
      </c>
      <c r="U284" t="s">
        <v>4445</v>
      </c>
      <c r="V284" t="s">
        <v>70</v>
      </c>
      <c r="W284" t="s">
        <v>311</v>
      </c>
      <c r="X284" t="s">
        <v>175</v>
      </c>
      <c r="Y284" t="s">
        <v>73</v>
      </c>
      <c r="Z284" t="s">
        <v>4446</v>
      </c>
      <c r="AA284" t="s">
        <v>236</v>
      </c>
      <c r="AB284" t="s">
        <v>108</v>
      </c>
      <c r="AC284" t="s">
        <v>180</v>
      </c>
      <c r="AD284">
        <v>2026</v>
      </c>
      <c r="AE284" t="s">
        <v>406</v>
      </c>
      <c r="AF284" t="s">
        <v>134</v>
      </c>
      <c r="AG284">
        <v>0.08</v>
      </c>
      <c r="AJ284" t="s">
        <v>4447</v>
      </c>
      <c r="AK284" t="s">
        <v>79</v>
      </c>
      <c r="AL284" t="s">
        <v>4448</v>
      </c>
      <c r="AM284" t="s">
        <v>4449</v>
      </c>
      <c r="AN284" t="s">
        <v>116</v>
      </c>
      <c r="AO284">
        <v>424</v>
      </c>
      <c r="AP284">
        <v>4.5</v>
      </c>
      <c r="AQ284" t="s">
        <v>786</v>
      </c>
      <c r="AR284" t="s">
        <v>188</v>
      </c>
      <c r="AS284" t="s">
        <v>215</v>
      </c>
      <c r="AT284" t="s">
        <v>119</v>
      </c>
      <c r="AU284" t="s">
        <v>134</v>
      </c>
      <c r="AV284" t="s">
        <v>1499</v>
      </c>
      <c r="AW284" t="s">
        <v>122</v>
      </c>
    </row>
    <row r="285" spans="1:50" x14ac:dyDescent="0.25">
      <c r="A285" t="s">
        <v>4450</v>
      </c>
      <c r="B285" t="s">
        <v>4451</v>
      </c>
      <c r="C285" t="s">
        <v>4452</v>
      </c>
      <c r="D285" t="s">
        <v>4453</v>
      </c>
      <c r="E285" t="s">
        <v>1477</v>
      </c>
      <c r="F285" t="s">
        <v>1225</v>
      </c>
      <c r="G285" t="s">
        <v>4338</v>
      </c>
      <c r="H285">
        <v>334.59</v>
      </c>
      <c r="I285">
        <v>0</v>
      </c>
      <c r="J285" t="s">
        <v>142</v>
      </c>
      <c r="K285" t="s">
        <v>132</v>
      </c>
      <c r="L285" t="s">
        <v>3060</v>
      </c>
      <c r="M285" t="s">
        <v>1100</v>
      </c>
      <c r="N285" t="s">
        <v>166</v>
      </c>
      <c r="O285" t="s">
        <v>621</v>
      </c>
      <c r="P285" t="s">
        <v>3246</v>
      </c>
      <c r="Q285" t="s">
        <v>4454</v>
      </c>
      <c r="R285" t="s">
        <v>1708</v>
      </c>
      <c r="S285" t="s">
        <v>4455</v>
      </c>
      <c r="T285" t="s">
        <v>4456</v>
      </c>
      <c r="U285" t="s">
        <v>4457</v>
      </c>
      <c r="V285" t="s">
        <v>70</v>
      </c>
      <c r="W285" t="s">
        <v>174</v>
      </c>
      <c r="X285" t="s">
        <v>233</v>
      </c>
      <c r="Y285" t="s">
        <v>234</v>
      </c>
      <c r="Z285" t="s">
        <v>4458</v>
      </c>
      <c r="AA285" t="s">
        <v>236</v>
      </c>
      <c r="AB285" t="s">
        <v>179</v>
      </c>
      <c r="AC285" t="s">
        <v>109</v>
      </c>
      <c r="AD285" t="s">
        <v>210</v>
      </c>
      <c r="AE285" t="s">
        <v>110</v>
      </c>
      <c r="AF285">
        <v>70</v>
      </c>
      <c r="AG285" t="s">
        <v>111</v>
      </c>
      <c r="AJ285" t="s">
        <v>4459</v>
      </c>
      <c r="AK285" t="s">
        <v>571</v>
      </c>
      <c r="AL285" t="s">
        <v>4460</v>
      </c>
      <c r="AM285">
        <v>29.31</v>
      </c>
      <c r="AN285" t="s">
        <v>82</v>
      </c>
      <c r="AO285">
        <v>89</v>
      </c>
      <c r="AP285">
        <v>4.5</v>
      </c>
      <c r="AR285" t="s">
        <v>319</v>
      </c>
      <c r="AS285" t="s">
        <v>215</v>
      </c>
      <c r="AT285" t="s">
        <v>361</v>
      </c>
      <c r="AU285" t="s">
        <v>4461</v>
      </c>
      <c r="AV285" t="s">
        <v>4462</v>
      </c>
      <c r="AW285" t="s">
        <v>4463</v>
      </c>
      <c r="AX285" t="s">
        <v>270</v>
      </c>
    </row>
    <row r="286" spans="1:50" x14ac:dyDescent="0.25">
      <c r="A286" t="s">
        <v>4464</v>
      </c>
      <c r="B286" t="s">
        <v>4465</v>
      </c>
      <c r="C286" t="s">
        <v>3225</v>
      </c>
      <c r="D286" t="s">
        <v>4453</v>
      </c>
      <c r="E286" t="s">
        <v>4466</v>
      </c>
      <c r="F286" t="s">
        <v>3106</v>
      </c>
      <c r="G286">
        <v>3</v>
      </c>
      <c r="H286" t="s">
        <v>872</v>
      </c>
      <c r="I286" t="s">
        <v>58</v>
      </c>
      <c r="J286" t="s">
        <v>4467</v>
      </c>
      <c r="K286" t="s">
        <v>59</v>
      </c>
      <c r="L286" t="s">
        <v>281</v>
      </c>
      <c r="M286" t="s">
        <v>142</v>
      </c>
      <c r="N286" t="s">
        <v>166</v>
      </c>
      <c r="O286" t="s">
        <v>621</v>
      </c>
      <c r="P286" t="s">
        <v>4468</v>
      </c>
      <c r="Q286" t="s">
        <v>4469</v>
      </c>
      <c r="R286" t="s">
        <v>484</v>
      </c>
      <c r="S286" t="s">
        <v>4470</v>
      </c>
      <c r="T286" t="s">
        <v>4471</v>
      </c>
      <c r="U286" t="s">
        <v>4472</v>
      </c>
      <c r="V286" t="s">
        <v>103</v>
      </c>
      <c r="W286" t="s">
        <v>726</v>
      </c>
      <c r="X286" t="s">
        <v>207</v>
      </c>
      <c r="Y286" t="s">
        <v>176</v>
      </c>
      <c r="Z286" t="s">
        <v>4473</v>
      </c>
      <c r="AA286" t="s">
        <v>19</v>
      </c>
      <c r="AB286" t="s">
        <v>108</v>
      </c>
      <c r="AC286" t="s">
        <v>1107</v>
      </c>
      <c r="AD286">
        <v>2026</v>
      </c>
      <c r="AE286" t="s">
        <v>406</v>
      </c>
      <c r="AF286">
        <v>82</v>
      </c>
      <c r="AG286">
        <v>0.08</v>
      </c>
      <c r="AJ286" t="s">
        <v>4474</v>
      </c>
      <c r="AK286" t="s">
        <v>240</v>
      </c>
      <c r="AL286" t="s">
        <v>4475</v>
      </c>
      <c r="AM286" t="s">
        <v>4476</v>
      </c>
      <c r="AN286" t="s">
        <v>150</v>
      </c>
      <c r="AO286">
        <v>390</v>
      </c>
      <c r="AP286">
        <v>5</v>
      </c>
      <c r="AQ286" t="s">
        <v>117</v>
      </c>
      <c r="AR286" t="s">
        <v>118</v>
      </c>
      <c r="AS286" t="s">
        <v>215</v>
      </c>
      <c r="AT286" t="s">
        <v>152</v>
      </c>
      <c r="AU286" t="s">
        <v>4477</v>
      </c>
      <c r="AV286" t="s">
        <v>4478</v>
      </c>
      <c r="AW286" t="s">
        <v>364</v>
      </c>
    </row>
    <row r="287" spans="1:50" x14ac:dyDescent="0.25">
      <c r="A287" t="s">
        <v>4479</v>
      </c>
      <c r="B287" t="s">
        <v>4480</v>
      </c>
      <c r="C287" t="s">
        <v>4481</v>
      </c>
      <c r="D287" t="s">
        <v>1244</v>
      </c>
      <c r="E287" t="s">
        <v>1545</v>
      </c>
      <c r="F287" t="s">
        <v>222</v>
      </c>
      <c r="G287" t="s">
        <v>2563</v>
      </c>
      <c r="H287">
        <v>1421.82</v>
      </c>
      <c r="I287" t="s">
        <v>253</v>
      </c>
      <c r="J287" t="s">
        <v>4482</v>
      </c>
      <c r="K287" t="s">
        <v>59</v>
      </c>
      <c r="L287" t="s">
        <v>560</v>
      </c>
      <c r="M287" t="s">
        <v>142</v>
      </c>
      <c r="N287" t="s">
        <v>62</v>
      </c>
      <c r="O287" t="s">
        <v>854</v>
      </c>
      <c r="P287" t="s">
        <v>2520</v>
      </c>
      <c r="Q287" t="s">
        <v>4483</v>
      </c>
      <c r="R287" t="s">
        <v>818</v>
      </c>
      <c r="S287" t="s">
        <v>4484</v>
      </c>
      <c r="T287" t="s">
        <v>4485</v>
      </c>
      <c r="U287" t="s">
        <v>4486</v>
      </c>
      <c r="V287" t="s">
        <v>205</v>
      </c>
      <c r="W287" t="s">
        <v>71</v>
      </c>
      <c r="X287" t="s">
        <v>175</v>
      </c>
      <c r="Y287" t="s">
        <v>176</v>
      </c>
      <c r="Z287" t="s">
        <v>4487</v>
      </c>
      <c r="AA287" t="s">
        <v>75</v>
      </c>
      <c r="AB287" t="s">
        <v>108</v>
      </c>
      <c r="AC287" t="s">
        <v>1147</v>
      </c>
      <c r="AD287">
        <v>2025</v>
      </c>
      <c r="AE287" t="s">
        <v>77</v>
      </c>
      <c r="AF287">
        <v>27</v>
      </c>
      <c r="AG287" t="s">
        <v>238</v>
      </c>
      <c r="AJ287">
        <v>9.9</v>
      </c>
      <c r="AK287" t="s">
        <v>113</v>
      </c>
      <c r="AL287" t="s">
        <v>4488</v>
      </c>
      <c r="AM287" t="s">
        <v>4489</v>
      </c>
      <c r="AN287" t="s">
        <v>82</v>
      </c>
      <c r="AO287">
        <v>83</v>
      </c>
      <c r="AP287">
        <v>1</v>
      </c>
      <c r="AQ287" t="s">
        <v>610</v>
      </c>
      <c r="AS287" t="s">
        <v>83</v>
      </c>
      <c r="AU287" t="s">
        <v>142</v>
      </c>
      <c r="AV287" t="s">
        <v>2846</v>
      </c>
      <c r="AW287" t="s">
        <v>122</v>
      </c>
      <c r="AX287" t="s">
        <v>85</v>
      </c>
    </row>
    <row r="288" spans="1:50" x14ac:dyDescent="0.25">
      <c r="A288" t="s">
        <v>4490</v>
      </c>
      <c r="B288" t="s">
        <v>1858</v>
      </c>
      <c r="C288" t="s">
        <v>4491</v>
      </c>
      <c r="D288" t="s">
        <v>3584</v>
      </c>
      <c r="E288" t="s">
        <v>2487</v>
      </c>
      <c r="F288" t="s">
        <v>90</v>
      </c>
      <c r="G288" t="s">
        <v>2405</v>
      </c>
      <c r="H288" t="s">
        <v>3586</v>
      </c>
      <c r="I288">
        <v>0.1</v>
      </c>
      <c r="K288" t="s">
        <v>59</v>
      </c>
      <c r="L288" t="s">
        <v>331</v>
      </c>
      <c r="M288" t="s">
        <v>742</v>
      </c>
      <c r="N288" t="s">
        <v>95</v>
      </c>
      <c r="O288" t="s">
        <v>375</v>
      </c>
      <c r="P288" t="s">
        <v>4492</v>
      </c>
      <c r="Q288" t="s">
        <v>4493</v>
      </c>
      <c r="R288" t="s">
        <v>564</v>
      </c>
      <c r="S288" t="s">
        <v>4494</v>
      </c>
      <c r="T288" t="s">
        <v>4495</v>
      </c>
      <c r="U288" t="s">
        <v>4496</v>
      </c>
      <c r="V288" t="s">
        <v>70</v>
      </c>
      <c r="W288" t="s">
        <v>206</v>
      </c>
      <c r="X288" t="s">
        <v>233</v>
      </c>
      <c r="Y288" t="s">
        <v>73</v>
      </c>
      <c r="Z288" t="s">
        <v>4497</v>
      </c>
      <c r="AA288" t="s">
        <v>19</v>
      </c>
      <c r="AB288" t="s">
        <v>263</v>
      </c>
      <c r="AC288" t="s">
        <v>569</v>
      </c>
      <c r="AD288" t="s">
        <v>146</v>
      </c>
      <c r="AE288" t="s">
        <v>77</v>
      </c>
      <c r="AF288">
        <v>3</v>
      </c>
      <c r="AG288">
        <v>0.08</v>
      </c>
      <c r="AJ288" t="s">
        <v>4498</v>
      </c>
      <c r="AK288" t="s">
        <v>183</v>
      </c>
      <c r="AL288" t="s">
        <v>4499</v>
      </c>
      <c r="AM288">
        <v>29.07</v>
      </c>
      <c r="AN288" t="s">
        <v>150</v>
      </c>
      <c r="AO288">
        <v>146</v>
      </c>
      <c r="AP288">
        <v>2</v>
      </c>
      <c r="AQ288" t="s">
        <v>117</v>
      </c>
      <c r="AR288">
        <v>1</v>
      </c>
      <c r="AT288" t="s">
        <v>361</v>
      </c>
      <c r="AU288" t="s">
        <v>91</v>
      </c>
      <c r="AV288" t="s">
        <v>4500</v>
      </c>
      <c r="AX288" t="s">
        <v>270</v>
      </c>
    </row>
    <row r="289" spans="1:50" x14ac:dyDescent="0.25">
      <c r="A289" t="s">
        <v>4501</v>
      </c>
      <c r="B289" t="s">
        <v>4502</v>
      </c>
      <c r="C289" t="s">
        <v>4503</v>
      </c>
      <c r="D289" t="s">
        <v>2298</v>
      </c>
      <c r="E289" t="s">
        <v>2299</v>
      </c>
      <c r="F289" t="s">
        <v>4504</v>
      </c>
      <c r="G289" t="s">
        <v>2647</v>
      </c>
      <c r="H289">
        <v>430.47</v>
      </c>
      <c r="J289" t="s">
        <v>4505</v>
      </c>
      <c r="K289" t="s">
        <v>132</v>
      </c>
      <c r="L289" t="s">
        <v>1046</v>
      </c>
      <c r="N289" t="s">
        <v>166</v>
      </c>
      <c r="O289" t="s">
        <v>226</v>
      </c>
      <c r="P289" t="s">
        <v>137</v>
      </c>
      <c r="Q289" t="s">
        <v>4506</v>
      </c>
      <c r="R289" t="s">
        <v>378</v>
      </c>
      <c r="S289" t="s">
        <v>4507</v>
      </c>
      <c r="T289" t="s">
        <v>4508</v>
      </c>
      <c r="U289" t="s">
        <v>4509</v>
      </c>
      <c r="V289" t="s">
        <v>70</v>
      </c>
      <c r="W289" t="s">
        <v>726</v>
      </c>
      <c r="X289" t="s">
        <v>207</v>
      </c>
      <c r="Y289" t="s">
        <v>234</v>
      </c>
      <c r="Z289" t="s">
        <v>4510</v>
      </c>
      <c r="AA289" t="s">
        <v>19</v>
      </c>
      <c r="AB289" t="s">
        <v>405</v>
      </c>
      <c r="AC289">
        <v>1</v>
      </c>
      <c r="AD289" t="s">
        <v>210</v>
      </c>
      <c r="AE289" t="s">
        <v>406</v>
      </c>
      <c r="AF289">
        <v>66</v>
      </c>
      <c r="AG289">
        <v>0.08</v>
      </c>
      <c r="AJ289" t="s">
        <v>4511</v>
      </c>
      <c r="AK289" t="s">
        <v>183</v>
      </c>
      <c r="AL289" t="s">
        <v>4512</v>
      </c>
      <c r="AM289" t="s">
        <v>4513</v>
      </c>
      <c r="AN289" t="s">
        <v>82</v>
      </c>
      <c r="AO289">
        <v>15</v>
      </c>
      <c r="AP289">
        <v>4.5</v>
      </c>
      <c r="AQ289" t="s">
        <v>786</v>
      </c>
      <c r="AR289" t="s">
        <v>118</v>
      </c>
      <c r="AS289" t="s">
        <v>429</v>
      </c>
      <c r="AT289" t="s">
        <v>119</v>
      </c>
      <c r="AU289" t="s">
        <v>4514</v>
      </c>
      <c r="AV289" t="s">
        <v>611</v>
      </c>
      <c r="AW289" t="s">
        <v>611</v>
      </c>
      <c r="AX289" t="s">
        <v>246</v>
      </c>
    </row>
    <row r="290" spans="1:50" x14ac:dyDescent="0.25">
      <c r="A290" t="s">
        <v>4515</v>
      </c>
      <c r="B290" t="s">
        <v>4516</v>
      </c>
      <c r="C290" t="s">
        <v>4517</v>
      </c>
      <c r="D290" t="s">
        <v>517</v>
      </c>
      <c r="E290" t="s">
        <v>134</v>
      </c>
      <c r="F290" t="s">
        <v>128</v>
      </c>
      <c r="G290" t="s">
        <v>3091</v>
      </c>
      <c r="H290">
        <v>247.64</v>
      </c>
      <c r="J290" t="s">
        <v>163</v>
      </c>
      <c r="K290" t="s">
        <v>132</v>
      </c>
      <c r="L290" t="s">
        <v>1931</v>
      </c>
      <c r="M290" t="s">
        <v>1002</v>
      </c>
      <c r="N290" t="s">
        <v>95</v>
      </c>
      <c r="O290" t="s">
        <v>63</v>
      </c>
      <c r="P290" t="s">
        <v>4518</v>
      </c>
      <c r="Q290" t="s">
        <v>4519</v>
      </c>
      <c r="R290" t="s">
        <v>201</v>
      </c>
      <c r="S290" t="s">
        <v>4520</v>
      </c>
      <c r="T290" t="s">
        <v>4521</v>
      </c>
      <c r="U290" t="s">
        <v>4522</v>
      </c>
      <c r="V290" t="s">
        <v>70</v>
      </c>
      <c r="W290" t="s">
        <v>726</v>
      </c>
      <c r="X290" t="s">
        <v>233</v>
      </c>
      <c r="Y290" t="s">
        <v>73</v>
      </c>
      <c r="Z290" t="s">
        <v>4523</v>
      </c>
      <c r="AA290" t="s">
        <v>178</v>
      </c>
      <c r="AB290" t="s">
        <v>76</v>
      </c>
      <c r="AC290" t="s">
        <v>569</v>
      </c>
      <c r="AD290">
        <v>2026</v>
      </c>
      <c r="AE290" t="s">
        <v>110</v>
      </c>
      <c r="AF290">
        <v>47</v>
      </c>
      <c r="AG290" t="s">
        <v>211</v>
      </c>
      <c r="AJ290" t="s">
        <v>4524</v>
      </c>
      <c r="AK290" t="s">
        <v>571</v>
      </c>
      <c r="AL290" t="s">
        <v>4525</v>
      </c>
      <c r="AM290">
        <v>17.48</v>
      </c>
      <c r="AN290" t="s">
        <v>150</v>
      </c>
      <c r="AO290">
        <v>323</v>
      </c>
      <c r="AP290">
        <v>1</v>
      </c>
      <c r="AQ290" t="s">
        <v>242</v>
      </c>
      <c r="AT290">
        <v>0.3</v>
      </c>
      <c r="AU290">
        <v>185.73</v>
      </c>
      <c r="AV290" t="s">
        <v>4526</v>
      </c>
      <c r="AW290" t="s">
        <v>4158</v>
      </c>
      <c r="AX290" t="s">
        <v>246</v>
      </c>
    </row>
    <row r="291" spans="1:50" x14ac:dyDescent="0.25">
      <c r="A291" t="s">
        <v>4527</v>
      </c>
      <c r="B291" t="s">
        <v>4528</v>
      </c>
      <c r="C291" t="s">
        <v>4529</v>
      </c>
      <c r="D291" t="s">
        <v>4530</v>
      </c>
      <c r="E291" t="s">
        <v>4531</v>
      </c>
      <c r="F291" t="s">
        <v>3667</v>
      </c>
      <c r="G291">
        <v>27</v>
      </c>
      <c r="H291" t="s">
        <v>4532</v>
      </c>
      <c r="I291" t="s">
        <v>58</v>
      </c>
      <c r="K291" t="s">
        <v>92</v>
      </c>
      <c r="L291" t="s">
        <v>3652</v>
      </c>
      <c r="M291" t="s">
        <v>3653</v>
      </c>
      <c r="N291" t="s">
        <v>417</v>
      </c>
      <c r="O291" t="s">
        <v>283</v>
      </c>
      <c r="P291" t="s">
        <v>893</v>
      </c>
      <c r="Q291" t="s">
        <v>4533</v>
      </c>
      <c r="R291" t="s">
        <v>1984</v>
      </c>
      <c r="S291" t="s">
        <v>4534</v>
      </c>
      <c r="T291" t="s">
        <v>4535</v>
      </c>
      <c r="U291" t="s">
        <v>4536</v>
      </c>
      <c r="V291" t="s">
        <v>205</v>
      </c>
      <c r="W291" t="s">
        <v>174</v>
      </c>
      <c r="X291" t="s">
        <v>233</v>
      </c>
      <c r="Y291" t="s">
        <v>337</v>
      </c>
      <c r="Z291" t="s">
        <v>4537</v>
      </c>
      <c r="AA291" t="s">
        <v>236</v>
      </c>
      <c r="AB291" t="s">
        <v>528</v>
      </c>
      <c r="AC291" t="s">
        <v>569</v>
      </c>
      <c r="AD291">
        <v>2025</v>
      </c>
      <c r="AE291" t="s">
        <v>181</v>
      </c>
      <c r="AF291">
        <v>52</v>
      </c>
      <c r="AG291">
        <v>0.08</v>
      </c>
      <c r="AJ291" t="s">
        <v>4538</v>
      </c>
      <c r="AK291" t="s">
        <v>113</v>
      </c>
      <c r="AL291" t="s">
        <v>4539</v>
      </c>
      <c r="AM291">
        <v>19.52</v>
      </c>
      <c r="AN291" t="s">
        <v>267</v>
      </c>
      <c r="AO291">
        <v>206</v>
      </c>
      <c r="AP291" t="s">
        <v>214</v>
      </c>
      <c r="AR291">
        <v>0</v>
      </c>
      <c r="AT291" t="s">
        <v>152</v>
      </c>
      <c r="AU291">
        <v>514.71</v>
      </c>
      <c r="AV291" t="s">
        <v>4540</v>
      </c>
      <c r="AW291" t="s">
        <v>122</v>
      </c>
      <c r="AX291" t="s">
        <v>191</v>
      </c>
    </row>
    <row r="293" spans="1:50" x14ac:dyDescent="0.25">
      <c r="A293" t="s">
        <v>4541</v>
      </c>
      <c r="B293" t="s">
        <v>3502</v>
      </c>
      <c r="C293" t="s">
        <v>142</v>
      </c>
      <c r="D293" t="s">
        <v>2646</v>
      </c>
      <c r="E293" t="s">
        <v>142</v>
      </c>
      <c r="F293" t="s">
        <v>222</v>
      </c>
      <c r="G293" t="s">
        <v>4066</v>
      </c>
      <c r="H293">
        <v>156.69</v>
      </c>
      <c r="I293" t="s">
        <v>162</v>
      </c>
      <c r="J293" t="s">
        <v>4542</v>
      </c>
      <c r="K293" t="s">
        <v>330</v>
      </c>
      <c r="L293" t="s">
        <v>93</v>
      </c>
      <c r="N293" t="s">
        <v>396</v>
      </c>
      <c r="O293" t="s">
        <v>136</v>
      </c>
      <c r="P293" t="s">
        <v>4543</v>
      </c>
      <c r="Q293" t="s">
        <v>4544</v>
      </c>
      <c r="R293" t="s">
        <v>2076</v>
      </c>
      <c r="S293" t="s">
        <v>4545</v>
      </c>
      <c r="T293" t="s">
        <v>4546</v>
      </c>
      <c r="U293" t="s">
        <v>4547</v>
      </c>
      <c r="V293" t="s">
        <v>103</v>
      </c>
      <c r="W293" t="s">
        <v>104</v>
      </c>
      <c r="X293" t="s">
        <v>105</v>
      </c>
      <c r="Y293" t="s">
        <v>118</v>
      </c>
      <c r="Z293" t="s">
        <v>4548</v>
      </c>
      <c r="AA293" t="s">
        <v>19</v>
      </c>
      <c r="AB293" t="s">
        <v>405</v>
      </c>
      <c r="AC293" t="s">
        <v>589</v>
      </c>
      <c r="AD293" t="s">
        <v>237</v>
      </c>
      <c r="AE293" t="s">
        <v>110</v>
      </c>
      <c r="AF293" t="s">
        <v>163</v>
      </c>
      <c r="AG293" t="s">
        <v>111</v>
      </c>
      <c r="AK293" t="s">
        <v>571</v>
      </c>
      <c r="AL293" t="s">
        <v>4549</v>
      </c>
      <c r="AM293" t="s">
        <v>1973</v>
      </c>
      <c r="AN293" t="s">
        <v>186</v>
      </c>
      <c r="AO293">
        <v>342</v>
      </c>
      <c r="AP293" t="s">
        <v>187</v>
      </c>
      <c r="AQ293" t="s">
        <v>242</v>
      </c>
      <c r="AR293" t="s">
        <v>319</v>
      </c>
      <c r="AS293" t="s">
        <v>83</v>
      </c>
      <c r="AT293" t="s">
        <v>119</v>
      </c>
      <c r="AU293" t="s">
        <v>163</v>
      </c>
      <c r="AV293" t="s">
        <v>4550</v>
      </c>
      <c r="AW293" t="s">
        <v>2880</v>
      </c>
      <c r="AX293" t="s">
        <v>85</v>
      </c>
    </row>
    <row r="294" spans="1:50" x14ac:dyDescent="0.25">
      <c r="A294" t="s">
        <v>4551</v>
      </c>
      <c r="B294" t="s">
        <v>4552</v>
      </c>
      <c r="C294" t="s">
        <v>4274</v>
      </c>
      <c r="D294" t="s">
        <v>4295</v>
      </c>
      <c r="E294" t="s">
        <v>1664</v>
      </c>
      <c r="F294" t="s">
        <v>4036</v>
      </c>
      <c r="G294">
        <v>11</v>
      </c>
      <c r="H294" t="s">
        <v>3122</v>
      </c>
      <c r="I294" t="s">
        <v>58</v>
      </c>
      <c r="J294" t="s">
        <v>4553</v>
      </c>
      <c r="K294" t="s">
        <v>280</v>
      </c>
      <c r="L294" t="s">
        <v>3652</v>
      </c>
      <c r="M294" t="s">
        <v>142</v>
      </c>
      <c r="N294" t="s">
        <v>417</v>
      </c>
      <c r="O294" t="s">
        <v>375</v>
      </c>
      <c r="P294" t="s">
        <v>1518</v>
      </c>
      <c r="Q294" t="s">
        <v>4554</v>
      </c>
      <c r="R294" t="s">
        <v>1502</v>
      </c>
      <c r="S294" t="s">
        <v>4555</v>
      </c>
      <c r="T294" t="s">
        <v>4556</v>
      </c>
      <c r="U294" t="s">
        <v>4557</v>
      </c>
      <c r="V294" t="s">
        <v>205</v>
      </c>
      <c r="W294" t="s">
        <v>206</v>
      </c>
      <c r="X294" t="s">
        <v>105</v>
      </c>
      <c r="Y294" t="s">
        <v>73</v>
      </c>
      <c r="Z294" t="s">
        <v>4558</v>
      </c>
      <c r="AA294" t="s">
        <v>178</v>
      </c>
      <c r="AB294" t="s">
        <v>108</v>
      </c>
      <c r="AC294" t="s">
        <v>109</v>
      </c>
      <c r="AD294" t="s">
        <v>314</v>
      </c>
      <c r="AE294" t="s">
        <v>77</v>
      </c>
      <c r="AF294">
        <v>1</v>
      </c>
      <c r="AG294" t="s">
        <v>111</v>
      </c>
      <c r="AJ294" t="s">
        <v>1870</v>
      </c>
      <c r="AK294" t="s">
        <v>113</v>
      </c>
      <c r="AL294" t="s">
        <v>4559</v>
      </c>
      <c r="AM294" t="s">
        <v>471</v>
      </c>
      <c r="AN294" t="s">
        <v>116</v>
      </c>
      <c r="AO294">
        <v>261</v>
      </c>
      <c r="AP294">
        <v>4.5</v>
      </c>
      <c r="AQ294" t="s">
        <v>242</v>
      </c>
      <c r="AS294" t="s">
        <v>83</v>
      </c>
      <c r="AT294" t="s">
        <v>152</v>
      </c>
      <c r="AU294" t="s">
        <v>4560</v>
      </c>
      <c r="AV294" t="s">
        <v>4561</v>
      </c>
    </row>
    <row r="295" spans="1:50" x14ac:dyDescent="0.25">
      <c r="A295" t="s">
        <v>4562</v>
      </c>
      <c r="B295" t="s">
        <v>4563</v>
      </c>
      <c r="C295" t="s">
        <v>4564</v>
      </c>
      <c r="D295" t="s">
        <v>4403</v>
      </c>
      <c r="E295" t="s">
        <v>811</v>
      </c>
      <c r="F295" t="s">
        <v>1563</v>
      </c>
      <c r="G295" t="s">
        <v>1266</v>
      </c>
      <c r="H295" t="s">
        <v>4565</v>
      </c>
      <c r="I295" t="s">
        <v>58</v>
      </c>
      <c r="K295" t="s">
        <v>92</v>
      </c>
      <c r="L295" t="s">
        <v>1480</v>
      </c>
      <c r="M295" t="s">
        <v>374</v>
      </c>
      <c r="N295" t="s">
        <v>62</v>
      </c>
      <c r="O295" t="s">
        <v>954</v>
      </c>
      <c r="P295" t="s">
        <v>4566</v>
      </c>
      <c r="Q295" t="s">
        <v>4567</v>
      </c>
      <c r="R295" t="s">
        <v>702</v>
      </c>
      <c r="S295" t="s">
        <v>4568</v>
      </c>
      <c r="T295" t="s">
        <v>4569</v>
      </c>
      <c r="U295" t="s">
        <v>4570</v>
      </c>
      <c r="V295" t="s">
        <v>70</v>
      </c>
      <c r="W295" t="s">
        <v>104</v>
      </c>
      <c r="X295" t="s">
        <v>175</v>
      </c>
      <c r="Y295" t="s">
        <v>337</v>
      </c>
      <c r="Z295" t="s">
        <v>4571</v>
      </c>
      <c r="AA295" t="s">
        <v>236</v>
      </c>
      <c r="AB295" t="s">
        <v>263</v>
      </c>
      <c r="AC295" t="s">
        <v>569</v>
      </c>
      <c r="AD295" t="s">
        <v>314</v>
      </c>
      <c r="AE295" t="s">
        <v>77</v>
      </c>
      <c r="AF295">
        <v>40</v>
      </c>
      <c r="AG295" t="s">
        <v>211</v>
      </c>
      <c r="AJ295" t="s">
        <v>4572</v>
      </c>
      <c r="AK295" t="s">
        <v>571</v>
      </c>
      <c r="AL295" t="s">
        <v>4573</v>
      </c>
      <c r="AM295">
        <v>8.33</v>
      </c>
      <c r="AN295" t="s">
        <v>186</v>
      </c>
      <c r="AO295">
        <v>298</v>
      </c>
      <c r="AP295">
        <v>3</v>
      </c>
      <c r="AQ295" t="s">
        <v>117</v>
      </c>
      <c r="AR295" t="s">
        <v>188</v>
      </c>
      <c r="AU295" t="s">
        <v>4574</v>
      </c>
      <c r="AV295" t="s">
        <v>4575</v>
      </c>
      <c r="AW295" t="s">
        <v>3301</v>
      </c>
      <c r="AX295" t="s">
        <v>246</v>
      </c>
    </row>
    <row r="296" spans="1:50" x14ac:dyDescent="0.25">
      <c r="A296" t="s">
        <v>4576</v>
      </c>
      <c r="B296" t="s">
        <v>4577</v>
      </c>
      <c r="C296" t="s">
        <v>4578</v>
      </c>
      <c r="D296" t="s">
        <v>4579</v>
      </c>
      <c r="E296" t="s">
        <v>4580</v>
      </c>
      <c r="F296" t="s">
        <v>91</v>
      </c>
      <c r="G296" t="s">
        <v>4405</v>
      </c>
      <c r="H296" t="s">
        <v>3404</v>
      </c>
      <c r="I296">
        <v>0</v>
      </c>
      <c r="K296" t="s">
        <v>132</v>
      </c>
      <c r="L296" t="s">
        <v>1480</v>
      </c>
      <c r="M296" t="s">
        <v>4581</v>
      </c>
      <c r="N296" t="s">
        <v>135</v>
      </c>
      <c r="O296" t="s">
        <v>643</v>
      </c>
      <c r="P296" t="s">
        <v>992</v>
      </c>
      <c r="Q296" t="s">
        <v>4582</v>
      </c>
      <c r="R296" t="s">
        <v>420</v>
      </c>
      <c r="S296" t="s">
        <v>4583</v>
      </c>
      <c r="T296" t="s">
        <v>4584</v>
      </c>
      <c r="U296" t="s">
        <v>4585</v>
      </c>
      <c r="V296" t="s">
        <v>70</v>
      </c>
      <c r="W296" t="s">
        <v>104</v>
      </c>
      <c r="X296" t="s">
        <v>72</v>
      </c>
      <c r="Y296" t="s">
        <v>337</v>
      </c>
      <c r="Z296" t="s">
        <v>4586</v>
      </c>
      <c r="AA296" t="s">
        <v>236</v>
      </c>
      <c r="AB296" t="s">
        <v>528</v>
      </c>
      <c r="AC296">
        <v>6</v>
      </c>
      <c r="AD296">
        <v>2026</v>
      </c>
      <c r="AE296" t="s">
        <v>181</v>
      </c>
      <c r="AG296" t="s">
        <v>211</v>
      </c>
      <c r="AJ296" t="s">
        <v>4587</v>
      </c>
      <c r="AK296" t="s">
        <v>147</v>
      </c>
      <c r="AL296" t="s">
        <v>4588</v>
      </c>
      <c r="AM296">
        <v>9.61</v>
      </c>
      <c r="AN296" t="s">
        <v>116</v>
      </c>
      <c r="AO296">
        <v>193</v>
      </c>
      <c r="AP296" t="s">
        <v>187</v>
      </c>
      <c r="AQ296" t="s">
        <v>242</v>
      </c>
      <c r="AR296" t="s">
        <v>188</v>
      </c>
      <c r="AU296" t="s">
        <v>4589</v>
      </c>
      <c r="AV296" t="s">
        <v>4590</v>
      </c>
      <c r="AX296" t="s">
        <v>85</v>
      </c>
    </row>
    <row r="297" spans="1:50" x14ac:dyDescent="0.25">
      <c r="A297" t="s">
        <v>4591</v>
      </c>
      <c r="B297" t="s">
        <v>4592</v>
      </c>
      <c r="C297" t="s">
        <v>4593</v>
      </c>
      <c r="D297" t="s">
        <v>4594</v>
      </c>
      <c r="F297" t="s">
        <v>1827</v>
      </c>
      <c r="G297">
        <v>20</v>
      </c>
      <c r="H297">
        <v>247.64</v>
      </c>
      <c r="I297" t="s">
        <v>58</v>
      </c>
      <c r="J297" t="s">
        <v>4595</v>
      </c>
      <c r="K297" t="s">
        <v>330</v>
      </c>
      <c r="L297" t="s">
        <v>1175</v>
      </c>
      <c r="M297" t="s">
        <v>91</v>
      </c>
      <c r="N297" t="s">
        <v>95</v>
      </c>
      <c r="O297" t="s">
        <v>461</v>
      </c>
      <c r="P297" t="s">
        <v>1651</v>
      </c>
      <c r="Q297" t="s">
        <v>4596</v>
      </c>
      <c r="R297" t="s">
        <v>994</v>
      </c>
      <c r="S297" t="s">
        <v>4597</v>
      </c>
      <c r="T297" t="s">
        <v>4598</v>
      </c>
      <c r="U297" t="s">
        <v>4599</v>
      </c>
      <c r="V297" t="s">
        <v>173</v>
      </c>
      <c r="W297" t="s">
        <v>311</v>
      </c>
      <c r="X297" t="s">
        <v>175</v>
      </c>
      <c r="Y297" t="s">
        <v>337</v>
      </c>
      <c r="Z297" t="s">
        <v>4600</v>
      </c>
      <c r="AA297" t="s">
        <v>144</v>
      </c>
      <c r="AB297" t="s">
        <v>76</v>
      </c>
      <c r="AC297" t="s">
        <v>180</v>
      </c>
      <c r="AD297">
        <v>2026</v>
      </c>
      <c r="AE297" t="s">
        <v>406</v>
      </c>
      <c r="AF297">
        <v>65</v>
      </c>
      <c r="AG297" t="s">
        <v>111</v>
      </c>
      <c r="AJ297" t="s">
        <v>4601</v>
      </c>
      <c r="AK297" t="s">
        <v>571</v>
      </c>
      <c r="AL297" t="s">
        <v>4602</v>
      </c>
      <c r="AM297" t="s">
        <v>4603</v>
      </c>
      <c r="AN297" t="s">
        <v>150</v>
      </c>
      <c r="AO297">
        <v>237</v>
      </c>
      <c r="AP297" t="s">
        <v>214</v>
      </c>
      <c r="AR297">
        <v>0</v>
      </c>
      <c r="AU297" t="s">
        <v>4604</v>
      </c>
      <c r="AV297" t="s">
        <v>452</v>
      </c>
      <c r="AW297" t="s">
        <v>122</v>
      </c>
    </row>
    <row r="298" spans="1:50" x14ac:dyDescent="0.25">
      <c r="A298" t="s">
        <v>4605</v>
      </c>
      <c r="B298" t="s">
        <v>4606</v>
      </c>
      <c r="C298" t="s">
        <v>4607</v>
      </c>
      <c r="D298" t="s">
        <v>4608</v>
      </c>
      <c r="E298" t="s">
        <v>3210</v>
      </c>
      <c r="F298" t="s">
        <v>163</v>
      </c>
      <c r="G298" t="s">
        <v>4439</v>
      </c>
      <c r="H298">
        <v>251.62</v>
      </c>
      <c r="I298">
        <v>0</v>
      </c>
      <c r="J298" t="s">
        <v>4609</v>
      </c>
      <c r="K298" t="s">
        <v>59</v>
      </c>
      <c r="L298" t="s">
        <v>741</v>
      </c>
      <c r="M298" t="s">
        <v>742</v>
      </c>
      <c r="N298" t="s">
        <v>95</v>
      </c>
      <c r="O298" t="s">
        <v>1028</v>
      </c>
      <c r="P298" t="s">
        <v>1602</v>
      </c>
      <c r="Q298" t="s">
        <v>4610</v>
      </c>
      <c r="R298" t="s">
        <v>684</v>
      </c>
      <c r="S298" t="s">
        <v>4611</v>
      </c>
      <c r="T298" t="s">
        <v>4612</v>
      </c>
      <c r="U298" t="s">
        <v>4613</v>
      </c>
      <c r="V298" t="s">
        <v>205</v>
      </c>
      <c r="W298" t="s">
        <v>174</v>
      </c>
      <c r="X298" t="s">
        <v>424</v>
      </c>
      <c r="Y298" t="s">
        <v>118</v>
      </c>
      <c r="Z298" t="s">
        <v>4614</v>
      </c>
      <c r="AA298" t="s">
        <v>75</v>
      </c>
      <c r="AB298" t="s">
        <v>528</v>
      </c>
      <c r="AC298">
        <v>7</v>
      </c>
      <c r="AD298" t="s">
        <v>210</v>
      </c>
      <c r="AE298" t="s">
        <v>77</v>
      </c>
      <c r="AF298">
        <v>52</v>
      </c>
      <c r="AG298" t="s">
        <v>211</v>
      </c>
      <c r="AJ298" t="s">
        <v>4615</v>
      </c>
      <c r="AK298" t="s">
        <v>183</v>
      </c>
      <c r="AL298" t="s">
        <v>4616</v>
      </c>
      <c r="AM298" t="s">
        <v>4617</v>
      </c>
      <c r="AN298" t="s">
        <v>116</v>
      </c>
      <c r="AO298">
        <v>254</v>
      </c>
      <c r="AP298">
        <v>4</v>
      </c>
      <c r="AQ298" t="s">
        <v>151</v>
      </c>
      <c r="AR298" t="s">
        <v>188</v>
      </c>
      <c r="AT298">
        <v>0.3</v>
      </c>
      <c r="AU298" t="s">
        <v>4618</v>
      </c>
      <c r="AV298" t="s">
        <v>4619</v>
      </c>
      <c r="AW298" t="s">
        <v>4620</v>
      </c>
      <c r="AX298" t="s">
        <v>270</v>
      </c>
    </row>
    <row r="299" spans="1:50" x14ac:dyDescent="0.25">
      <c r="A299" t="s">
        <v>4621</v>
      </c>
      <c r="B299" t="s">
        <v>4622</v>
      </c>
      <c r="C299" t="s">
        <v>4623</v>
      </c>
      <c r="D299" t="s">
        <v>4624</v>
      </c>
      <c r="E299" t="s">
        <v>3828</v>
      </c>
      <c r="F299" t="s">
        <v>890</v>
      </c>
      <c r="G299" t="s">
        <v>1006</v>
      </c>
      <c r="H299" t="s">
        <v>4625</v>
      </c>
      <c r="I299">
        <v>0.1</v>
      </c>
      <c r="J299" t="s">
        <v>4626</v>
      </c>
      <c r="K299" t="s">
        <v>59</v>
      </c>
      <c r="L299" t="s">
        <v>2407</v>
      </c>
      <c r="M299" t="s">
        <v>1687</v>
      </c>
      <c r="N299" t="s">
        <v>62</v>
      </c>
      <c r="O299" t="s">
        <v>332</v>
      </c>
      <c r="P299" t="s">
        <v>1982</v>
      </c>
      <c r="Q299" t="s">
        <v>4627</v>
      </c>
      <c r="R299" t="s">
        <v>2076</v>
      </c>
      <c r="S299" t="s">
        <v>4628</v>
      </c>
      <c r="T299" t="s">
        <v>4629</v>
      </c>
      <c r="U299" t="s">
        <v>4630</v>
      </c>
      <c r="V299" t="s">
        <v>173</v>
      </c>
      <c r="W299" t="s">
        <v>104</v>
      </c>
      <c r="X299" t="s">
        <v>72</v>
      </c>
      <c r="Y299" t="s">
        <v>73</v>
      </c>
      <c r="Z299" t="s">
        <v>4631</v>
      </c>
      <c r="AA299" t="s">
        <v>75</v>
      </c>
      <c r="AB299" t="s">
        <v>179</v>
      </c>
      <c r="AC299" t="s">
        <v>180</v>
      </c>
      <c r="AD299">
        <v>2025</v>
      </c>
      <c r="AE299" t="s">
        <v>406</v>
      </c>
      <c r="AF299" t="s">
        <v>163</v>
      </c>
      <c r="AG299" t="s">
        <v>111</v>
      </c>
      <c r="AJ299" t="s">
        <v>4632</v>
      </c>
      <c r="AK299" t="s">
        <v>147</v>
      </c>
      <c r="AL299" t="s">
        <v>4633</v>
      </c>
      <c r="AM299" t="s">
        <v>1557</v>
      </c>
      <c r="AN299" t="s">
        <v>116</v>
      </c>
      <c r="AO299">
        <v>432</v>
      </c>
      <c r="AP299" t="s">
        <v>187</v>
      </c>
      <c r="AQ299" t="s">
        <v>610</v>
      </c>
      <c r="AR299">
        <v>1</v>
      </c>
      <c r="AT299" t="s">
        <v>119</v>
      </c>
      <c r="AU299" t="s">
        <v>134</v>
      </c>
      <c r="AV299" t="s">
        <v>4634</v>
      </c>
      <c r="AX299" t="s">
        <v>85</v>
      </c>
    </row>
    <row r="300" spans="1:50" x14ac:dyDescent="0.25">
      <c r="A300" t="s">
        <v>4635</v>
      </c>
      <c r="B300" t="s">
        <v>4636</v>
      </c>
      <c r="C300" t="s">
        <v>4637</v>
      </c>
      <c r="D300" t="s">
        <v>126</v>
      </c>
      <c r="E300" t="s">
        <v>4638</v>
      </c>
      <c r="F300" t="s">
        <v>4639</v>
      </c>
      <c r="G300" t="s">
        <v>4338</v>
      </c>
      <c r="H300">
        <v>1479.77</v>
      </c>
      <c r="I300" t="s">
        <v>58</v>
      </c>
      <c r="J300" t="s">
        <v>91</v>
      </c>
      <c r="K300" t="s">
        <v>330</v>
      </c>
      <c r="L300" t="s">
        <v>395</v>
      </c>
      <c r="M300" t="s">
        <v>4640</v>
      </c>
      <c r="N300" t="s">
        <v>95</v>
      </c>
      <c r="O300" t="s">
        <v>397</v>
      </c>
      <c r="P300" t="s">
        <v>2169</v>
      </c>
      <c r="Q300" t="s">
        <v>4641</v>
      </c>
      <c r="R300" t="s">
        <v>505</v>
      </c>
      <c r="S300" t="s">
        <v>4642</v>
      </c>
      <c r="T300" t="s">
        <v>4643</v>
      </c>
      <c r="U300" t="s">
        <v>4644</v>
      </c>
      <c r="V300" t="s">
        <v>70</v>
      </c>
      <c r="W300" t="s">
        <v>311</v>
      </c>
      <c r="X300" t="s">
        <v>207</v>
      </c>
      <c r="Y300" t="s">
        <v>337</v>
      </c>
      <c r="Z300" t="s">
        <v>4645</v>
      </c>
      <c r="AA300" t="s">
        <v>236</v>
      </c>
      <c r="AB300" t="s">
        <v>528</v>
      </c>
      <c r="AC300">
        <v>7</v>
      </c>
      <c r="AD300" t="s">
        <v>210</v>
      </c>
      <c r="AE300" t="s">
        <v>406</v>
      </c>
      <c r="AG300">
        <v>0.08</v>
      </c>
      <c r="AJ300" t="s">
        <v>4646</v>
      </c>
      <c r="AK300" t="s">
        <v>571</v>
      </c>
      <c r="AL300" t="s">
        <v>4647</v>
      </c>
      <c r="AM300" t="s">
        <v>4648</v>
      </c>
      <c r="AN300" t="s">
        <v>82</v>
      </c>
      <c r="AO300">
        <v>104</v>
      </c>
      <c r="AP300">
        <v>4.5</v>
      </c>
      <c r="AQ300" t="s">
        <v>786</v>
      </c>
      <c r="AR300" t="s">
        <v>188</v>
      </c>
      <c r="AS300" t="s">
        <v>215</v>
      </c>
      <c r="AU300" t="s">
        <v>4649</v>
      </c>
      <c r="AV300" t="s">
        <v>4650</v>
      </c>
      <c r="AW300" t="s">
        <v>122</v>
      </c>
    </row>
    <row r="301" spans="1:50" x14ac:dyDescent="0.25">
      <c r="A301" t="s">
        <v>4651</v>
      </c>
      <c r="B301" t="s">
        <v>4652</v>
      </c>
      <c r="C301" t="s">
        <v>4653</v>
      </c>
      <c r="D301" t="s">
        <v>4654</v>
      </c>
      <c r="E301" t="s">
        <v>163</v>
      </c>
      <c r="F301" t="s">
        <v>222</v>
      </c>
      <c r="G301" t="s">
        <v>558</v>
      </c>
      <c r="H301" t="s">
        <v>4655</v>
      </c>
      <c r="I301">
        <v>0</v>
      </c>
      <c r="J301" t="s">
        <v>4656</v>
      </c>
      <c r="K301" t="s">
        <v>92</v>
      </c>
      <c r="L301" t="s">
        <v>1581</v>
      </c>
      <c r="M301" t="s">
        <v>4657</v>
      </c>
      <c r="N301" t="s">
        <v>417</v>
      </c>
      <c r="O301" t="s">
        <v>283</v>
      </c>
      <c r="P301" t="s">
        <v>418</v>
      </c>
      <c r="Q301" t="s">
        <v>4658</v>
      </c>
      <c r="R301" t="s">
        <v>912</v>
      </c>
      <c r="S301" t="s">
        <v>4659</v>
      </c>
      <c r="T301" t="s">
        <v>4660</v>
      </c>
      <c r="U301" t="s">
        <v>4661</v>
      </c>
      <c r="V301" t="s">
        <v>173</v>
      </c>
      <c r="W301" t="s">
        <v>71</v>
      </c>
      <c r="X301" t="s">
        <v>424</v>
      </c>
      <c r="Y301" t="s">
        <v>234</v>
      </c>
      <c r="Z301" t="s">
        <v>4662</v>
      </c>
      <c r="AA301" t="s">
        <v>178</v>
      </c>
      <c r="AB301" t="s">
        <v>263</v>
      </c>
      <c r="AC301" t="s">
        <v>651</v>
      </c>
      <c r="AD301">
        <v>2025</v>
      </c>
      <c r="AE301" t="s">
        <v>181</v>
      </c>
      <c r="AF301">
        <v>63</v>
      </c>
      <c r="AG301" t="s">
        <v>111</v>
      </c>
      <c r="AJ301" t="s">
        <v>4663</v>
      </c>
      <c r="AK301" t="s">
        <v>113</v>
      </c>
      <c r="AL301" t="s">
        <v>4664</v>
      </c>
      <c r="AM301" t="s">
        <v>4665</v>
      </c>
      <c r="AN301" t="s">
        <v>186</v>
      </c>
      <c r="AO301">
        <v>252</v>
      </c>
      <c r="AP301">
        <v>4.5</v>
      </c>
      <c r="AQ301" t="s">
        <v>117</v>
      </c>
      <c r="AR301">
        <v>1</v>
      </c>
      <c r="AS301" t="s">
        <v>429</v>
      </c>
      <c r="AT301">
        <v>0.3</v>
      </c>
      <c r="AU301" t="s">
        <v>4666</v>
      </c>
      <c r="AV301" t="s">
        <v>4667</v>
      </c>
      <c r="AW301" t="s">
        <v>122</v>
      </c>
    </row>
    <row r="302" spans="1:50" x14ac:dyDescent="0.25">
      <c r="A302" t="s">
        <v>4668</v>
      </c>
      <c r="B302" t="s">
        <v>4669</v>
      </c>
      <c r="C302" t="s">
        <v>4670</v>
      </c>
      <c r="D302" t="s">
        <v>3273</v>
      </c>
      <c r="E302" t="s">
        <v>595</v>
      </c>
      <c r="F302" t="s">
        <v>4671</v>
      </c>
      <c r="G302">
        <v>39</v>
      </c>
      <c r="H302" t="s">
        <v>3028</v>
      </c>
      <c r="I302">
        <v>0.1</v>
      </c>
      <c r="J302" t="s">
        <v>4672</v>
      </c>
      <c r="K302" t="s">
        <v>330</v>
      </c>
      <c r="L302" t="s">
        <v>1581</v>
      </c>
      <c r="M302" t="s">
        <v>163</v>
      </c>
      <c r="N302" t="s">
        <v>166</v>
      </c>
      <c r="O302" t="s">
        <v>543</v>
      </c>
      <c r="P302" t="s">
        <v>3950</v>
      </c>
      <c r="Q302" t="s">
        <v>4673</v>
      </c>
      <c r="R302" t="s">
        <v>307</v>
      </c>
      <c r="S302" t="s">
        <v>4674</v>
      </c>
      <c r="T302" t="s">
        <v>4675</v>
      </c>
      <c r="U302" t="s">
        <v>4676</v>
      </c>
      <c r="V302" t="s">
        <v>70</v>
      </c>
      <c r="W302" t="s">
        <v>206</v>
      </c>
      <c r="X302" t="s">
        <v>105</v>
      </c>
      <c r="Y302" t="s">
        <v>73</v>
      </c>
      <c r="Z302" t="s">
        <v>4677</v>
      </c>
      <c r="AA302" t="s">
        <v>19</v>
      </c>
      <c r="AB302" t="s">
        <v>108</v>
      </c>
      <c r="AC302">
        <v>3</v>
      </c>
      <c r="AD302" t="s">
        <v>146</v>
      </c>
      <c r="AE302" t="s">
        <v>181</v>
      </c>
      <c r="AG302" t="s">
        <v>111</v>
      </c>
      <c r="AJ302" t="s">
        <v>4678</v>
      </c>
      <c r="AK302" t="s">
        <v>113</v>
      </c>
      <c r="AL302" t="s">
        <v>4679</v>
      </c>
      <c r="AM302" t="s">
        <v>4680</v>
      </c>
      <c r="AN302" t="s">
        <v>82</v>
      </c>
      <c r="AO302">
        <v>190</v>
      </c>
      <c r="AP302">
        <v>1</v>
      </c>
      <c r="AQ302" t="s">
        <v>151</v>
      </c>
      <c r="AR302">
        <v>1</v>
      </c>
      <c r="AS302" t="s">
        <v>83</v>
      </c>
      <c r="AT302">
        <v>0.3</v>
      </c>
      <c r="AU302" t="s">
        <v>4681</v>
      </c>
      <c r="AV302" t="s">
        <v>4682</v>
      </c>
      <c r="AW302" t="s">
        <v>122</v>
      </c>
      <c r="AX302" t="s">
        <v>246</v>
      </c>
    </row>
    <row r="303" spans="1:50" x14ac:dyDescent="0.25">
      <c r="A303" t="s">
        <v>4683</v>
      </c>
      <c r="B303" t="s">
        <v>4684</v>
      </c>
      <c r="C303" t="s">
        <v>2805</v>
      </c>
      <c r="D303" t="s">
        <v>4685</v>
      </c>
      <c r="E303" t="s">
        <v>4686</v>
      </c>
      <c r="F303" t="s">
        <v>596</v>
      </c>
      <c r="G303" t="s">
        <v>1791</v>
      </c>
      <c r="H303">
        <v>129.06</v>
      </c>
      <c r="J303" t="s">
        <v>4687</v>
      </c>
      <c r="K303" t="s">
        <v>132</v>
      </c>
      <c r="L303" t="s">
        <v>3276</v>
      </c>
      <c r="M303" t="s">
        <v>4688</v>
      </c>
      <c r="N303" t="s">
        <v>135</v>
      </c>
      <c r="O303" t="s">
        <v>63</v>
      </c>
      <c r="P303" t="s">
        <v>4689</v>
      </c>
      <c r="Q303" t="s">
        <v>4690</v>
      </c>
      <c r="R303" t="s">
        <v>1502</v>
      </c>
      <c r="S303" t="s">
        <v>4691</v>
      </c>
      <c r="T303" t="s">
        <v>4692</v>
      </c>
      <c r="U303" t="s">
        <v>4693</v>
      </c>
      <c r="V303" t="s">
        <v>70</v>
      </c>
      <c r="W303" t="s">
        <v>311</v>
      </c>
      <c r="X303" t="s">
        <v>72</v>
      </c>
      <c r="Y303" t="s">
        <v>337</v>
      </c>
      <c r="Z303" t="s">
        <v>4694</v>
      </c>
      <c r="AA303" t="s">
        <v>144</v>
      </c>
      <c r="AB303" t="s">
        <v>179</v>
      </c>
      <c r="AC303" t="s">
        <v>728</v>
      </c>
      <c r="AD303">
        <v>2025</v>
      </c>
      <c r="AE303" t="s">
        <v>406</v>
      </c>
      <c r="AF303">
        <v>69</v>
      </c>
      <c r="AG303" t="s">
        <v>111</v>
      </c>
      <c r="AJ303" t="s">
        <v>4695</v>
      </c>
      <c r="AK303" t="s">
        <v>113</v>
      </c>
      <c r="AL303" t="s">
        <v>4696</v>
      </c>
      <c r="AM303">
        <v>16.84</v>
      </c>
      <c r="AN303" t="s">
        <v>82</v>
      </c>
      <c r="AO303">
        <v>231</v>
      </c>
      <c r="AP303">
        <v>2</v>
      </c>
      <c r="AQ303" t="s">
        <v>610</v>
      </c>
      <c r="AR303" t="s">
        <v>319</v>
      </c>
      <c r="AT303" t="s">
        <v>361</v>
      </c>
      <c r="AU303" t="s">
        <v>4697</v>
      </c>
      <c r="AV303" t="s">
        <v>4698</v>
      </c>
      <c r="AX303" t="s">
        <v>270</v>
      </c>
    </row>
    <row r="304" spans="1:50" x14ac:dyDescent="0.25">
      <c r="A304" t="s">
        <v>4699</v>
      </c>
      <c r="B304" t="s">
        <v>4700</v>
      </c>
      <c r="C304" t="s">
        <v>4701</v>
      </c>
      <c r="D304" t="s">
        <v>2995</v>
      </c>
      <c r="E304" t="s">
        <v>163</v>
      </c>
      <c r="F304" t="s">
        <v>142</v>
      </c>
      <c r="G304" t="s">
        <v>989</v>
      </c>
      <c r="H304" t="s">
        <v>142</v>
      </c>
      <c r="I304">
        <v>0.1</v>
      </c>
      <c r="J304" t="s">
        <v>4702</v>
      </c>
      <c r="K304" t="s">
        <v>92</v>
      </c>
      <c r="L304" t="s">
        <v>302</v>
      </c>
      <c r="M304" t="s">
        <v>4703</v>
      </c>
      <c r="N304" t="s">
        <v>417</v>
      </c>
      <c r="O304" t="s">
        <v>63</v>
      </c>
      <c r="P304" t="s">
        <v>1342</v>
      </c>
      <c r="Q304" t="s">
        <v>4704</v>
      </c>
      <c r="R304" t="s">
        <v>169</v>
      </c>
      <c r="S304" t="s">
        <v>4705</v>
      </c>
      <c r="T304" t="s">
        <v>4706</v>
      </c>
      <c r="U304" t="s">
        <v>4707</v>
      </c>
      <c r="V304" t="s">
        <v>205</v>
      </c>
      <c r="W304" t="s">
        <v>71</v>
      </c>
      <c r="X304" t="s">
        <v>72</v>
      </c>
      <c r="Y304" t="s">
        <v>73</v>
      </c>
      <c r="Z304" t="s">
        <v>4708</v>
      </c>
      <c r="AA304" t="s">
        <v>236</v>
      </c>
      <c r="AB304" t="s">
        <v>263</v>
      </c>
      <c r="AC304" t="s">
        <v>209</v>
      </c>
      <c r="AD304">
        <v>2026</v>
      </c>
      <c r="AE304" t="s">
        <v>77</v>
      </c>
      <c r="AF304" t="s">
        <v>134</v>
      </c>
      <c r="AG304">
        <v>0.08</v>
      </c>
      <c r="AJ304" t="s">
        <v>4709</v>
      </c>
      <c r="AK304" t="s">
        <v>183</v>
      </c>
      <c r="AL304" t="s">
        <v>4710</v>
      </c>
      <c r="AM304">
        <v>14.9</v>
      </c>
      <c r="AN304" t="s">
        <v>82</v>
      </c>
      <c r="AO304">
        <v>490</v>
      </c>
      <c r="AP304" t="s">
        <v>214</v>
      </c>
      <c r="AQ304" t="s">
        <v>610</v>
      </c>
      <c r="AR304" t="s">
        <v>188</v>
      </c>
      <c r="AT304" t="s">
        <v>361</v>
      </c>
      <c r="AU304" t="s">
        <v>4711</v>
      </c>
      <c r="AV304" t="s">
        <v>3413</v>
      </c>
      <c r="AW304" t="s">
        <v>3413</v>
      </c>
      <c r="AX304" t="s">
        <v>246</v>
      </c>
    </row>
    <row r="305" spans="1:50" x14ac:dyDescent="0.25">
      <c r="A305" t="s">
        <v>4712</v>
      </c>
      <c r="B305" t="s">
        <v>4713</v>
      </c>
      <c r="C305" t="s">
        <v>4714</v>
      </c>
      <c r="D305" t="s">
        <v>4715</v>
      </c>
      <c r="E305" t="s">
        <v>4716</v>
      </c>
      <c r="G305" t="s">
        <v>4717</v>
      </c>
      <c r="H305" t="s">
        <v>3028</v>
      </c>
      <c r="I305" t="s">
        <v>253</v>
      </c>
      <c r="J305" t="s">
        <v>4718</v>
      </c>
      <c r="K305" t="s">
        <v>92</v>
      </c>
      <c r="L305" t="s">
        <v>953</v>
      </c>
      <c r="M305" t="s">
        <v>4719</v>
      </c>
      <c r="N305" t="s">
        <v>95</v>
      </c>
      <c r="O305" t="s">
        <v>461</v>
      </c>
      <c r="P305" t="s">
        <v>720</v>
      </c>
      <c r="Q305" t="s">
        <v>4720</v>
      </c>
      <c r="R305" t="s">
        <v>976</v>
      </c>
      <c r="S305" t="s">
        <v>4721</v>
      </c>
      <c r="T305" t="s">
        <v>4722</v>
      </c>
      <c r="U305" t="s">
        <v>4723</v>
      </c>
      <c r="V305" t="s">
        <v>290</v>
      </c>
      <c r="W305" t="s">
        <v>726</v>
      </c>
      <c r="X305" t="s">
        <v>233</v>
      </c>
      <c r="Y305" t="s">
        <v>73</v>
      </c>
      <c r="Z305" t="s">
        <v>4724</v>
      </c>
      <c r="AA305" t="s">
        <v>144</v>
      </c>
      <c r="AB305" t="s">
        <v>405</v>
      </c>
      <c r="AC305" t="s">
        <v>209</v>
      </c>
      <c r="AD305" t="s">
        <v>210</v>
      </c>
      <c r="AE305" t="s">
        <v>110</v>
      </c>
      <c r="AF305">
        <v>0</v>
      </c>
      <c r="AG305">
        <v>0.08</v>
      </c>
      <c r="AJ305" t="s">
        <v>4725</v>
      </c>
      <c r="AK305" t="s">
        <v>240</v>
      </c>
      <c r="AL305" t="s">
        <v>4726</v>
      </c>
      <c r="AM305" t="s">
        <v>4727</v>
      </c>
      <c r="AN305" t="s">
        <v>267</v>
      </c>
      <c r="AO305">
        <v>290</v>
      </c>
      <c r="AP305" t="s">
        <v>187</v>
      </c>
      <c r="AQ305" t="s">
        <v>318</v>
      </c>
      <c r="AR305" t="s">
        <v>188</v>
      </c>
      <c r="AS305" t="s">
        <v>429</v>
      </c>
      <c r="AT305" t="s">
        <v>152</v>
      </c>
      <c r="AU305">
        <v>276.52999999999997</v>
      </c>
      <c r="AV305" t="s">
        <v>3413</v>
      </c>
      <c r="AW305" t="s">
        <v>3413</v>
      </c>
      <c r="AX305" t="s">
        <v>270</v>
      </c>
    </row>
    <row r="306" spans="1:50" x14ac:dyDescent="0.25">
      <c r="A306" t="s">
        <v>4728</v>
      </c>
      <c r="B306" t="s">
        <v>2370</v>
      </c>
      <c r="C306" t="s">
        <v>1959</v>
      </c>
      <c r="D306" t="s">
        <v>2850</v>
      </c>
      <c r="E306" t="s">
        <v>4729</v>
      </c>
      <c r="F306" t="s">
        <v>222</v>
      </c>
      <c r="G306" t="s">
        <v>181</v>
      </c>
      <c r="H306" t="s">
        <v>4730</v>
      </c>
      <c r="I306">
        <v>0.1</v>
      </c>
      <c r="J306" t="s">
        <v>4731</v>
      </c>
      <c r="K306" t="s">
        <v>330</v>
      </c>
      <c r="L306" t="s">
        <v>1581</v>
      </c>
      <c r="M306" t="s">
        <v>2489</v>
      </c>
      <c r="N306" t="s">
        <v>135</v>
      </c>
      <c r="O306" t="s">
        <v>621</v>
      </c>
      <c r="P306" t="s">
        <v>4732</v>
      </c>
      <c r="Q306" t="s">
        <v>4733</v>
      </c>
      <c r="R306" t="s">
        <v>464</v>
      </c>
      <c r="S306" t="s">
        <v>4734</v>
      </c>
      <c r="T306" t="s">
        <v>4735</v>
      </c>
      <c r="V306" t="s">
        <v>290</v>
      </c>
      <c r="W306" t="s">
        <v>726</v>
      </c>
      <c r="X306" t="s">
        <v>233</v>
      </c>
      <c r="Y306" t="s">
        <v>106</v>
      </c>
      <c r="Z306" t="s">
        <v>4736</v>
      </c>
      <c r="AA306" t="s">
        <v>75</v>
      </c>
      <c r="AB306" t="s">
        <v>263</v>
      </c>
      <c r="AC306" t="s">
        <v>180</v>
      </c>
      <c r="AD306">
        <v>2026</v>
      </c>
      <c r="AE306" t="s">
        <v>110</v>
      </c>
      <c r="AF306" t="s">
        <v>134</v>
      </c>
      <c r="AG306" t="s">
        <v>211</v>
      </c>
      <c r="AJ306" t="s">
        <v>4737</v>
      </c>
      <c r="AK306" t="s">
        <v>79</v>
      </c>
      <c r="AL306" t="s">
        <v>4738</v>
      </c>
      <c r="AM306">
        <v>12.34</v>
      </c>
      <c r="AN306" t="s">
        <v>267</v>
      </c>
      <c r="AO306">
        <v>146</v>
      </c>
      <c r="AP306">
        <v>1</v>
      </c>
      <c r="AQ306" t="s">
        <v>318</v>
      </c>
      <c r="AR306" t="s">
        <v>118</v>
      </c>
      <c r="AT306">
        <v>0.3</v>
      </c>
      <c r="AU306" t="s">
        <v>4739</v>
      </c>
      <c r="AV306" t="s">
        <v>2398</v>
      </c>
      <c r="AW306" t="s">
        <v>122</v>
      </c>
      <c r="AX306" t="s">
        <v>246</v>
      </c>
    </row>
    <row r="307" spans="1:50" x14ac:dyDescent="0.25">
      <c r="A307" t="s">
        <v>4740</v>
      </c>
      <c r="B307" t="s">
        <v>4741</v>
      </c>
      <c r="C307" t="s">
        <v>4742</v>
      </c>
      <c r="D307" t="s">
        <v>2832</v>
      </c>
      <c r="E307" t="s">
        <v>369</v>
      </c>
      <c r="F307" t="s">
        <v>2695</v>
      </c>
      <c r="G307" t="s">
        <v>2550</v>
      </c>
      <c r="H307">
        <v>813.33</v>
      </c>
      <c r="I307">
        <v>0.1</v>
      </c>
      <c r="J307" t="s">
        <v>4743</v>
      </c>
      <c r="K307" t="s">
        <v>92</v>
      </c>
      <c r="L307" t="s">
        <v>2915</v>
      </c>
      <c r="M307" t="s">
        <v>663</v>
      </c>
      <c r="N307" t="s">
        <v>95</v>
      </c>
      <c r="O307" t="s">
        <v>543</v>
      </c>
      <c r="P307" t="s">
        <v>3109</v>
      </c>
      <c r="Q307" t="s">
        <v>4744</v>
      </c>
      <c r="R307" t="s">
        <v>484</v>
      </c>
      <c r="S307" t="s">
        <v>4745</v>
      </c>
      <c r="T307" t="s">
        <v>4746</v>
      </c>
      <c r="U307" t="s">
        <v>4747</v>
      </c>
      <c r="V307" t="s">
        <v>103</v>
      </c>
      <c r="W307" t="s">
        <v>206</v>
      </c>
      <c r="X307" t="s">
        <v>72</v>
      </c>
      <c r="Y307" t="s">
        <v>118</v>
      </c>
      <c r="Z307" t="s">
        <v>4748</v>
      </c>
      <c r="AA307" t="s">
        <v>144</v>
      </c>
      <c r="AB307" t="s">
        <v>179</v>
      </c>
      <c r="AC307" t="s">
        <v>1381</v>
      </c>
      <c r="AD307" t="s">
        <v>314</v>
      </c>
      <c r="AE307" t="s">
        <v>406</v>
      </c>
      <c r="AF307">
        <v>75</v>
      </c>
      <c r="AG307" t="s">
        <v>238</v>
      </c>
      <c r="AJ307">
        <v>28.54</v>
      </c>
      <c r="AK307" t="s">
        <v>79</v>
      </c>
      <c r="AL307" t="s">
        <v>4749</v>
      </c>
      <c r="AM307" t="s">
        <v>4750</v>
      </c>
      <c r="AN307" t="s">
        <v>82</v>
      </c>
      <c r="AO307">
        <v>106</v>
      </c>
      <c r="AP307" t="s">
        <v>187</v>
      </c>
      <c r="AQ307" t="s">
        <v>610</v>
      </c>
      <c r="AR307" t="s">
        <v>319</v>
      </c>
      <c r="AU307" t="s">
        <v>4751</v>
      </c>
      <c r="AV307" t="s">
        <v>1091</v>
      </c>
      <c r="AX307" t="s">
        <v>191</v>
      </c>
    </row>
    <row r="308" spans="1:50" x14ac:dyDescent="0.25">
      <c r="A308" t="s">
        <v>4752</v>
      </c>
      <c r="B308" t="s">
        <v>4753</v>
      </c>
      <c r="C308" t="s">
        <v>4754</v>
      </c>
      <c r="D308" t="s">
        <v>4755</v>
      </c>
      <c r="E308" t="s">
        <v>4756</v>
      </c>
      <c r="F308" t="s">
        <v>4757</v>
      </c>
      <c r="G308">
        <v>30</v>
      </c>
      <c r="H308">
        <v>79.14</v>
      </c>
      <c r="I308" t="s">
        <v>253</v>
      </c>
      <c r="J308" t="s">
        <v>4758</v>
      </c>
      <c r="K308" t="s">
        <v>92</v>
      </c>
      <c r="L308" t="s">
        <v>2029</v>
      </c>
      <c r="M308" t="s">
        <v>4759</v>
      </c>
      <c r="N308" t="s">
        <v>396</v>
      </c>
      <c r="O308" t="s">
        <v>136</v>
      </c>
      <c r="P308" t="s">
        <v>284</v>
      </c>
      <c r="Q308" t="s">
        <v>4760</v>
      </c>
      <c r="R308" t="s">
        <v>134</v>
      </c>
      <c r="S308" t="s">
        <v>4761</v>
      </c>
      <c r="T308" t="s">
        <v>4762</v>
      </c>
      <c r="U308" t="s">
        <v>4763</v>
      </c>
      <c r="V308" t="s">
        <v>290</v>
      </c>
      <c r="W308" t="s">
        <v>726</v>
      </c>
      <c r="X308" t="s">
        <v>207</v>
      </c>
      <c r="Y308" t="s">
        <v>106</v>
      </c>
      <c r="Z308" t="s">
        <v>4764</v>
      </c>
      <c r="AA308" t="s">
        <v>178</v>
      </c>
      <c r="AB308" t="s">
        <v>263</v>
      </c>
      <c r="AC308">
        <v>3</v>
      </c>
      <c r="AD308">
        <v>2026</v>
      </c>
      <c r="AE308" t="s">
        <v>181</v>
      </c>
      <c r="AF308" t="s">
        <v>91</v>
      </c>
      <c r="AG308">
        <v>0.08</v>
      </c>
      <c r="AJ308" t="s">
        <v>91</v>
      </c>
      <c r="AK308" t="s">
        <v>79</v>
      </c>
      <c r="AL308" t="s">
        <v>4765</v>
      </c>
      <c r="AM308" t="s">
        <v>3633</v>
      </c>
      <c r="AN308" t="s">
        <v>186</v>
      </c>
      <c r="AO308">
        <v>38</v>
      </c>
      <c r="AP308" t="s">
        <v>187</v>
      </c>
      <c r="AQ308" t="s">
        <v>610</v>
      </c>
      <c r="AR308">
        <v>0</v>
      </c>
      <c r="AT308">
        <v>0.3</v>
      </c>
      <c r="AU308" t="s">
        <v>134</v>
      </c>
      <c r="AV308" t="s">
        <v>2368</v>
      </c>
      <c r="AW308" t="s">
        <v>2368</v>
      </c>
    </row>
    <row r="309" spans="1:50" x14ac:dyDescent="0.25">
      <c r="A309" t="s">
        <v>4766</v>
      </c>
      <c r="B309" t="s">
        <v>4767</v>
      </c>
      <c r="C309" t="s">
        <v>4768</v>
      </c>
      <c r="D309" t="s">
        <v>3905</v>
      </c>
      <c r="E309" t="s">
        <v>55</v>
      </c>
      <c r="F309" t="s">
        <v>56</v>
      </c>
      <c r="G309" t="s">
        <v>1025</v>
      </c>
      <c r="H309" t="s">
        <v>57</v>
      </c>
      <c r="I309" t="s">
        <v>253</v>
      </c>
      <c r="J309" t="s">
        <v>4769</v>
      </c>
      <c r="K309" t="s">
        <v>330</v>
      </c>
      <c r="L309" t="s">
        <v>2284</v>
      </c>
      <c r="M309" t="s">
        <v>1499</v>
      </c>
      <c r="N309" t="s">
        <v>396</v>
      </c>
      <c r="O309" t="s">
        <v>63</v>
      </c>
      <c r="P309" t="s">
        <v>2948</v>
      </c>
      <c r="Q309" t="s">
        <v>4770</v>
      </c>
      <c r="R309" t="s">
        <v>1846</v>
      </c>
      <c r="S309" t="s">
        <v>4771</v>
      </c>
      <c r="T309" t="s">
        <v>4772</v>
      </c>
      <c r="U309" t="s">
        <v>4773</v>
      </c>
      <c r="V309" t="s">
        <v>70</v>
      </c>
      <c r="W309" t="s">
        <v>104</v>
      </c>
      <c r="X309" t="s">
        <v>233</v>
      </c>
      <c r="Y309" t="s">
        <v>118</v>
      </c>
      <c r="Z309" t="s">
        <v>4774</v>
      </c>
      <c r="AA309" t="s">
        <v>75</v>
      </c>
      <c r="AB309" t="s">
        <v>263</v>
      </c>
      <c r="AC309">
        <v>4</v>
      </c>
      <c r="AD309" t="s">
        <v>314</v>
      </c>
      <c r="AE309" t="s">
        <v>181</v>
      </c>
      <c r="AF309">
        <v>20</v>
      </c>
      <c r="AG309">
        <v>0.08</v>
      </c>
      <c r="AJ309" t="s">
        <v>4775</v>
      </c>
      <c r="AK309" t="s">
        <v>183</v>
      </c>
      <c r="AL309" t="s">
        <v>4776</v>
      </c>
      <c r="AM309" t="s">
        <v>4777</v>
      </c>
      <c r="AN309" t="s">
        <v>267</v>
      </c>
      <c r="AP309" t="s">
        <v>187</v>
      </c>
      <c r="AQ309" t="s">
        <v>151</v>
      </c>
      <c r="AR309">
        <v>0</v>
      </c>
      <c r="AT309" t="s">
        <v>119</v>
      </c>
      <c r="AU309" t="s">
        <v>4778</v>
      </c>
      <c r="AV309" t="s">
        <v>4779</v>
      </c>
      <c r="AW309" t="s">
        <v>1301</v>
      </c>
      <c r="AX309" t="s">
        <v>270</v>
      </c>
    </row>
    <row r="310" spans="1:50" x14ac:dyDescent="0.25">
      <c r="A310" t="s">
        <v>4780</v>
      </c>
      <c r="B310" t="s">
        <v>4781</v>
      </c>
      <c r="C310" t="s">
        <v>2831</v>
      </c>
      <c r="D310" t="s">
        <v>4782</v>
      </c>
      <c r="E310" t="s">
        <v>142</v>
      </c>
      <c r="F310" t="s">
        <v>4783</v>
      </c>
      <c r="G310" t="s">
        <v>1980</v>
      </c>
      <c r="H310" t="s">
        <v>3846</v>
      </c>
      <c r="I310">
        <v>0</v>
      </c>
      <c r="J310" t="s">
        <v>163</v>
      </c>
      <c r="K310" t="s">
        <v>280</v>
      </c>
      <c r="L310" t="s">
        <v>1194</v>
      </c>
      <c r="M310" t="s">
        <v>1002</v>
      </c>
      <c r="N310" t="s">
        <v>396</v>
      </c>
      <c r="O310" t="s">
        <v>96</v>
      </c>
      <c r="P310" t="s">
        <v>4784</v>
      </c>
      <c r="Q310" t="s">
        <v>4785</v>
      </c>
      <c r="R310" t="s">
        <v>722</v>
      </c>
      <c r="S310" t="s">
        <v>4786</v>
      </c>
      <c r="T310" t="s">
        <v>4787</v>
      </c>
      <c r="U310" t="s">
        <v>4788</v>
      </c>
      <c r="V310" t="s">
        <v>290</v>
      </c>
      <c r="W310" t="s">
        <v>104</v>
      </c>
      <c r="X310" t="s">
        <v>72</v>
      </c>
      <c r="Y310" t="s">
        <v>176</v>
      </c>
      <c r="Z310" t="s">
        <v>4789</v>
      </c>
      <c r="AA310" t="s">
        <v>75</v>
      </c>
      <c r="AB310" t="s">
        <v>405</v>
      </c>
      <c r="AC310" t="s">
        <v>357</v>
      </c>
      <c r="AD310" t="s">
        <v>314</v>
      </c>
      <c r="AE310" t="s">
        <v>110</v>
      </c>
      <c r="AG310" t="s">
        <v>211</v>
      </c>
      <c r="AJ310" t="s">
        <v>4790</v>
      </c>
      <c r="AK310" t="s">
        <v>183</v>
      </c>
      <c r="AL310" t="s">
        <v>4791</v>
      </c>
      <c r="AM310" t="s">
        <v>4792</v>
      </c>
      <c r="AN310" t="s">
        <v>186</v>
      </c>
      <c r="AO310">
        <v>14</v>
      </c>
      <c r="AQ310" t="s">
        <v>151</v>
      </c>
      <c r="AR310" t="s">
        <v>319</v>
      </c>
      <c r="AS310" t="s">
        <v>215</v>
      </c>
      <c r="AT310" t="s">
        <v>152</v>
      </c>
      <c r="AU310">
        <v>69.61</v>
      </c>
      <c r="AV310" t="s">
        <v>4793</v>
      </c>
      <c r="AX310" t="s">
        <v>191</v>
      </c>
    </row>
    <row r="311" spans="1:50" x14ac:dyDescent="0.25">
      <c r="A311" t="s">
        <v>4794</v>
      </c>
      <c r="B311" t="s">
        <v>4795</v>
      </c>
      <c r="C311" t="s">
        <v>4796</v>
      </c>
      <c r="D311" t="s">
        <v>2533</v>
      </c>
      <c r="E311" t="s">
        <v>3571</v>
      </c>
      <c r="F311" t="s">
        <v>1876</v>
      </c>
      <c r="G311" t="s">
        <v>1138</v>
      </c>
      <c r="H311" t="s">
        <v>4797</v>
      </c>
      <c r="I311" t="s">
        <v>58</v>
      </c>
      <c r="J311" t="s">
        <v>4798</v>
      </c>
      <c r="K311" t="s">
        <v>59</v>
      </c>
      <c r="L311" t="s">
        <v>1686</v>
      </c>
      <c r="M311" t="s">
        <v>4799</v>
      </c>
      <c r="N311" t="s">
        <v>417</v>
      </c>
      <c r="O311" t="s">
        <v>954</v>
      </c>
      <c r="P311" t="s">
        <v>4800</v>
      </c>
      <c r="Q311" t="s">
        <v>4801</v>
      </c>
      <c r="R311" t="s">
        <v>169</v>
      </c>
      <c r="S311" t="s">
        <v>4802</v>
      </c>
      <c r="T311" t="s">
        <v>4803</v>
      </c>
      <c r="U311" t="s">
        <v>4804</v>
      </c>
      <c r="V311" t="s">
        <v>173</v>
      </c>
      <c r="W311" t="s">
        <v>206</v>
      </c>
      <c r="X311" t="s">
        <v>207</v>
      </c>
      <c r="Y311" t="s">
        <v>176</v>
      </c>
      <c r="Z311" t="s">
        <v>4805</v>
      </c>
      <c r="AA311" t="s">
        <v>144</v>
      </c>
      <c r="AB311" t="s">
        <v>263</v>
      </c>
      <c r="AC311" t="s">
        <v>2175</v>
      </c>
      <c r="AD311" t="s">
        <v>314</v>
      </c>
      <c r="AE311" t="s">
        <v>110</v>
      </c>
      <c r="AF311">
        <v>75</v>
      </c>
      <c r="AG311" t="s">
        <v>111</v>
      </c>
      <c r="AJ311">
        <v>20.21</v>
      </c>
      <c r="AK311" t="s">
        <v>147</v>
      </c>
      <c r="AL311" t="s">
        <v>4806</v>
      </c>
      <c r="AM311" t="s">
        <v>4807</v>
      </c>
      <c r="AN311" t="s">
        <v>186</v>
      </c>
      <c r="AO311" t="s">
        <v>91</v>
      </c>
      <c r="AP311" t="s">
        <v>187</v>
      </c>
      <c r="AQ311" t="s">
        <v>610</v>
      </c>
      <c r="AR311" t="s">
        <v>319</v>
      </c>
      <c r="AT311" t="s">
        <v>119</v>
      </c>
      <c r="AU311" t="s">
        <v>4808</v>
      </c>
      <c r="AV311" t="s">
        <v>3413</v>
      </c>
      <c r="AX311" t="s">
        <v>85</v>
      </c>
    </row>
    <row r="312" spans="1:50" x14ac:dyDescent="0.25">
      <c r="A312" t="s">
        <v>4809</v>
      </c>
      <c r="B312" t="s">
        <v>4810</v>
      </c>
      <c r="C312" t="s">
        <v>4811</v>
      </c>
      <c r="D312" t="s">
        <v>4812</v>
      </c>
      <c r="E312" t="s">
        <v>4813</v>
      </c>
      <c r="F312" t="s">
        <v>1225</v>
      </c>
      <c r="G312">
        <v>15</v>
      </c>
      <c r="H312">
        <v>1241.1400000000001</v>
      </c>
      <c r="I312" t="s">
        <v>253</v>
      </c>
      <c r="J312" t="s">
        <v>4814</v>
      </c>
      <c r="K312" t="s">
        <v>59</v>
      </c>
      <c r="L312" t="s">
        <v>600</v>
      </c>
      <c r="M312" t="s">
        <v>134</v>
      </c>
      <c r="N312" t="s">
        <v>95</v>
      </c>
      <c r="O312" t="s">
        <v>760</v>
      </c>
      <c r="P312" t="s">
        <v>4815</v>
      </c>
      <c r="Q312" t="s">
        <v>4816</v>
      </c>
      <c r="R312" t="s">
        <v>1722</v>
      </c>
      <c r="S312" t="s">
        <v>4817</v>
      </c>
      <c r="T312" t="s">
        <v>4818</v>
      </c>
      <c r="U312" t="s">
        <v>4819</v>
      </c>
      <c r="V312" t="s">
        <v>173</v>
      </c>
      <c r="W312" t="s">
        <v>206</v>
      </c>
      <c r="X312" t="s">
        <v>175</v>
      </c>
      <c r="Y312" t="s">
        <v>337</v>
      </c>
      <c r="Z312" t="s">
        <v>4820</v>
      </c>
      <c r="AA312" t="s">
        <v>19</v>
      </c>
      <c r="AB312" t="s">
        <v>108</v>
      </c>
      <c r="AC312" t="s">
        <v>145</v>
      </c>
      <c r="AD312" t="s">
        <v>146</v>
      </c>
      <c r="AE312" t="s">
        <v>77</v>
      </c>
      <c r="AF312">
        <v>70</v>
      </c>
      <c r="AG312" t="s">
        <v>238</v>
      </c>
      <c r="AJ312" t="s">
        <v>212</v>
      </c>
      <c r="AK312" t="s">
        <v>79</v>
      </c>
      <c r="AL312" t="s">
        <v>4821</v>
      </c>
      <c r="AM312">
        <v>1.79</v>
      </c>
      <c r="AN312" t="s">
        <v>116</v>
      </c>
      <c r="AO312">
        <v>24</v>
      </c>
      <c r="AP312">
        <v>5</v>
      </c>
      <c r="AQ312" t="s">
        <v>151</v>
      </c>
      <c r="AR312">
        <v>1</v>
      </c>
      <c r="AS312" t="s">
        <v>83</v>
      </c>
      <c r="AT312" t="s">
        <v>119</v>
      </c>
      <c r="AU312" t="s">
        <v>4822</v>
      </c>
      <c r="AV312" t="s">
        <v>4823</v>
      </c>
      <c r="AW312" t="s">
        <v>190</v>
      </c>
    </row>
    <row r="313" spans="1:50" x14ac:dyDescent="0.25">
      <c r="A313" t="s">
        <v>4824</v>
      </c>
      <c r="B313" t="s">
        <v>4825</v>
      </c>
      <c r="C313" t="s">
        <v>4826</v>
      </c>
      <c r="D313" t="s">
        <v>888</v>
      </c>
      <c r="E313" t="s">
        <v>1426</v>
      </c>
      <c r="F313" t="s">
        <v>1563</v>
      </c>
      <c r="G313" t="s">
        <v>3964</v>
      </c>
      <c r="H313" t="s">
        <v>4827</v>
      </c>
      <c r="I313" t="s">
        <v>253</v>
      </c>
      <c r="J313" t="s">
        <v>4828</v>
      </c>
      <c r="K313" t="s">
        <v>280</v>
      </c>
      <c r="L313" t="s">
        <v>4829</v>
      </c>
      <c r="M313" t="s">
        <v>2885</v>
      </c>
      <c r="N313" t="s">
        <v>62</v>
      </c>
      <c r="O313" t="s">
        <v>1122</v>
      </c>
      <c r="P313" t="s">
        <v>4830</v>
      </c>
      <c r="Q313" t="s">
        <v>4831</v>
      </c>
      <c r="R313" t="s">
        <v>201</v>
      </c>
      <c r="S313" t="s">
        <v>4832</v>
      </c>
      <c r="T313" t="s">
        <v>4833</v>
      </c>
      <c r="U313" t="s">
        <v>4834</v>
      </c>
      <c r="V313" t="s">
        <v>173</v>
      </c>
      <c r="W313" t="s">
        <v>206</v>
      </c>
      <c r="X313" t="s">
        <v>72</v>
      </c>
      <c r="Y313" t="s">
        <v>73</v>
      </c>
      <c r="Z313" t="s">
        <v>4835</v>
      </c>
      <c r="AA313" t="s">
        <v>178</v>
      </c>
      <c r="AB313" t="s">
        <v>76</v>
      </c>
      <c r="AC313" t="s">
        <v>209</v>
      </c>
      <c r="AD313" t="s">
        <v>314</v>
      </c>
      <c r="AE313" t="s">
        <v>406</v>
      </c>
      <c r="AF313">
        <v>14</v>
      </c>
      <c r="AG313" t="s">
        <v>238</v>
      </c>
      <c r="AJ313" t="s">
        <v>4836</v>
      </c>
      <c r="AK313" t="s">
        <v>571</v>
      </c>
      <c r="AL313" t="s">
        <v>4837</v>
      </c>
      <c r="AM313" t="s">
        <v>4838</v>
      </c>
      <c r="AN313" t="s">
        <v>116</v>
      </c>
      <c r="AO313">
        <v>340</v>
      </c>
      <c r="AP313" t="s">
        <v>187</v>
      </c>
      <c r="AQ313" t="s">
        <v>151</v>
      </c>
      <c r="AR313" t="s">
        <v>243</v>
      </c>
      <c r="AT313">
        <v>0.3</v>
      </c>
      <c r="AU313">
        <v>882.22</v>
      </c>
      <c r="AV313" t="s">
        <v>4839</v>
      </c>
      <c r="AW313" t="s">
        <v>122</v>
      </c>
      <c r="AX313" t="s">
        <v>85</v>
      </c>
    </row>
    <row r="314" spans="1:50" x14ac:dyDescent="0.25">
      <c r="A314" t="s">
        <v>4840</v>
      </c>
      <c r="B314" t="s">
        <v>4841</v>
      </c>
      <c r="C314" t="s">
        <v>4842</v>
      </c>
      <c r="D314" t="s">
        <v>1927</v>
      </c>
      <c r="E314" t="s">
        <v>4843</v>
      </c>
      <c r="F314" t="s">
        <v>56</v>
      </c>
      <c r="G314">
        <v>4</v>
      </c>
      <c r="H314" t="s">
        <v>134</v>
      </c>
      <c r="J314" t="s">
        <v>134</v>
      </c>
      <c r="K314" t="s">
        <v>330</v>
      </c>
      <c r="L314" t="s">
        <v>1140</v>
      </c>
      <c r="M314" t="s">
        <v>4844</v>
      </c>
      <c r="N314" t="s">
        <v>62</v>
      </c>
      <c r="O314" t="s">
        <v>543</v>
      </c>
      <c r="P314" t="s">
        <v>1500</v>
      </c>
      <c r="Q314" t="s">
        <v>4845</v>
      </c>
      <c r="R314" t="s">
        <v>876</v>
      </c>
      <c r="S314" t="s">
        <v>4846</v>
      </c>
      <c r="T314" t="s">
        <v>4847</v>
      </c>
      <c r="U314" t="s">
        <v>4848</v>
      </c>
      <c r="V314" t="s">
        <v>205</v>
      </c>
      <c r="W314" t="s">
        <v>174</v>
      </c>
      <c r="X314" t="s">
        <v>72</v>
      </c>
      <c r="Y314" t="s">
        <v>106</v>
      </c>
      <c r="Z314" t="s">
        <v>4849</v>
      </c>
      <c r="AA314" t="s">
        <v>75</v>
      </c>
      <c r="AB314" t="s">
        <v>76</v>
      </c>
      <c r="AC314" t="s">
        <v>2988</v>
      </c>
      <c r="AD314" t="s">
        <v>237</v>
      </c>
      <c r="AE314" t="s">
        <v>406</v>
      </c>
      <c r="AF314">
        <v>19</v>
      </c>
      <c r="AG314" t="s">
        <v>238</v>
      </c>
      <c r="AJ314" t="s">
        <v>4850</v>
      </c>
      <c r="AK314" t="s">
        <v>240</v>
      </c>
      <c r="AL314" t="s">
        <v>4851</v>
      </c>
      <c r="AM314" t="s">
        <v>4852</v>
      </c>
      <c r="AN314" t="s">
        <v>150</v>
      </c>
      <c r="AO314">
        <v>244</v>
      </c>
      <c r="AP314" t="s">
        <v>214</v>
      </c>
      <c r="AQ314" t="s">
        <v>242</v>
      </c>
      <c r="AR314" t="s">
        <v>243</v>
      </c>
      <c r="AT314">
        <v>0.3</v>
      </c>
      <c r="AU314" t="s">
        <v>4853</v>
      </c>
      <c r="AV314" t="s">
        <v>884</v>
      </c>
      <c r="AX314" t="s">
        <v>191</v>
      </c>
    </row>
    <row r="315" spans="1:50" x14ac:dyDescent="0.25">
      <c r="A315" t="s">
        <v>4854</v>
      </c>
      <c r="B315" t="s">
        <v>4855</v>
      </c>
      <c r="C315" t="s">
        <v>4856</v>
      </c>
      <c r="D315" t="s">
        <v>4857</v>
      </c>
      <c r="E315" t="s">
        <v>4858</v>
      </c>
      <c r="G315">
        <v>18</v>
      </c>
      <c r="H315" t="s">
        <v>4859</v>
      </c>
      <c r="I315" t="s">
        <v>58</v>
      </c>
      <c r="J315" t="s">
        <v>4860</v>
      </c>
      <c r="K315" t="s">
        <v>92</v>
      </c>
      <c r="L315" t="s">
        <v>60</v>
      </c>
      <c r="M315" t="s">
        <v>2239</v>
      </c>
      <c r="N315" t="s">
        <v>166</v>
      </c>
      <c r="O315" t="s">
        <v>461</v>
      </c>
      <c r="P315" t="s">
        <v>4861</v>
      </c>
      <c r="Q315" t="s">
        <v>4862</v>
      </c>
      <c r="R315" t="s">
        <v>464</v>
      </c>
      <c r="S315" t="s">
        <v>4863</v>
      </c>
      <c r="T315" t="s">
        <v>4864</v>
      </c>
      <c r="U315" t="s">
        <v>4865</v>
      </c>
      <c r="V315" t="s">
        <v>205</v>
      </c>
      <c r="W315" t="s">
        <v>104</v>
      </c>
      <c r="X315" t="s">
        <v>175</v>
      </c>
      <c r="Y315" t="s">
        <v>118</v>
      </c>
      <c r="Z315" t="s">
        <v>4866</v>
      </c>
      <c r="AA315" t="s">
        <v>144</v>
      </c>
      <c r="AB315" t="s">
        <v>405</v>
      </c>
      <c r="AC315" t="s">
        <v>569</v>
      </c>
      <c r="AD315" t="s">
        <v>146</v>
      </c>
      <c r="AE315" t="s">
        <v>406</v>
      </c>
      <c r="AF315" t="s">
        <v>91</v>
      </c>
      <c r="AG315" t="s">
        <v>238</v>
      </c>
      <c r="AJ315" t="s">
        <v>2482</v>
      </c>
      <c r="AK315" t="s">
        <v>240</v>
      </c>
      <c r="AL315" t="s">
        <v>4867</v>
      </c>
      <c r="AM315" t="s">
        <v>4868</v>
      </c>
      <c r="AN315" t="s">
        <v>267</v>
      </c>
      <c r="AO315">
        <v>334</v>
      </c>
      <c r="AP315" t="s">
        <v>214</v>
      </c>
      <c r="AR315" t="s">
        <v>188</v>
      </c>
      <c r="AU315" t="s">
        <v>134</v>
      </c>
      <c r="AV315" t="s">
        <v>4348</v>
      </c>
      <c r="AW315" t="s">
        <v>122</v>
      </c>
      <c r="AX315" t="s">
        <v>270</v>
      </c>
    </row>
    <row r="316" spans="1:50" x14ac:dyDescent="0.25">
      <c r="A316" t="s">
        <v>4869</v>
      </c>
      <c r="B316" t="s">
        <v>4870</v>
      </c>
      <c r="C316" t="s">
        <v>4871</v>
      </c>
      <c r="D316" t="s">
        <v>3977</v>
      </c>
      <c r="F316" t="s">
        <v>327</v>
      </c>
      <c r="G316" t="s">
        <v>2266</v>
      </c>
      <c r="H316" t="s">
        <v>1267</v>
      </c>
      <c r="I316" t="s">
        <v>162</v>
      </c>
      <c r="J316">
        <v>22005.759999999998</v>
      </c>
      <c r="K316" t="s">
        <v>59</v>
      </c>
      <c r="L316" t="s">
        <v>815</v>
      </c>
      <c r="M316" t="s">
        <v>3193</v>
      </c>
      <c r="N316" t="s">
        <v>62</v>
      </c>
      <c r="O316" t="s">
        <v>1566</v>
      </c>
      <c r="P316" t="s">
        <v>376</v>
      </c>
      <c r="Q316" t="s">
        <v>4872</v>
      </c>
      <c r="R316" t="s">
        <v>684</v>
      </c>
      <c r="S316" t="s">
        <v>4873</v>
      </c>
      <c r="T316" t="s">
        <v>4874</v>
      </c>
      <c r="U316" t="s">
        <v>4875</v>
      </c>
      <c r="V316" t="s">
        <v>70</v>
      </c>
      <c r="W316" t="s">
        <v>206</v>
      </c>
      <c r="X316" t="s">
        <v>233</v>
      </c>
      <c r="Y316" t="s">
        <v>337</v>
      </c>
      <c r="Z316" t="s">
        <v>4876</v>
      </c>
      <c r="AA316" t="s">
        <v>144</v>
      </c>
      <c r="AB316" t="s">
        <v>76</v>
      </c>
      <c r="AC316" t="s">
        <v>145</v>
      </c>
      <c r="AD316" t="s">
        <v>210</v>
      </c>
      <c r="AE316" t="s">
        <v>77</v>
      </c>
      <c r="AF316">
        <v>7</v>
      </c>
      <c r="AG316" t="s">
        <v>238</v>
      </c>
      <c r="AJ316" t="s">
        <v>4877</v>
      </c>
      <c r="AK316" t="s">
        <v>571</v>
      </c>
      <c r="AL316" t="s">
        <v>4878</v>
      </c>
      <c r="AM316" t="s">
        <v>4879</v>
      </c>
      <c r="AN316" t="s">
        <v>186</v>
      </c>
      <c r="AO316">
        <v>488</v>
      </c>
      <c r="AP316">
        <v>5</v>
      </c>
      <c r="AQ316" t="s">
        <v>610</v>
      </c>
      <c r="AR316" t="s">
        <v>118</v>
      </c>
      <c r="AT316">
        <v>0.3</v>
      </c>
      <c r="AU316" t="s">
        <v>91</v>
      </c>
      <c r="AV316" t="s">
        <v>4880</v>
      </c>
      <c r="AW316" t="s">
        <v>4463</v>
      </c>
      <c r="AX316" t="s">
        <v>270</v>
      </c>
    </row>
    <row r="317" spans="1:50" x14ac:dyDescent="0.25">
      <c r="A317" t="s">
        <v>4881</v>
      </c>
      <c r="B317" t="s">
        <v>4882</v>
      </c>
      <c r="C317" t="s">
        <v>4883</v>
      </c>
      <c r="D317" t="s">
        <v>4884</v>
      </c>
      <c r="E317" t="s">
        <v>163</v>
      </c>
      <c r="F317" t="s">
        <v>4885</v>
      </c>
      <c r="G317" t="s">
        <v>4338</v>
      </c>
      <c r="H317" t="s">
        <v>4532</v>
      </c>
      <c r="J317" t="s">
        <v>4886</v>
      </c>
      <c r="K317" t="s">
        <v>280</v>
      </c>
      <c r="L317" t="s">
        <v>1668</v>
      </c>
      <c r="M317" t="s">
        <v>134</v>
      </c>
      <c r="N317" t="s">
        <v>417</v>
      </c>
      <c r="O317" t="s">
        <v>226</v>
      </c>
      <c r="P317" t="s">
        <v>1898</v>
      </c>
      <c r="Q317" t="s">
        <v>4887</v>
      </c>
      <c r="R317" t="s">
        <v>420</v>
      </c>
      <c r="S317" t="s">
        <v>4888</v>
      </c>
      <c r="T317" t="s">
        <v>4889</v>
      </c>
      <c r="U317" t="s">
        <v>4890</v>
      </c>
      <c r="V317" t="s">
        <v>70</v>
      </c>
      <c r="W317" t="s">
        <v>206</v>
      </c>
      <c r="X317" t="s">
        <v>175</v>
      </c>
      <c r="Y317" t="s">
        <v>234</v>
      </c>
      <c r="Z317" t="s">
        <v>4891</v>
      </c>
      <c r="AA317" t="s">
        <v>144</v>
      </c>
      <c r="AB317" t="s">
        <v>179</v>
      </c>
      <c r="AC317" t="s">
        <v>651</v>
      </c>
      <c r="AD317">
        <v>2026</v>
      </c>
      <c r="AE317" t="s">
        <v>406</v>
      </c>
      <c r="AF317">
        <v>18</v>
      </c>
      <c r="AG317">
        <v>0.08</v>
      </c>
      <c r="AJ317" t="s">
        <v>4892</v>
      </c>
      <c r="AK317" t="s">
        <v>183</v>
      </c>
      <c r="AL317" t="s">
        <v>4893</v>
      </c>
      <c r="AM317">
        <v>1.41</v>
      </c>
      <c r="AN317" t="s">
        <v>150</v>
      </c>
      <c r="AO317">
        <v>284</v>
      </c>
      <c r="AP317" t="s">
        <v>187</v>
      </c>
      <c r="AR317" t="s">
        <v>188</v>
      </c>
      <c r="AS317" t="s">
        <v>429</v>
      </c>
      <c r="AT317" t="s">
        <v>119</v>
      </c>
      <c r="AU317" t="s">
        <v>4894</v>
      </c>
      <c r="AV317" t="s">
        <v>4590</v>
      </c>
      <c r="AW317" t="s">
        <v>1113</v>
      </c>
      <c r="AX317" t="s">
        <v>246</v>
      </c>
    </row>
    <row r="318" spans="1:50" x14ac:dyDescent="0.25">
      <c r="A318" t="s">
        <v>4895</v>
      </c>
      <c r="B318" t="s">
        <v>4480</v>
      </c>
      <c r="C318" t="s">
        <v>4896</v>
      </c>
      <c r="D318" t="s">
        <v>3290</v>
      </c>
      <c r="E318" t="s">
        <v>4897</v>
      </c>
      <c r="F318" t="s">
        <v>90</v>
      </c>
      <c r="G318" t="s">
        <v>2405</v>
      </c>
      <c r="H318" t="s">
        <v>3292</v>
      </c>
      <c r="I318" t="s">
        <v>253</v>
      </c>
      <c r="J318" t="s">
        <v>4898</v>
      </c>
      <c r="K318" t="s">
        <v>132</v>
      </c>
      <c r="L318" t="s">
        <v>416</v>
      </c>
      <c r="N318" t="s">
        <v>396</v>
      </c>
      <c r="O318" t="s">
        <v>543</v>
      </c>
      <c r="P318" t="s">
        <v>562</v>
      </c>
      <c r="Q318" t="s">
        <v>4899</v>
      </c>
      <c r="R318" t="s">
        <v>1846</v>
      </c>
      <c r="S318" t="s">
        <v>4900</v>
      </c>
      <c r="T318" t="s">
        <v>4901</v>
      </c>
      <c r="U318" t="s">
        <v>4902</v>
      </c>
      <c r="V318" t="s">
        <v>290</v>
      </c>
      <c r="W318" t="s">
        <v>71</v>
      </c>
      <c r="X318" t="s">
        <v>233</v>
      </c>
      <c r="Y318" t="s">
        <v>176</v>
      </c>
      <c r="Z318" t="s">
        <v>4903</v>
      </c>
      <c r="AA318" t="s">
        <v>144</v>
      </c>
      <c r="AB318" t="s">
        <v>263</v>
      </c>
      <c r="AC318">
        <v>9</v>
      </c>
      <c r="AD318" t="s">
        <v>237</v>
      </c>
      <c r="AE318" t="s">
        <v>181</v>
      </c>
      <c r="AF318">
        <v>45</v>
      </c>
      <c r="AG318" t="s">
        <v>238</v>
      </c>
      <c r="AJ318" t="s">
        <v>4904</v>
      </c>
      <c r="AK318" t="s">
        <v>240</v>
      </c>
      <c r="AL318" t="s">
        <v>4905</v>
      </c>
      <c r="AM318" t="s">
        <v>4906</v>
      </c>
      <c r="AN318" t="s">
        <v>267</v>
      </c>
      <c r="AO318">
        <v>202</v>
      </c>
      <c r="AP318" t="s">
        <v>214</v>
      </c>
      <c r="AQ318" t="s">
        <v>242</v>
      </c>
      <c r="AT318" t="s">
        <v>361</v>
      </c>
      <c r="AU318" t="s">
        <v>4907</v>
      </c>
      <c r="AV318" t="s">
        <v>4908</v>
      </c>
      <c r="AW318" t="s">
        <v>1855</v>
      </c>
    </row>
    <row r="319" spans="1:50" x14ac:dyDescent="0.25">
      <c r="A319" t="s">
        <v>4909</v>
      </c>
      <c r="B319" t="s">
        <v>4910</v>
      </c>
      <c r="C319" t="s">
        <v>4911</v>
      </c>
      <c r="D319" t="s">
        <v>3696</v>
      </c>
      <c r="E319" t="s">
        <v>4352</v>
      </c>
      <c r="F319" t="s">
        <v>4912</v>
      </c>
      <c r="G319" t="s">
        <v>1497</v>
      </c>
      <c r="H319">
        <v>930.42</v>
      </c>
      <c r="I319">
        <v>0.1</v>
      </c>
      <c r="J319">
        <v>21399.66</v>
      </c>
      <c r="K319" t="s">
        <v>132</v>
      </c>
      <c r="L319" t="s">
        <v>1009</v>
      </c>
      <c r="M319" t="s">
        <v>1897</v>
      </c>
      <c r="N319" t="s">
        <v>396</v>
      </c>
      <c r="O319" t="s">
        <v>643</v>
      </c>
      <c r="P319" t="s">
        <v>2058</v>
      </c>
      <c r="Q319" t="s">
        <v>4913</v>
      </c>
      <c r="R319" t="s">
        <v>400</v>
      </c>
      <c r="S319" t="s">
        <v>4914</v>
      </c>
      <c r="T319" t="s">
        <v>4915</v>
      </c>
      <c r="U319" t="s">
        <v>4916</v>
      </c>
      <c r="V319" t="s">
        <v>173</v>
      </c>
      <c r="W319" t="s">
        <v>174</v>
      </c>
      <c r="X319" t="s">
        <v>72</v>
      </c>
      <c r="Y319" t="s">
        <v>176</v>
      </c>
      <c r="Z319" t="s">
        <v>4917</v>
      </c>
      <c r="AA319" t="s">
        <v>236</v>
      </c>
      <c r="AB319" t="s">
        <v>528</v>
      </c>
      <c r="AC319">
        <v>6</v>
      </c>
      <c r="AD319">
        <v>2026</v>
      </c>
      <c r="AE319" t="s">
        <v>110</v>
      </c>
      <c r="AF319">
        <v>58</v>
      </c>
      <c r="AG319" t="s">
        <v>238</v>
      </c>
      <c r="AJ319" t="s">
        <v>4918</v>
      </c>
      <c r="AK319" t="s">
        <v>147</v>
      </c>
      <c r="AL319" t="s">
        <v>4919</v>
      </c>
      <c r="AM319" t="s">
        <v>4920</v>
      </c>
      <c r="AN319" t="s">
        <v>150</v>
      </c>
      <c r="AP319">
        <v>5</v>
      </c>
      <c r="AQ319" t="s">
        <v>610</v>
      </c>
      <c r="AS319" t="s">
        <v>429</v>
      </c>
      <c r="AT319" t="s">
        <v>152</v>
      </c>
      <c r="AU319" t="s">
        <v>142</v>
      </c>
      <c r="AV319" t="s">
        <v>4590</v>
      </c>
      <c r="AX319" t="s">
        <v>246</v>
      </c>
    </row>
    <row r="320" spans="1:50" x14ac:dyDescent="0.25">
      <c r="A320" t="s">
        <v>4921</v>
      </c>
      <c r="B320" t="s">
        <v>3904</v>
      </c>
      <c r="C320" t="s">
        <v>4922</v>
      </c>
      <c r="D320" t="s">
        <v>948</v>
      </c>
      <c r="E320" t="s">
        <v>134</v>
      </c>
      <c r="F320" t="s">
        <v>56</v>
      </c>
      <c r="G320" t="s">
        <v>4923</v>
      </c>
      <c r="H320" t="s">
        <v>4924</v>
      </c>
      <c r="I320" t="s">
        <v>162</v>
      </c>
      <c r="J320" t="s">
        <v>4925</v>
      </c>
      <c r="K320" t="s">
        <v>330</v>
      </c>
      <c r="L320" t="s">
        <v>3170</v>
      </c>
      <c r="M320" t="s">
        <v>4926</v>
      </c>
      <c r="N320" t="s">
        <v>62</v>
      </c>
      <c r="O320" t="s">
        <v>777</v>
      </c>
      <c r="P320" t="s">
        <v>4927</v>
      </c>
      <c r="Q320" t="s">
        <v>4928</v>
      </c>
      <c r="R320" t="s">
        <v>258</v>
      </c>
      <c r="S320" t="s">
        <v>4929</v>
      </c>
      <c r="T320" t="s">
        <v>4930</v>
      </c>
      <c r="U320" t="s">
        <v>4931</v>
      </c>
      <c r="V320" t="s">
        <v>205</v>
      </c>
      <c r="W320" t="s">
        <v>71</v>
      </c>
      <c r="X320" t="s">
        <v>207</v>
      </c>
      <c r="Y320" t="s">
        <v>176</v>
      </c>
      <c r="Z320" t="s">
        <v>4932</v>
      </c>
      <c r="AA320" t="s">
        <v>19</v>
      </c>
      <c r="AB320" t="s">
        <v>108</v>
      </c>
      <c r="AC320">
        <v>5</v>
      </c>
      <c r="AD320" t="s">
        <v>314</v>
      </c>
      <c r="AE320" t="s">
        <v>406</v>
      </c>
      <c r="AF320">
        <v>40</v>
      </c>
      <c r="AG320" t="s">
        <v>211</v>
      </c>
      <c r="AJ320" t="s">
        <v>4447</v>
      </c>
      <c r="AK320" t="s">
        <v>240</v>
      </c>
      <c r="AL320" t="s">
        <v>4933</v>
      </c>
      <c r="AM320" t="s">
        <v>1973</v>
      </c>
      <c r="AN320" t="s">
        <v>150</v>
      </c>
      <c r="AO320">
        <v>57</v>
      </c>
      <c r="AP320">
        <v>2</v>
      </c>
      <c r="AQ320" t="s">
        <v>117</v>
      </c>
      <c r="AR320">
        <v>0</v>
      </c>
      <c r="AT320" t="s">
        <v>119</v>
      </c>
      <c r="AU320" t="s">
        <v>4934</v>
      </c>
      <c r="AV320" t="s">
        <v>4935</v>
      </c>
      <c r="AW320" t="s">
        <v>474</v>
      </c>
      <c r="AX320" t="s">
        <v>270</v>
      </c>
    </row>
    <row r="321" spans="1:50" x14ac:dyDescent="0.25">
      <c r="A321" t="s">
        <v>4936</v>
      </c>
      <c r="B321" t="s">
        <v>4937</v>
      </c>
      <c r="C321" t="s">
        <v>4938</v>
      </c>
      <c r="D321" t="s">
        <v>250</v>
      </c>
      <c r="E321" t="s">
        <v>4939</v>
      </c>
      <c r="F321" t="s">
        <v>4940</v>
      </c>
      <c r="G321" t="s">
        <v>4066</v>
      </c>
      <c r="H321" t="s">
        <v>3227</v>
      </c>
      <c r="I321">
        <v>0.1</v>
      </c>
      <c r="J321" t="s">
        <v>4941</v>
      </c>
      <c r="K321" t="s">
        <v>330</v>
      </c>
      <c r="L321" t="s">
        <v>2029</v>
      </c>
      <c r="M321" t="s">
        <v>4942</v>
      </c>
      <c r="N321" t="s">
        <v>417</v>
      </c>
      <c r="O321" t="s">
        <v>304</v>
      </c>
      <c r="P321" t="s">
        <v>2870</v>
      </c>
      <c r="Q321" t="s">
        <v>4943</v>
      </c>
      <c r="R321" t="s">
        <v>684</v>
      </c>
      <c r="S321" t="s">
        <v>4944</v>
      </c>
      <c r="T321" t="s">
        <v>4945</v>
      </c>
      <c r="U321" t="s">
        <v>4946</v>
      </c>
      <c r="V321" t="s">
        <v>290</v>
      </c>
      <c r="W321" t="s">
        <v>206</v>
      </c>
      <c r="X321" t="s">
        <v>207</v>
      </c>
      <c r="Y321" t="s">
        <v>106</v>
      </c>
      <c r="Z321" t="s">
        <v>4947</v>
      </c>
      <c r="AA321" t="s">
        <v>75</v>
      </c>
      <c r="AB321" t="s">
        <v>405</v>
      </c>
      <c r="AC321" t="s">
        <v>447</v>
      </c>
      <c r="AD321" t="s">
        <v>237</v>
      </c>
      <c r="AE321" t="s">
        <v>181</v>
      </c>
      <c r="AF321">
        <v>11</v>
      </c>
      <c r="AG321" t="s">
        <v>238</v>
      </c>
      <c r="AJ321" t="s">
        <v>2482</v>
      </c>
      <c r="AK321" t="s">
        <v>571</v>
      </c>
      <c r="AL321" t="s">
        <v>4948</v>
      </c>
      <c r="AM321" t="s">
        <v>4949</v>
      </c>
      <c r="AN321" t="s">
        <v>116</v>
      </c>
      <c r="AO321">
        <v>192</v>
      </c>
      <c r="AP321">
        <v>2</v>
      </c>
      <c r="AR321">
        <v>0</v>
      </c>
      <c r="AS321" t="s">
        <v>215</v>
      </c>
      <c r="AU321" t="s">
        <v>4950</v>
      </c>
      <c r="AV321" t="s">
        <v>4951</v>
      </c>
      <c r="AW321" t="s">
        <v>122</v>
      </c>
      <c r="AX321" t="s">
        <v>85</v>
      </c>
    </row>
    <row r="322" spans="1:50" x14ac:dyDescent="0.25">
      <c r="A322" t="s">
        <v>4952</v>
      </c>
      <c r="B322" t="s">
        <v>4953</v>
      </c>
      <c r="C322" t="s">
        <v>4954</v>
      </c>
      <c r="D322" t="s">
        <v>4955</v>
      </c>
      <c r="F322" t="s">
        <v>327</v>
      </c>
      <c r="G322" t="s">
        <v>498</v>
      </c>
      <c r="H322">
        <v>1260.75</v>
      </c>
      <c r="I322" t="s">
        <v>162</v>
      </c>
      <c r="J322">
        <v>22693.5</v>
      </c>
      <c r="K322" t="s">
        <v>92</v>
      </c>
      <c r="L322" t="s">
        <v>1999</v>
      </c>
      <c r="M322" t="s">
        <v>91</v>
      </c>
      <c r="N322" t="s">
        <v>135</v>
      </c>
      <c r="O322" t="s">
        <v>777</v>
      </c>
      <c r="P322" t="s">
        <v>4956</v>
      </c>
      <c r="Q322" t="s">
        <v>4957</v>
      </c>
      <c r="R322" t="s">
        <v>1359</v>
      </c>
      <c r="S322" t="s">
        <v>4958</v>
      </c>
      <c r="T322" t="s">
        <v>4959</v>
      </c>
      <c r="U322" t="s">
        <v>4960</v>
      </c>
      <c r="V322" t="s">
        <v>290</v>
      </c>
      <c r="W322" t="s">
        <v>726</v>
      </c>
      <c r="X322" t="s">
        <v>105</v>
      </c>
      <c r="Y322" t="s">
        <v>118</v>
      </c>
      <c r="Z322" t="s">
        <v>4961</v>
      </c>
      <c r="AA322" t="s">
        <v>75</v>
      </c>
      <c r="AB322" t="s">
        <v>263</v>
      </c>
      <c r="AC322">
        <v>8</v>
      </c>
      <c r="AD322" t="s">
        <v>210</v>
      </c>
      <c r="AE322" t="s">
        <v>181</v>
      </c>
      <c r="AF322">
        <v>7</v>
      </c>
      <c r="AG322" t="s">
        <v>211</v>
      </c>
      <c r="AJ322" t="s">
        <v>4962</v>
      </c>
      <c r="AK322" t="s">
        <v>183</v>
      </c>
      <c r="AL322" t="s">
        <v>4963</v>
      </c>
      <c r="AM322" t="s">
        <v>4964</v>
      </c>
      <c r="AN322" t="s">
        <v>186</v>
      </c>
      <c r="AO322">
        <v>71</v>
      </c>
      <c r="AP322">
        <v>4</v>
      </c>
      <c r="AQ322" t="s">
        <v>610</v>
      </c>
      <c r="AR322" t="s">
        <v>319</v>
      </c>
      <c r="AS322" t="s">
        <v>83</v>
      </c>
      <c r="AT322" t="s">
        <v>361</v>
      </c>
      <c r="AU322" t="s">
        <v>4965</v>
      </c>
      <c r="AV322" t="s">
        <v>2010</v>
      </c>
      <c r="AW322" t="s">
        <v>1593</v>
      </c>
      <c r="AX322" t="s">
        <v>85</v>
      </c>
    </row>
    <row r="323" spans="1:50" x14ac:dyDescent="0.25">
      <c r="A323" t="s">
        <v>4966</v>
      </c>
      <c r="B323" t="s">
        <v>4967</v>
      </c>
      <c r="C323" t="s">
        <v>4968</v>
      </c>
      <c r="D323" t="s">
        <v>250</v>
      </c>
      <c r="E323" t="s">
        <v>4969</v>
      </c>
      <c r="F323" t="s">
        <v>134</v>
      </c>
      <c r="G323" t="s">
        <v>579</v>
      </c>
      <c r="H323" t="s">
        <v>3227</v>
      </c>
      <c r="I323">
        <v>0.1</v>
      </c>
      <c r="J323">
        <v>1094.3699999999999</v>
      </c>
      <c r="K323" t="s">
        <v>59</v>
      </c>
      <c r="L323" t="s">
        <v>1811</v>
      </c>
      <c r="M323" t="s">
        <v>4970</v>
      </c>
      <c r="N323" t="s">
        <v>417</v>
      </c>
      <c r="O323" t="s">
        <v>502</v>
      </c>
      <c r="P323" t="s">
        <v>1211</v>
      </c>
      <c r="Q323" t="s">
        <v>4971</v>
      </c>
      <c r="R323" t="s">
        <v>935</v>
      </c>
      <c r="S323" t="s">
        <v>4972</v>
      </c>
      <c r="T323" t="s">
        <v>4973</v>
      </c>
      <c r="U323" t="s">
        <v>4974</v>
      </c>
      <c r="V323" t="s">
        <v>103</v>
      </c>
      <c r="W323" t="s">
        <v>174</v>
      </c>
      <c r="X323" t="s">
        <v>72</v>
      </c>
      <c r="Y323" t="s">
        <v>118</v>
      </c>
      <c r="Z323" t="s">
        <v>4975</v>
      </c>
      <c r="AA323" t="s">
        <v>19</v>
      </c>
      <c r="AB323" t="s">
        <v>108</v>
      </c>
      <c r="AC323" t="s">
        <v>180</v>
      </c>
      <c r="AD323" t="s">
        <v>237</v>
      </c>
      <c r="AE323" t="s">
        <v>181</v>
      </c>
      <c r="AF323">
        <v>9</v>
      </c>
      <c r="AG323">
        <v>0.08</v>
      </c>
      <c r="AJ323" t="s">
        <v>2231</v>
      </c>
      <c r="AK323" t="s">
        <v>183</v>
      </c>
      <c r="AL323" t="s">
        <v>4976</v>
      </c>
      <c r="AM323">
        <v>22.84</v>
      </c>
      <c r="AN323" t="s">
        <v>82</v>
      </c>
      <c r="AO323">
        <v>237</v>
      </c>
      <c r="AQ323" t="s">
        <v>786</v>
      </c>
      <c r="AR323" t="s">
        <v>188</v>
      </c>
      <c r="AS323" t="s">
        <v>429</v>
      </c>
      <c r="AT323" t="s">
        <v>119</v>
      </c>
      <c r="AU323" t="s">
        <v>4977</v>
      </c>
      <c r="AV323" t="s">
        <v>4978</v>
      </c>
      <c r="AW323" t="s">
        <v>1220</v>
      </c>
      <c r="AX323" t="s">
        <v>246</v>
      </c>
    </row>
    <row r="324" spans="1:50" x14ac:dyDescent="0.25">
      <c r="A324" t="s">
        <v>4979</v>
      </c>
      <c r="B324" t="s">
        <v>4980</v>
      </c>
      <c r="C324" t="s">
        <v>4981</v>
      </c>
      <c r="D324" t="s">
        <v>4982</v>
      </c>
      <c r="E324" t="s">
        <v>3845</v>
      </c>
      <c r="F324" t="s">
        <v>134</v>
      </c>
      <c r="G324" t="s">
        <v>4278</v>
      </c>
      <c r="H324" t="s">
        <v>4983</v>
      </c>
      <c r="I324">
        <v>0</v>
      </c>
      <c r="J324" t="s">
        <v>4984</v>
      </c>
      <c r="K324" t="s">
        <v>132</v>
      </c>
      <c r="L324" t="s">
        <v>416</v>
      </c>
      <c r="M324" t="s">
        <v>91</v>
      </c>
      <c r="N324" t="s">
        <v>135</v>
      </c>
      <c r="O324" t="s">
        <v>283</v>
      </c>
      <c r="P324" t="s">
        <v>2001</v>
      </c>
      <c r="Q324" t="s">
        <v>4985</v>
      </c>
      <c r="R324" t="s">
        <v>994</v>
      </c>
      <c r="S324" t="s">
        <v>4986</v>
      </c>
      <c r="T324" t="s">
        <v>4987</v>
      </c>
      <c r="U324" t="s">
        <v>4988</v>
      </c>
      <c r="V324" t="s">
        <v>70</v>
      </c>
      <c r="W324" t="s">
        <v>71</v>
      </c>
      <c r="X324" t="s">
        <v>207</v>
      </c>
      <c r="Y324" t="s">
        <v>176</v>
      </c>
      <c r="Z324" t="s">
        <v>4989</v>
      </c>
      <c r="AA324" t="s">
        <v>75</v>
      </c>
      <c r="AB324" t="s">
        <v>108</v>
      </c>
      <c r="AC324" t="s">
        <v>264</v>
      </c>
      <c r="AD324">
        <v>2026</v>
      </c>
      <c r="AE324" t="s">
        <v>110</v>
      </c>
      <c r="AF324">
        <v>31</v>
      </c>
      <c r="AG324" t="s">
        <v>238</v>
      </c>
      <c r="AJ324" t="s">
        <v>4990</v>
      </c>
      <c r="AK324" t="s">
        <v>183</v>
      </c>
      <c r="AL324" t="s">
        <v>4991</v>
      </c>
      <c r="AM324" t="s">
        <v>4992</v>
      </c>
      <c r="AN324" t="s">
        <v>116</v>
      </c>
      <c r="AO324">
        <v>148</v>
      </c>
      <c r="AP324">
        <v>1</v>
      </c>
      <c r="AQ324" t="s">
        <v>151</v>
      </c>
      <c r="AR324" t="s">
        <v>319</v>
      </c>
      <c r="AU324" t="s">
        <v>163</v>
      </c>
      <c r="AV324" t="s">
        <v>4993</v>
      </c>
      <c r="AX324" t="s">
        <v>191</v>
      </c>
    </row>
    <row r="325" spans="1:50" x14ac:dyDescent="0.25">
      <c r="A325" t="s">
        <v>4994</v>
      </c>
      <c r="B325" t="s">
        <v>4995</v>
      </c>
      <c r="C325" t="s">
        <v>4996</v>
      </c>
      <c r="D325" t="s">
        <v>1663</v>
      </c>
      <c r="E325" t="s">
        <v>3121</v>
      </c>
      <c r="F325" t="s">
        <v>222</v>
      </c>
      <c r="G325" t="s">
        <v>4338</v>
      </c>
      <c r="H325" t="s">
        <v>2792</v>
      </c>
      <c r="J325" t="s">
        <v>4997</v>
      </c>
      <c r="K325" t="s">
        <v>132</v>
      </c>
      <c r="L325" t="s">
        <v>2741</v>
      </c>
      <c r="M325" t="s">
        <v>513</v>
      </c>
      <c r="N325" t="s">
        <v>135</v>
      </c>
      <c r="O325" t="s">
        <v>1122</v>
      </c>
      <c r="P325" t="s">
        <v>4998</v>
      </c>
      <c r="Q325" t="s">
        <v>4999</v>
      </c>
      <c r="R325" t="s">
        <v>994</v>
      </c>
      <c r="S325" t="s">
        <v>5000</v>
      </c>
      <c r="T325" t="s">
        <v>5001</v>
      </c>
      <c r="U325" t="s">
        <v>5002</v>
      </c>
      <c r="V325" t="s">
        <v>173</v>
      </c>
      <c r="W325" t="s">
        <v>174</v>
      </c>
      <c r="X325" t="s">
        <v>175</v>
      </c>
      <c r="Y325" t="s">
        <v>234</v>
      </c>
      <c r="Z325" t="s">
        <v>5003</v>
      </c>
      <c r="AA325" t="s">
        <v>144</v>
      </c>
      <c r="AB325" t="s">
        <v>405</v>
      </c>
      <c r="AC325" t="s">
        <v>569</v>
      </c>
      <c r="AD325" t="s">
        <v>146</v>
      </c>
      <c r="AE325" t="s">
        <v>110</v>
      </c>
      <c r="AF325">
        <v>80</v>
      </c>
      <c r="AG325">
        <v>0.08</v>
      </c>
      <c r="AJ325" t="s">
        <v>5004</v>
      </c>
      <c r="AK325" t="s">
        <v>571</v>
      </c>
      <c r="AL325" t="s">
        <v>5005</v>
      </c>
      <c r="AM325" t="s">
        <v>5006</v>
      </c>
      <c r="AN325" t="s">
        <v>150</v>
      </c>
      <c r="AO325">
        <v>393</v>
      </c>
      <c r="AP325">
        <v>4</v>
      </c>
      <c r="AQ325" t="s">
        <v>610</v>
      </c>
      <c r="AR325">
        <v>1</v>
      </c>
      <c r="AT325" t="s">
        <v>152</v>
      </c>
      <c r="AU325" t="s">
        <v>163</v>
      </c>
      <c r="AV325" t="s">
        <v>5007</v>
      </c>
      <c r="AW325" t="s">
        <v>1838</v>
      </c>
    </row>
    <row r="326" spans="1:50" x14ac:dyDescent="0.25">
      <c r="A326" t="s">
        <v>5008</v>
      </c>
      <c r="B326" t="s">
        <v>5009</v>
      </c>
      <c r="C326" t="s">
        <v>3783</v>
      </c>
      <c r="D326" t="s">
        <v>2184</v>
      </c>
      <c r="E326" t="s">
        <v>91</v>
      </c>
      <c r="F326" t="s">
        <v>1861</v>
      </c>
      <c r="G326" t="s">
        <v>300</v>
      </c>
      <c r="H326">
        <v>39.53</v>
      </c>
      <c r="I326">
        <v>0</v>
      </c>
      <c r="J326" t="s">
        <v>5010</v>
      </c>
      <c r="K326" t="s">
        <v>330</v>
      </c>
      <c r="L326" t="s">
        <v>2407</v>
      </c>
      <c r="M326" t="s">
        <v>142</v>
      </c>
      <c r="N326" t="s">
        <v>417</v>
      </c>
      <c r="O326" t="s">
        <v>954</v>
      </c>
      <c r="P326" t="s">
        <v>700</v>
      </c>
      <c r="Q326" t="s">
        <v>5011</v>
      </c>
      <c r="R326" t="s">
        <v>286</v>
      </c>
      <c r="S326" t="s">
        <v>5012</v>
      </c>
      <c r="T326" t="s">
        <v>5013</v>
      </c>
      <c r="U326" t="s">
        <v>5014</v>
      </c>
      <c r="V326" t="s">
        <v>205</v>
      </c>
      <c r="W326" t="s">
        <v>104</v>
      </c>
      <c r="X326" t="s">
        <v>105</v>
      </c>
      <c r="Y326" t="s">
        <v>106</v>
      </c>
      <c r="Z326" t="s">
        <v>5015</v>
      </c>
      <c r="AA326" t="s">
        <v>75</v>
      </c>
      <c r="AB326" t="s">
        <v>528</v>
      </c>
      <c r="AC326">
        <v>5</v>
      </c>
      <c r="AD326">
        <v>2026</v>
      </c>
      <c r="AE326" t="s">
        <v>406</v>
      </c>
      <c r="AF326">
        <v>78</v>
      </c>
      <c r="AG326">
        <v>0.08</v>
      </c>
      <c r="AJ326">
        <v>37.700000000000003</v>
      </c>
      <c r="AK326" t="s">
        <v>571</v>
      </c>
      <c r="AL326" t="s">
        <v>5016</v>
      </c>
      <c r="AM326" t="s">
        <v>5017</v>
      </c>
      <c r="AN326" t="s">
        <v>267</v>
      </c>
      <c r="AO326">
        <v>49</v>
      </c>
      <c r="AP326">
        <v>3</v>
      </c>
      <c r="AQ326" t="s">
        <v>242</v>
      </c>
      <c r="AR326" t="s">
        <v>188</v>
      </c>
      <c r="AS326" t="s">
        <v>83</v>
      </c>
      <c r="AT326">
        <v>0.3</v>
      </c>
      <c r="AV326" t="s">
        <v>2958</v>
      </c>
      <c r="AW326" t="s">
        <v>2279</v>
      </c>
      <c r="AX326" t="s">
        <v>191</v>
      </c>
    </row>
    <row r="327" spans="1:50" x14ac:dyDescent="0.25">
      <c r="A327" t="s">
        <v>5018</v>
      </c>
      <c r="B327" t="s">
        <v>5019</v>
      </c>
      <c r="C327" t="s">
        <v>5020</v>
      </c>
      <c r="D327" t="s">
        <v>5021</v>
      </c>
      <c r="E327" t="s">
        <v>5022</v>
      </c>
      <c r="F327" t="s">
        <v>91</v>
      </c>
      <c r="G327" t="s">
        <v>2405</v>
      </c>
      <c r="H327" t="s">
        <v>5023</v>
      </c>
      <c r="I327">
        <v>0.1</v>
      </c>
      <c r="J327" t="s">
        <v>5024</v>
      </c>
      <c r="K327" t="s">
        <v>92</v>
      </c>
      <c r="L327" t="s">
        <v>281</v>
      </c>
      <c r="N327" t="s">
        <v>135</v>
      </c>
      <c r="O327" t="s">
        <v>226</v>
      </c>
      <c r="P327" t="s">
        <v>5025</v>
      </c>
      <c r="Q327" t="s">
        <v>5026</v>
      </c>
      <c r="R327" t="s">
        <v>420</v>
      </c>
      <c r="S327" t="s">
        <v>5027</v>
      </c>
      <c r="T327" t="s">
        <v>5028</v>
      </c>
      <c r="U327" t="s">
        <v>5029</v>
      </c>
      <c r="V327" t="s">
        <v>70</v>
      </c>
      <c r="W327" t="s">
        <v>71</v>
      </c>
      <c r="X327" t="s">
        <v>105</v>
      </c>
      <c r="Y327" t="s">
        <v>176</v>
      </c>
      <c r="Z327" t="s">
        <v>5030</v>
      </c>
      <c r="AA327" t="s">
        <v>236</v>
      </c>
      <c r="AB327" t="s">
        <v>108</v>
      </c>
      <c r="AC327" t="s">
        <v>728</v>
      </c>
      <c r="AD327">
        <v>2025</v>
      </c>
      <c r="AE327" t="s">
        <v>406</v>
      </c>
      <c r="AF327" t="s">
        <v>91</v>
      </c>
      <c r="AG327" t="s">
        <v>111</v>
      </c>
      <c r="AJ327" t="s">
        <v>5031</v>
      </c>
      <c r="AK327" t="s">
        <v>571</v>
      </c>
      <c r="AL327" t="s">
        <v>5032</v>
      </c>
      <c r="AM327" t="s">
        <v>5033</v>
      </c>
      <c r="AN327" t="s">
        <v>150</v>
      </c>
      <c r="AO327">
        <v>319</v>
      </c>
      <c r="AP327">
        <v>2</v>
      </c>
      <c r="AR327">
        <v>1</v>
      </c>
      <c r="AS327" t="s">
        <v>215</v>
      </c>
      <c r="AT327">
        <v>0.3</v>
      </c>
      <c r="AU327" t="s">
        <v>5034</v>
      </c>
      <c r="AV327" t="s">
        <v>5035</v>
      </c>
      <c r="AW327" t="s">
        <v>533</v>
      </c>
      <c r="AX327" t="s">
        <v>270</v>
      </c>
    </row>
    <row r="328" spans="1:50" x14ac:dyDescent="0.25">
      <c r="A328" t="s">
        <v>5036</v>
      </c>
      <c r="B328" t="s">
        <v>5037</v>
      </c>
      <c r="C328" t="s">
        <v>5038</v>
      </c>
      <c r="D328" t="s">
        <v>1996</v>
      </c>
      <c r="E328" t="s">
        <v>5039</v>
      </c>
      <c r="G328">
        <v>12</v>
      </c>
      <c r="H328" t="s">
        <v>5040</v>
      </c>
      <c r="I328" t="s">
        <v>162</v>
      </c>
      <c r="J328" t="s">
        <v>5041</v>
      </c>
      <c r="K328" t="s">
        <v>59</v>
      </c>
      <c r="L328" t="s">
        <v>1175</v>
      </c>
      <c r="M328" t="s">
        <v>2261</v>
      </c>
      <c r="N328" t="s">
        <v>417</v>
      </c>
      <c r="O328" t="s">
        <v>226</v>
      </c>
      <c r="P328" t="s">
        <v>4732</v>
      </c>
      <c r="Q328" t="s">
        <v>5042</v>
      </c>
      <c r="R328" t="s">
        <v>66</v>
      </c>
      <c r="S328" t="s">
        <v>5043</v>
      </c>
      <c r="T328" t="s">
        <v>5044</v>
      </c>
      <c r="U328" t="s">
        <v>5045</v>
      </c>
      <c r="V328" t="s">
        <v>205</v>
      </c>
      <c r="W328" t="s">
        <v>206</v>
      </c>
      <c r="X328" t="s">
        <v>424</v>
      </c>
      <c r="Y328" t="s">
        <v>234</v>
      </c>
      <c r="Z328" t="s">
        <v>5046</v>
      </c>
      <c r="AA328" t="s">
        <v>75</v>
      </c>
      <c r="AB328" t="s">
        <v>405</v>
      </c>
      <c r="AC328" t="s">
        <v>569</v>
      </c>
      <c r="AD328" t="s">
        <v>314</v>
      </c>
      <c r="AE328" t="s">
        <v>77</v>
      </c>
      <c r="AF328">
        <v>58</v>
      </c>
      <c r="AG328" t="s">
        <v>211</v>
      </c>
      <c r="AJ328" t="s">
        <v>2783</v>
      </c>
      <c r="AK328" t="s">
        <v>240</v>
      </c>
      <c r="AL328" t="s">
        <v>5047</v>
      </c>
      <c r="AM328" t="s">
        <v>4949</v>
      </c>
      <c r="AN328" t="s">
        <v>267</v>
      </c>
      <c r="AO328">
        <v>468</v>
      </c>
      <c r="AP328">
        <v>5</v>
      </c>
      <c r="AQ328" t="s">
        <v>117</v>
      </c>
      <c r="AR328" t="s">
        <v>118</v>
      </c>
      <c r="AS328" t="s">
        <v>215</v>
      </c>
      <c r="AT328" t="s">
        <v>152</v>
      </c>
      <c r="AU328" t="s">
        <v>5048</v>
      </c>
      <c r="AV328" t="s">
        <v>4291</v>
      </c>
      <c r="AX328" t="s">
        <v>85</v>
      </c>
    </row>
    <row r="329" spans="1:50" x14ac:dyDescent="0.25">
      <c r="A329" t="s">
        <v>4118</v>
      </c>
      <c r="B329" t="s">
        <v>4119</v>
      </c>
      <c r="C329" t="s">
        <v>4120</v>
      </c>
      <c r="D329" t="s">
        <v>250</v>
      </c>
      <c r="E329" t="s">
        <v>163</v>
      </c>
      <c r="F329" t="s">
        <v>327</v>
      </c>
      <c r="G329" t="s">
        <v>4121</v>
      </c>
      <c r="H329" t="s">
        <v>134</v>
      </c>
      <c r="I329" t="s">
        <v>162</v>
      </c>
      <c r="J329" t="s">
        <v>4122</v>
      </c>
      <c r="K329" t="s">
        <v>280</v>
      </c>
      <c r="L329" t="s">
        <v>1046</v>
      </c>
      <c r="M329" t="s">
        <v>142</v>
      </c>
      <c r="N329" t="s">
        <v>95</v>
      </c>
      <c r="O329" t="s">
        <v>304</v>
      </c>
      <c r="P329" t="s">
        <v>4123</v>
      </c>
      <c r="Q329" t="s">
        <v>4124</v>
      </c>
      <c r="R329" t="s">
        <v>66</v>
      </c>
      <c r="S329" t="s">
        <v>4125</v>
      </c>
      <c r="T329" t="s">
        <v>4126</v>
      </c>
      <c r="U329" t="s">
        <v>4127</v>
      </c>
      <c r="V329" t="s">
        <v>173</v>
      </c>
      <c r="W329" t="s">
        <v>206</v>
      </c>
      <c r="X329" t="s">
        <v>105</v>
      </c>
      <c r="Y329" t="s">
        <v>106</v>
      </c>
      <c r="Z329" t="s">
        <v>4128</v>
      </c>
      <c r="AA329" t="s">
        <v>236</v>
      </c>
      <c r="AB329" t="s">
        <v>528</v>
      </c>
      <c r="AC329">
        <v>12</v>
      </c>
      <c r="AD329" t="s">
        <v>237</v>
      </c>
      <c r="AE329" t="s">
        <v>110</v>
      </c>
      <c r="AF329">
        <v>34</v>
      </c>
      <c r="AG329">
        <v>0.08</v>
      </c>
      <c r="AJ329" t="s">
        <v>163</v>
      </c>
      <c r="AK329" t="s">
        <v>79</v>
      </c>
      <c r="AL329" t="s">
        <v>4129</v>
      </c>
      <c r="AM329">
        <v>7.38</v>
      </c>
      <c r="AN329" t="s">
        <v>82</v>
      </c>
      <c r="AO329">
        <v>419</v>
      </c>
      <c r="AP329">
        <v>4.5</v>
      </c>
      <c r="AQ329" t="s">
        <v>786</v>
      </c>
      <c r="AR329" t="s">
        <v>188</v>
      </c>
      <c r="AT329" t="s">
        <v>152</v>
      </c>
      <c r="AU329" t="s">
        <v>134</v>
      </c>
      <c r="AV329" t="s">
        <v>4130</v>
      </c>
      <c r="AW329" t="s">
        <v>789</v>
      </c>
    </row>
    <row r="331" spans="1:50" x14ac:dyDescent="0.25">
      <c r="A331" t="s">
        <v>5049</v>
      </c>
      <c r="B331" t="s">
        <v>867</v>
      </c>
      <c r="C331" t="s">
        <v>5050</v>
      </c>
      <c r="D331" t="s">
        <v>3584</v>
      </c>
      <c r="E331" t="s">
        <v>5051</v>
      </c>
      <c r="F331" t="s">
        <v>163</v>
      </c>
      <c r="G331">
        <v>33</v>
      </c>
      <c r="H331">
        <v>893.58</v>
      </c>
      <c r="I331">
        <v>0.1</v>
      </c>
      <c r="J331" t="s">
        <v>5052</v>
      </c>
      <c r="K331" t="s">
        <v>59</v>
      </c>
      <c r="L331" t="s">
        <v>281</v>
      </c>
      <c r="M331" t="s">
        <v>91</v>
      </c>
      <c r="N331" t="s">
        <v>417</v>
      </c>
      <c r="O331" t="s">
        <v>461</v>
      </c>
      <c r="P331" t="s">
        <v>97</v>
      </c>
      <c r="Q331" t="s">
        <v>5053</v>
      </c>
      <c r="R331" t="s">
        <v>2253</v>
      </c>
      <c r="S331" t="s">
        <v>5054</v>
      </c>
      <c r="T331" t="s">
        <v>5055</v>
      </c>
      <c r="U331" t="s">
        <v>5056</v>
      </c>
      <c r="V331" t="s">
        <v>290</v>
      </c>
      <c r="W331" t="s">
        <v>71</v>
      </c>
      <c r="X331" t="s">
        <v>233</v>
      </c>
      <c r="Y331" t="s">
        <v>176</v>
      </c>
      <c r="Z331" t="s">
        <v>5057</v>
      </c>
      <c r="AA331" t="s">
        <v>19</v>
      </c>
      <c r="AB331" t="s">
        <v>76</v>
      </c>
      <c r="AC331" t="s">
        <v>357</v>
      </c>
      <c r="AD331" t="s">
        <v>314</v>
      </c>
      <c r="AE331" t="s">
        <v>406</v>
      </c>
      <c r="AF331">
        <v>65</v>
      </c>
      <c r="AG331" t="s">
        <v>238</v>
      </c>
      <c r="AJ331" t="s">
        <v>5058</v>
      </c>
      <c r="AK331" t="s">
        <v>79</v>
      </c>
      <c r="AL331" t="s">
        <v>5059</v>
      </c>
      <c r="AM331" t="s">
        <v>5060</v>
      </c>
      <c r="AN331" t="s">
        <v>150</v>
      </c>
      <c r="AO331">
        <v>269</v>
      </c>
      <c r="AP331">
        <v>3</v>
      </c>
      <c r="AR331">
        <v>1</v>
      </c>
      <c r="AT331" t="s">
        <v>361</v>
      </c>
      <c r="AU331" t="s">
        <v>5061</v>
      </c>
      <c r="AV331" t="s">
        <v>5062</v>
      </c>
      <c r="AW331" t="s">
        <v>1785</v>
      </c>
    </row>
    <row r="332" spans="1:50" x14ac:dyDescent="0.25">
      <c r="A332" t="s">
        <v>3501</v>
      </c>
      <c r="B332" t="s">
        <v>3502</v>
      </c>
      <c r="C332" t="s">
        <v>3503</v>
      </c>
      <c r="D332" t="s">
        <v>2471</v>
      </c>
      <c r="E332" t="s">
        <v>3504</v>
      </c>
      <c r="F332" t="s">
        <v>1598</v>
      </c>
      <c r="G332" t="s">
        <v>677</v>
      </c>
      <c r="H332" t="s">
        <v>2474</v>
      </c>
      <c r="I332">
        <v>0.1</v>
      </c>
      <c r="J332" t="s">
        <v>134</v>
      </c>
      <c r="K332" t="s">
        <v>92</v>
      </c>
      <c r="L332" t="s">
        <v>2304</v>
      </c>
      <c r="M332" t="s">
        <v>134</v>
      </c>
      <c r="N332" t="s">
        <v>166</v>
      </c>
      <c r="O332" t="s">
        <v>304</v>
      </c>
      <c r="P332" t="s">
        <v>137</v>
      </c>
      <c r="Q332" t="s">
        <v>3505</v>
      </c>
      <c r="R332" t="s">
        <v>1722</v>
      </c>
      <c r="S332" t="s">
        <v>3506</v>
      </c>
      <c r="T332" t="s">
        <v>3507</v>
      </c>
      <c r="U332" t="s">
        <v>3508</v>
      </c>
      <c r="V332" t="s">
        <v>70</v>
      </c>
      <c r="W332" t="s">
        <v>71</v>
      </c>
      <c r="X332" t="s">
        <v>72</v>
      </c>
      <c r="Y332" t="s">
        <v>176</v>
      </c>
      <c r="Z332" t="s">
        <v>3509</v>
      </c>
      <c r="AA332" t="s">
        <v>75</v>
      </c>
      <c r="AB332" t="s">
        <v>405</v>
      </c>
      <c r="AC332" t="s">
        <v>589</v>
      </c>
      <c r="AD332" t="s">
        <v>237</v>
      </c>
      <c r="AE332" t="s">
        <v>110</v>
      </c>
      <c r="AF332">
        <v>27</v>
      </c>
      <c r="AG332" t="s">
        <v>111</v>
      </c>
      <c r="AJ332" t="s">
        <v>3510</v>
      </c>
      <c r="AK332" t="s">
        <v>571</v>
      </c>
      <c r="AL332" t="s">
        <v>3511</v>
      </c>
      <c r="AM332" t="s">
        <v>3512</v>
      </c>
      <c r="AN332" t="s">
        <v>82</v>
      </c>
      <c r="AO332">
        <v>485</v>
      </c>
      <c r="AP332" t="s">
        <v>187</v>
      </c>
      <c r="AQ332" t="s">
        <v>318</v>
      </c>
      <c r="AR332" t="s">
        <v>118</v>
      </c>
      <c r="AS332" t="s">
        <v>215</v>
      </c>
      <c r="AT332">
        <v>0.3</v>
      </c>
      <c r="AU332" t="s">
        <v>163</v>
      </c>
      <c r="AV332" t="s">
        <v>3513</v>
      </c>
      <c r="AW332" t="s">
        <v>189</v>
      </c>
    </row>
    <row r="333" spans="1:50" x14ac:dyDescent="0.25">
      <c r="A333" t="s">
        <v>4292</v>
      </c>
      <c r="B333" t="s">
        <v>4293</v>
      </c>
      <c r="C333" t="s">
        <v>4294</v>
      </c>
      <c r="D333" t="s">
        <v>4295</v>
      </c>
      <c r="E333" t="s">
        <v>142</v>
      </c>
      <c r="F333" t="s">
        <v>142</v>
      </c>
      <c r="G333" t="s">
        <v>2073</v>
      </c>
      <c r="H333" t="s">
        <v>3122</v>
      </c>
      <c r="I333">
        <v>0.1</v>
      </c>
      <c r="J333" t="s">
        <v>4296</v>
      </c>
      <c r="K333" t="s">
        <v>92</v>
      </c>
      <c r="L333" t="s">
        <v>164</v>
      </c>
      <c r="M333" t="s">
        <v>91</v>
      </c>
      <c r="N333" t="s">
        <v>135</v>
      </c>
      <c r="O333" t="s">
        <v>136</v>
      </c>
      <c r="P333" t="s">
        <v>1481</v>
      </c>
      <c r="Q333" t="s">
        <v>4297</v>
      </c>
      <c r="R333" t="s">
        <v>564</v>
      </c>
      <c r="S333" t="s">
        <v>4298</v>
      </c>
      <c r="T333" t="s">
        <v>4299</v>
      </c>
      <c r="U333" t="s">
        <v>4300</v>
      </c>
      <c r="V333" t="s">
        <v>290</v>
      </c>
      <c r="W333" t="s">
        <v>104</v>
      </c>
      <c r="X333" t="s">
        <v>105</v>
      </c>
      <c r="Y333" t="s">
        <v>234</v>
      </c>
      <c r="Z333" t="s">
        <v>4301</v>
      </c>
      <c r="AA333" t="s">
        <v>144</v>
      </c>
      <c r="AB333" t="s">
        <v>528</v>
      </c>
      <c r="AC333" t="s">
        <v>1851</v>
      </c>
      <c r="AD333">
        <v>2025</v>
      </c>
      <c r="AE333" t="s">
        <v>110</v>
      </c>
      <c r="AF333">
        <v>41</v>
      </c>
      <c r="AG333" t="s">
        <v>111</v>
      </c>
      <c r="AJ333" t="s">
        <v>4302</v>
      </c>
      <c r="AK333" t="s">
        <v>113</v>
      </c>
      <c r="AL333" t="s">
        <v>4303</v>
      </c>
      <c r="AM333" t="s">
        <v>4304</v>
      </c>
      <c r="AN333" t="s">
        <v>116</v>
      </c>
      <c r="AO333">
        <v>390</v>
      </c>
      <c r="AP333">
        <v>1</v>
      </c>
      <c r="AQ333" t="s">
        <v>242</v>
      </c>
      <c r="AS333" t="s">
        <v>83</v>
      </c>
      <c r="AT333" t="s">
        <v>119</v>
      </c>
      <c r="AU333" t="s">
        <v>4305</v>
      </c>
      <c r="AV333" t="s">
        <v>4306</v>
      </c>
      <c r="AW333" t="s">
        <v>4307</v>
      </c>
      <c r="AX333" t="s">
        <v>191</v>
      </c>
    </row>
    <row r="334" spans="1:50" x14ac:dyDescent="0.25">
      <c r="A334" t="s">
        <v>5063</v>
      </c>
      <c r="B334" t="s">
        <v>5064</v>
      </c>
      <c r="C334" t="s">
        <v>867</v>
      </c>
      <c r="D334" t="s">
        <v>5065</v>
      </c>
      <c r="E334" t="s">
        <v>5066</v>
      </c>
      <c r="F334" t="s">
        <v>299</v>
      </c>
      <c r="G334" t="s">
        <v>181</v>
      </c>
      <c r="H334" t="s">
        <v>1719</v>
      </c>
      <c r="I334" t="s">
        <v>253</v>
      </c>
      <c r="J334" t="s">
        <v>5067</v>
      </c>
      <c r="K334" t="s">
        <v>330</v>
      </c>
      <c r="L334" t="s">
        <v>1290</v>
      </c>
      <c r="M334" t="s">
        <v>163</v>
      </c>
      <c r="N334" t="s">
        <v>135</v>
      </c>
      <c r="O334" t="s">
        <v>304</v>
      </c>
      <c r="P334" t="s">
        <v>5068</v>
      </c>
      <c r="Q334" t="s">
        <v>5069</v>
      </c>
      <c r="R334" t="s">
        <v>1722</v>
      </c>
      <c r="S334" t="s">
        <v>5070</v>
      </c>
      <c r="T334" t="s">
        <v>5071</v>
      </c>
      <c r="U334" t="s">
        <v>5072</v>
      </c>
      <c r="V334" t="s">
        <v>205</v>
      </c>
      <c r="W334" t="s">
        <v>206</v>
      </c>
      <c r="X334" t="s">
        <v>175</v>
      </c>
      <c r="Y334" t="s">
        <v>106</v>
      </c>
      <c r="Z334" t="s">
        <v>5073</v>
      </c>
      <c r="AA334" t="s">
        <v>75</v>
      </c>
      <c r="AB334" t="s">
        <v>405</v>
      </c>
      <c r="AC334" t="s">
        <v>651</v>
      </c>
      <c r="AD334" t="s">
        <v>314</v>
      </c>
      <c r="AE334" t="s">
        <v>406</v>
      </c>
      <c r="AF334">
        <v>80</v>
      </c>
      <c r="AG334" t="s">
        <v>238</v>
      </c>
      <c r="AJ334" t="s">
        <v>5074</v>
      </c>
      <c r="AK334" t="s">
        <v>183</v>
      </c>
      <c r="AL334" t="s">
        <v>5075</v>
      </c>
      <c r="AM334" t="s">
        <v>3020</v>
      </c>
      <c r="AN334" t="s">
        <v>267</v>
      </c>
      <c r="AO334">
        <v>93</v>
      </c>
      <c r="AP334">
        <v>4.5</v>
      </c>
      <c r="AR334" t="s">
        <v>319</v>
      </c>
      <c r="AS334" t="s">
        <v>429</v>
      </c>
      <c r="AT334" t="s">
        <v>152</v>
      </c>
      <c r="AU334" t="s">
        <v>5076</v>
      </c>
      <c r="AV334" t="s">
        <v>5077</v>
      </c>
      <c r="AX334" t="s">
        <v>85</v>
      </c>
    </row>
    <row r="335" spans="1:50" x14ac:dyDescent="0.25">
      <c r="A335" t="s">
        <v>5078</v>
      </c>
      <c r="B335" t="s">
        <v>5079</v>
      </c>
      <c r="C335" t="s">
        <v>5080</v>
      </c>
      <c r="D335" t="s">
        <v>1244</v>
      </c>
      <c r="E335" t="s">
        <v>1545</v>
      </c>
      <c r="F335" t="s">
        <v>1861</v>
      </c>
      <c r="G335">
        <v>33</v>
      </c>
      <c r="H335" t="s">
        <v>1547</v>
      </c>
      <c r="I335">
        <v>0</v>
      </c>
      <c r="J335" t="s">
        <v>5081</v>
      </c>
      <c r="K335" t="s">
        <v>330</v>
      </c>
      <c r="L335" t="s">
        <v>1931</v>
      </c>
      <c r="M335" t="s">
        <v>5082</v>
      </c>
      <c r="N335" t="s">
        <v>417</v>
      </c>
      <c r="O335" t="s">
        <v>283</v>
      </c>
      <c r="P335" t="s">
        <v>5083</v>
      </c>
      <c r="Q335" t="s">
        <v>5084</v>
      </c>
      <c r="R335" t="s">
        <v>665</v>
      </c>
      <c r="S335" t="s">
        <v>5085</v>
      </c>
      <c r="T335" t="s">
        <v>5086</v>
      </c>
      <c r="U335" t="s">
        <v>5087</v>
      </c>
      <c r="V335" t="s">
        <v>173</v>
      </c>
      <c r="W335" t="s">
        <v>206</v>
      </c>
      <c r="X335" t="s">
        <v>424</v>
      </c>
      <c r="Y335" t="s">
        <v>337</v>
      </c>
      <c r="Z335" t="s">
        <v>5088</v>
      </c>
      <c r="AA335" t="s">
        <v>236</v>
      </c>
      <c r="AB335" t="s">
        <v>108</v>
      </c>
      <c r="AC335">
        <v>7</v>
      </c>
      <c r="AD335">
        <v>2026</v>
      </c>
      <c r="AE335" t="s">
        <v>77</v>
      </c>
      <c r="AF335">
        <v>58</v>
      </c>
      <c r="AG335" t="s">
        <v>238</v>
      </c>
      <c r="AJ335" t="s">
        <v>5089</v>
      </c>
      <c r="AK335" t="s">
        <v>147</v>
      </c>
      <c r="AL335" t="s">
        <v>5090</v>
      </c>
      <c r="AM335">
        <v>14.51</v>
      </c>
      <c r="AN335" t="s">
        <v>267</v>
      </c>
      <c r="AO335">
        <v>262</v>
      </c>
      <c r="AP335">
        <v>1</v>
      </c>
      <c r="AQ335" t="s">
        <v>117</v>
      </c>
      <c r="AR335" t="s">
        <v>319</v>
      </c>
      <c r="AT335" t="s">
        <v>152</v>
      </c>
      <c r="AU335" t="s">
        <v>134</v>
      </c>
      <c r="AV335" t="s">
        <v>5091</v>
      </c>
      <c r="AW335" t="s">
        <v>122</v>
      </c>
      <c r="AX335" t="s">
        <v>246</v>
      </c>
    </row>
    <row r="336" spans="1:50" x14ac:dyDescent="0.25">
      <c r="A336" t="s">
        <v>5092</v>
      </c>
      <c r="B336" t="s">
        <v>5093</v>
      </c>
      <c r="C336" t="s">
        <v>5094</v>
      </c>
      <c r="D336" t="s">
        <v>1117</v>
      </c>
      <c r="E336" t="s">
        <v>1118</v>
      </c>
      <c r="F336" t="s">
        <v>299</v>
      </c>
      <c r="G336" t="s">
        <v>160</v>
      </c>
      <c r="H336">
        <v>227.08</v>
      </c>
      <c r="I336" t="s">
        <v>162</v>
      </c>
      <c r="J336" t="s">
        <v>142</v>
      </c>
      <c r="K336" t="s">
        <v>92</v>
      </c>
      <c r="L336" t="s">
        <v>2579</v>
      </c>
      <c r="M336" t="s">
        <v>134</v>
      </c>
      <c r="N336" t="s">
        <v>135</v>
      </c>
      <c r="O336" t="s">
        <v>63</v>
      </c>
      <c r="P336" t="s">
        <v>5095</v>
      </c>
      <c r="Q336" t="s">
        <v>5096</v>
      </c>
      <c r="R336" t="s">
        <v>1450</v>
      </c>
      <c r="S336" t="s">
        <v>5097</v>
      </c>
      <c r="T336" t="s">
        <v>5098</v>
      </c>
      <c r="U336" t="s">
        <v>5099</v>
      </c>
      <c r="V336" t="s">
        <v>103</v>
      </c>
      <c r="W336" t="s">
        <v>726</v>
      </c>
      <c r="X336" t="s">
        <v>233</v>
      </c>
      <c r="Y336" t="s">
        <v>337</v>
      </c>
      <c r="Z336" t="s">
        <v>5100</v>
      </c>
      <c r="AA336" t="s">
        <v>178</v>
      </c>
      <c r="AB336" t="s">
        <v>528</v>
      </c>
      <c r="AC336">
        <v>5</v>
      </c>
      <c r="AD336">
        <v>2025</v>
      </c>
      <c r="AE336" t="s">
        <v>406</v>
      </c>
      <c r="AF336">
        <v>76</v>
      </c>
      <c r="AG336">
        <v>0.08</v>
      </c>
      <c r="AJ336" t="s">
        <v>5101</v>
      </c>
      <c r="AK336" t="s">
        <v>79</v>
      </c>
      <c r="AL336" t="s">
        <v>5102</v>
      </c>
      <c r="AM336">
        <v>11</v>
      </c>
      <c r="AN336" t="s">
        <v>267</v>
      </c>
      <c r="AO336">
        <v>334</v>
      </c>
      <c r="AP336" t="s">
        <v>187</v>
      </c>
      <c r="AQ336" t="s">
        <v>117</v>
      </c>
      <c r="AR336" t="s">
        <v>188</v>
      </c>
      <c r="AT336" t="s">
        <v>361</v>
      </c>
      <c r="AU336" t="s">
        <v>5103</v>
      </c>
      <c r="AV336" t="s">
        <v>5104</v>
      </c>
      <c r="AW336" t="s">
        <v>122</v>
      </c>
      <c r="AX336" t="s">
        <v>85</v>
      </c>
    </row>
    <row r="337" spans="1:50" x14ac:dyDescent="0.25">
      <c r="A337" t="s">
        <v>1680</v>
      </c>
      <c r="B337" t="s">
        <v>1681</v>
      </c>
      <c r="C337" t="s">
        <v>1682</v>
      </c>
      <c r="D337" t="s">
        <v>1683</v>
      </c>
      <c r="E337" t="s">
        <v>134</v>
      </c>
      <c r="F337" t="s">
        <v>1684</v>
      </c>
      <c r="G337" t="s">
        <v>579</v>
      </c>
      <c r="H337" t="s">
        <v>1267</v>
      </c>
      <c r="I337">
        <v>0.1</v>
      </c>
      <c r="J337" t="s">
        <v>1685</v>
      </c>
      <c r="K337" t="s">
        <v>92</v>
      </c>
      <c r="L337" t="s">
        <v>1686</v>
      </c>
      <c r="M337" t="s">
        <v>1687</v>
      </c>
      <c r="N337" t="s">
        <v>62</v>
      </c>
      <c r="O337" t="s">
        <v>561</v>
      </c>
      <c r="P337" t="s">
        <v>778</v>
      </c>
      <c r="Q337" t="s">
        <v>1688</v>
      </c>
      <c r="R337" t="s">
        <v>484</v>
      </c>
      <c r="S337" t="s">
        <v>1689</v>
      </c>
      <c r="T337" t="s">
        <v>1690</v>
      </c>
      <c r="U337" t="s">
        <v>1691</v>
      </c>
      <c r="V337" t="s">
        <v>103</v>
      </c>
      <c r="W337" t="s">
        <v>206</v>
      </c>
      <c r="X337" t="s">
        <v>424</v>
      </c>
      <c r="Y337" t="s">
        <v>106</v>
      </c>
      <c r="Z337" t="s">
        <v>1692</v>
      </c>
      <c r="AA337" t="s">
        <v>144</v>
      </c>
      <c r="AB337" t="s">
        <v>179</v>
      </c>
      <c r="AC337">
        <v>6</v>
      </c>
      <c r="AD337" t="s">
        <v>146</v>
      </c>
      <c r="AE337" t="s">
        <v>181</v>
      </c>
      <c r="AF337">
        <v>87</v>
      </c>
      <c r="AG337" t="s">
        <v>211</v>
      </c>
      <c r="AJ337">
        <v>24.6</v>
      </c>
      <c r="AK337" t="s">
        <v>79</v>
      </c>
      <c r="AL337" t="s">
        <v>1693</v>
      </c>
      <c r="AM337" t="s">
        <v>1694</v>
      </c>
      <c r="AN337" t="s">
        <v>82</v>
      </c>
      <c r="AO337">
        <v>374</v>
      </c>
      <c r="AP337">
        <v>3</v>
      </c>
      <c r="AR337">
        <v>1</v>
      </c>
      <c r="AS337" t="s">
        <v>83</v>
      </c>
      <c r="AT337" t="s">
        <v>152</v>
      </c>
      <c r="AU337" t="s">
        <v>1695</v>
      </c>
      <c r="AV337" t="s">
        <v>1696</v>
      </c>
      <c r="AW337" t="s">
        <v>1697</v>
      </c>
      <c r="AX337" t="s">
        <v>246</v>
      </c>
    </row>
    <row r="338" spans="1:50" x14ac:dyDescent="0.25">
      <c r="A338" t="s">
        <v>5105</v>
      </c>
      <c r="B338" t="s">
        <v>5106</v>
      </c>
      <c r="C338" t="s">
        <v>4033</v>
      </c>
      <c r="D338" t="s">
        <v>5107</v>
      </c>
      <c r="E338" t="s">
        <v>5108</v>
      </c>
      <c r="F338" t="s">
        <v>5109</v>
      </c>
      <c r="G338" t="s">
        <v>2123</v>
      </c>
      <c r="H338" t="s">
        <v>142</v>
      </c>
      <c r="I338" t="s">
        <v>162</v>
      </c>
      <c r="J338" t="s">
        <v>5110</v>
      </c>
      <c r="K338" t="s">
        <v>59</v>
      </c>
      <c r="L338" t="s">
        <v>932</v>
      </c>
      <c r="M338" t="s">
        <v>163</v>
      </c>
      <c r="N338" t="s">
        <v>166</v>
      </c>
      <c r="O338" t="s">
        <v>461</v>
      </c>
      <c r="P338" t="s">
        <v>1567</v>
      </c>
      <c r="Q338" t="s">
        <v>5111</v>
      </c>
      <c r="R338" t="s">
        <v>702</v>
      </c>
      <c r="S338" t="s">
        <v>5112</v>
      </c>
      <c r="T338" t="s">
        <v>5113</v>
      </c>
      <c r="U338" t="s">
        <v>5114</v>
      </c>
      <c r="V338" t="s">
        <v>103</v>
      </c>
      <c r="W338" t="s">
        <v>71</v>
      </c>
      <c r="X338" t="s">
        <v>424</v>
      </c>
      <c r="Y338" t="s">
        <v>73</v>
      </c>
      <c r="Z338" t="s">
        <v>5115</v>
      </c>
      <c r="AA338" t="s">
        <v>178</v>
      </c>
      <c r="AB338" t="s">
        <v>528</v>
      </c>
      <c r="AC338" t="s">
        <v>209</v>
      </c>
      <c r="AD338" t="s">
        <v>210</v>
      </c>
      <c r="AE338" t="s">
        <v>181</v>
      </c>
      <c r="AF338">
        <v>80</v>
      </c>
      <c r="AG338">
        <v>0.08</v>
      </c>
      <c r="AJ338" t="s">
        <v>5116</v>
      </c>
      <c r="AK338" t="s">
        <v>183</v>
      </c>
      <c r="AL338" t="s">
        <v>5117</v>
      </c>
      <c r="AM338">
        <v>1.23</v>
      </c>
      <c r="AN338" t="s">
        <v>116</v>
      </c>
      <c r="AO338">
        <v>303</v>
      </c>
      <c r="AP338" t="s">
        <v>187</v>
      </c>
      <c r="AQ338" t="s">
        <v>318</v>
      </c>
      <c r="AR338" t="s">
        <v>243</v>
      </c>
      <c r="AS338" t="s">
        <v>429</v>
      </c>
      <c r="AT338" t="s">
        <v>119</v>
      </c>
      <c r="AU338">
        <v>340.4</v>
      </c>
      <c r="AV338" t="s">
        <v>5118</v>
      </c>
      <c r="AW338" t="s">
        <v>3692</v>
      </c>
    </row>
    <row r="339" spans="1:50" x14ac:dyDescent="0.25">
      <c r="A339" t="s">
        <v>5119</v>
      </c>
      <c r="B339" t="s">
        <v>5120</v>
      </c>
      <c r="C339" t="s">
        <v>2516</v>
      </c>
      <c r="D339" t="s">
        <v>2832</v>
      </c>
      <c r="E339" t="s">
        <v>369</v>
      </c>
      <c r="F339" t="s">
        <v>950</v>
      </c>
      <c r="G339" t="s">
        <v>1138</v>
      </c>
      <c r="H339" t="s">
        <v>3864</v>
      </c>
      <c r="I339" t="s">
        <v>253</v>
      </c>
      <c r="J339" t="s">
        <v>5121</v>
      </c>
      <c r="K339" t="s">
        <v>92</v>
      </c>
      <c r="L339" t="s">
        <v>2458</v>
      </c>
      <c r="M339" t="s">
        <v>5122</v>
      </c>
      <c r="N339" t="s">
        <v>135</v>
      </c>
      <c r="O339" t="s">
        <v>63</v>
      </c>
      <c r="P339" t="s">
        <v>2681</v>
      </c>
      <c r="Q339" t="s">
        <v>5123</v>
      </c>
      <c r="R339" t="s">
        <v>564</v>
      </c>
      <c r="S339" t="s">
        <v>5124</v>
      </c>
      <c r="T339" t="s">
        <v>5125</v>
      </c>
      <c r="U339" t="s">
        <v>5126</v>
      </c>
      <c r="V339" t="s">
        <v>103</v>
      </c>
      <c r="W339" t="s">
        <v>71</v>
      </c>
      <c r="X339" t="s">
        <v>72</v>
      </c>
      <c r="Y339" t="s">
        <v>73</v>
      </c>
      <c r="Z339" t="s">
        <v>5127</v>
      </c>
      <c r="AA339" t="s">
        <v>75</v>
      </c>
      <c r="AB339" t="s">
        <v>405</v>
      </c>
      <c r="AC339" t="s">
        <v>209</v>
      </c>
      <c r="AD339" t="s">
        <v>314</v>
      </c>
      <c r="AE339" t="s">
        <v>406</v>
      </c>
      <c r="AF339">
        <v>79</v>
      </c>
      <c r="AG339" t="s">
        <v>211</v>
      </c>
      <c r="AJ339" t="s">
        <v>5128</v>
      </c>
      <c r="AK339" t="s">
        <v>113</v>
      </c>
      <c r="AL339" t="s">
        <v>5129</v>
      </c>
      <c r="AM339">
        <v>7.27</v>
      </c>
      <c r="AN339" t="s">
        <v>267</v>
      </c>
      <c r="AO339">
        <v>109</v>
      </c>
      <c r="AP339">
        <v>5</v>
      </c>
      <c r="AQ339" t="s">
        <v>318</v>
      </c>
      <c r="AR339">
        <v>1</v>
      </c>
      <c r="AS339" t="s">
        <v>429</v>
      </c>
      <c r="AT339">
        <v>0.3</v>
      </c>
      <c r="AU339" t="s">
        <v>5130</v>
      </c>
      <c r="AV339" t="s">
        <v>5131</v>
      </c>
      <c r="AW339" t="s">
        <v>1593</v>
      </c>
      <c r="AX339" t="s">
        <v>270</v>
      </c>
    </row>
    <row r="340" spans="1:50" x14ac:dyDescent="0.25">
      <c r="A340" t="s">
        <v>5132</v>
      </c>
      <c r="B340" t="s">
        <v>5133</v>
      </c>
      <c r="C340" t="s">
        <v>5134</v>
      </c>
      <c r="D340" t="s">
        <v>3024</v>
      </c>
      <c r="E340" t="s">
        <v>5135</v>
      </c>
      <c r="F340" t="s">
        <v>4250</v>
      </c>
      <c r="G340" t="s">
        <v>1649</v>
      </c>
      <c r="H340" t="s">
        <v>5136</v>
      </c>
      <c r="I340" t="s">
        <v>253</v>
      </c>
      <c r="J340" t="s">
        <v>142</v>
      </c>
      <c r="K340" t="s">
        <v>59</v>
      </c>
      <c r="L340" t="s">
        <v>3700</v>
      </c>
      <c r="M340" t="s">
        <v>3729</v>
      </c>
      <c r="N340" t="s">
        <v>95</v>
      </c>
      <c r="O340" t="s">
        <v>375</v>
      </c>
      <c r="P340" t="s">
        <v>1481</v>
      </c>
      <c r="Q340" t="s">
        <v>5137</v>
      </c>
      <c r="R340" t="s">
        <v>464</v>
      </c>
      <c r="S340" t="s">
        <v>5138</v>
      </c>
      <c r="T340" t="s">
        <v>5139</v>
      </c>
      <c r="U340" t="s">
        <v>5140</v>
      </c>
      <c r="V340" t="s">
        <v>70</v>
      </c>
      <c r="W340" t="s">
        <v>104</v>
      </c>
      <c r="X340" t="s">
        <v>233</v>
      </c>
      <c r="Y340" t="s">
        <v>73</v>
      </c>
      <c r="Z340" t="s">
        <v>5141</v>
      </c>
      <c r="AA340" t="s">
        <v>144</v>
      </c>
      <c r="AB340" t="s">
        <v>108</v>
      </c>
      <c r="AC340" t="s">
        <v>766</v>
      </c>
      <c r="AD340" t="s">
        <v>146</v>
      </c>
      <c r="AE340" t="s">
        <v>77</v>
      </c>
      <c r="AF340" t="s">
        <v>163</v>
      </c>
      <c r="AG340">
        <v>0.08</v>
      </c>
      <c r="AJ340">
        <v>17.89</v>
      </c>
      <c r="AK340" t="s">
        <v>183</v>
      </c>
      <c r="AL340" t="s">
        <v>5142</v>
      </c>
      <c r="AM340" t="s">
        <v>5143</v>
      </c>
      <c r="AN340" t="s">
        <v>267</v>
      </c>
      <c r="AO340">
        <v>60</v>
      </c>
      <c r="AP340">
        <v>3</v>
      </c>
      <c r="AQ340" t="s">
        <v>786</v>
      </c>
      <c r="AR340">
        <v>1</v>
      </c>
      <c r="AS340" t="s">
        <v>215</v>
      </c>
      <c r="AT340" t="s">
        <v>152</v>
      </c>
      <c r="AU340" t="s">
        <v>163</v>
      </c>
      <c r="AV340" t="s">
        <v>2450</v>
      </c>
      <c r="AX340" t="s">
        <v>85</v>
      </c>
    </row>
    <row r="341" spans="1:50" x14ac:dyDescent="0.25">
      <c r="A341" t="s">
        <v>5144</v>
      </c>
      <c r="B341" t="s">
        <v>1681</v>
      </c>
      <c r="C341" t="s">
        <v>5145</v>
      </c>
      <c r="D341" t="s">
        <v>3090</v>
      </c>
      <c r="E341" t="s">
        <v>5146</v>
      </c>
      <c r="F341" t="s">
        <v>222</v>
      </c>
      <c r="G341" t="s">
        <v>5147</v>
      </c>
      <c r="H341" t="s">
        <v>5148</v>
      </c>
      <c r="I341">
        <v>0.1</v>
      </c>
      <c r="J341" t="s">
        <v>5149</v>
      </c>
      <c r="K341" t="s">
        <v>280</v>
      </c>
      <c r="L341" t="s">
        <v>225</v>
      </c>
      <c r="M341" t="s">
        <v>142</v>
      </c>
      <c r="N341" t="s">
        <v>396</v>
      </c>
      <c r="O341" t="s">
        <v>136</v>
      </c>
      <c r="P341" t="s">
        <v>5150</v>
      </c>
      <c r="Q341" t="s">
        <v>5151</v>
      </c>
      <c r="R341" t="s">
        <v>400</v>
      </c>
      <c r="S341" t="s">
        <v>5152</v>
      </c>
      <c r="T341" t="s">
        <v>5153</v>
      </c>
      <c r="U341" t="s">
        <v>5154</v>
      </c>
      <c r="V341" t="s">
        <v>70</v>
      </c>
      <c r="W341" t="s">
        <v>206</v>
      </c>
      <c r="X341" t="s">
        <v>233</v>
      </c>
      <c r="Y341" t="s">
        <v>337</v>
      </c>
      <c r="Z341" t="s">
        <v>5155</v>
      </c>
      <c r="AA341" t="s">
        <v>178</v>
      </c>
      <c r="AB341" t="s">
        <v>108</v>
      </c>
      <c r="AC341" t="s">
        <v>264</v>
      </c>
      <c r="AD341" t="s">
        <v>210</v>
      </c>
      <c r="AE341" t="s">
        <v>77</v>
      </c>
      <c r="AF341">
        <v>79</v>
      </c>
      <c r="AG341">
        <v>0.08</v>
      </c>
      <c r="AJ341" t="s">
        <v>5156</v>
      </c>
      <c r="AK341" t="s">
        <v>113</v>
      </c>
      <c r="AL341" t="s">
        <v>5157</v>
      </c>
      <c r="AM341">
        <v>2.92</v>
      </c>
      <c r="AN341" t="s">
        <v>150</v>
      </c>
      <c r="AO341">
        <v>153</v>
      </c>
      <c r="AP341">
        <v>1</v>
      </c>
      <c r="AQ341" t="s">
        <v>151</v>
      </c>
      <c r="AS341" t="s">
        <v>429</v>
      </c>
      <c r="AT341" t="s">
        <v>361</v>
      </c>
      <c r="AU341" t="s">
        <v>5158</v>
      </c>
      <c r="AV341" t="s">
        <v>5159</v>
      </c>
      <c r="AW341" t="s">
        <v>5159</v>
      </c>
    </row>
    <row r="342" spans="1:50" x14ac:dyDescent="0.25">
      <c r="A342" t="s">
        <v>5160</v>
      </c>
      <c r="B342" t="s">
        <v>5161</v>
      </c>
      <c r="C342" t="s">
        <v>5162</v>
      </c>
      <c r="D342" t="s">
        <v>3209</v>
      </c>
      <c r="E342" t="s">
        <v>3210</v>
      </c>
      <c r="F342" t="s">
        <v>276</v>
      </c>
      <c r="G342">
        <v>12</v>
      </c>
      <c r="H342" t="s">
        <v>5163</v>
      </c>
      <c r="I342" t="s">
        <v>58</v>
      </c>
      <c r="J342" t="s">
        <v>5164</v>
      </c>
      <c r="K342" t="s">
        <v>280</v>
      </c>
      <c r="L342" t="s">
        <v>1046</v>
      </c>
      <c r="M342" t="s">
        <v>4942</v>
      </c>
      <c r="N342" t="s">
        <v>396</v>
      </c>
      <c r="O342" t="s">
        <v>561</v>
      </c>
      <c r="P342" t="s">
        <v>1196</v>
      </c>
      <c r="Q342" t="s">
        <v>5165</v>
      </c>
      <c r="R342" t="s">
        <v>1232</v>
      </c>
      <c r="S342" t="s">
        <v>5166</v>
      </c>
      <c r="T342" t="s">
        <v>5167</v>
      </c>
      <c r="U342" t="s">
        <v>5168</v>
      </c>
      <c r="V342" t="s">
        <v>290</v>
      </c>
      <c r="W342" t="s">
        <v>311</v>
      </c>
      <c r="X342" t="s">
        <v>175</v>
      </c>
      <c r="Y342" t="s">
        <v>73</v>
      </c>
      <c r="Z342" t="s">
        <v>5169</v>
      </c>
      <c r="AA342" t="s">
        <v>236</v>
      </c>
      <c r="AB342" t="s">
        <v>76</v>
      </c>
      <c r="AC342" t="s">
        <v>589</v>
      </c>
      <c r="AD342" t="s">
        <v>314</v>
      </c>
      <c r="AE342" t="s">
        <v>110</v>
      </c>
      <c r="AF342">
        <v>9</v>
      </c>
      <c r="AG342" t="s">
        <v>211</v>
      </c>
      <c r="AJ342">
        <v>42.64</v>
      </c>
      <c r="AK342" t="s">
        <v>79</v>
      </c>
      <c r="AL342" t="s">
        <v>5170</v>
      </c>
      <c r="AM342" t="s">
        <v>5171</v>
      </c>
      <c r="AN342" t="s">
        <v>150</v>
      </c>
      <c r="AO342">
        <v>117</v>
      </c>
      <c r="AP342">
        <v>4</v>
      </c>
      <c r="AQ342" t="s">
        <v>117</v>
      </c>
      <c r="AR342" t="s">
        <v>243</v>
      </c>
      <c r="AT342" t="s">
        <v>361</v>
      </c>
      <c r="AU342">
        <v>90.58</v>
      </c>
      <c r="AV342" t="s">
        <v>5172</v>
      </c>
      <c r="AW342" t="s">
        <v>5173</v>
      </c>
      <c r="AX342" t="s">
        <v>85</v>
      </c>
    </row>
    <row r="343" spans="1:50" x14ac:dyDescent="0.25">
      <c r="A343" t="s">
        <v>1241</v>
      </c>
      <c r="B343" t="s">
        <v>1242</v>
      </c>
      <c r="C343" t="s">
        <v>1243</v>
      </c>
      <c r="D343" t="s">
        <v>1244</v>
      </c>
      <c r="E343" t="s">
        <v>1245</v>
      </c>
      <c r="F343" t="s">
        <v>1043</v>
      </c>
      <c r="G343" t="s">
        <v>1246</v>
      </c>
      <c r="H343" t="s">
        <v>1247</v>
      </c>
      <c r="I343">
        <v>0.1</v>
      </c>
      <c r="J343" t="s">
        <v>1248</v>
      </c>
      <c r="K343" t="s">
        <v>59</v>
      </c>
      <c r="L343" t="s">
        <v>254</v>
      </c>
      <c r="M343" t="s">
        <v>163</v>
      </c>
      <c r="N343" t="s">
        <v>396</v>
      </c>
      <c r="O343" t="s">
        <v>198</v>
      </c>
      <c r="P343" t="s">
        <v>1249</v>
      </c>
      <c r="Q343" t="s">
        <v>1250</v>
      </c>
      <c r="R343" t="s">
        <v>1251</v>
      </c>
      <c r="S343" t="s">
        <v>1252</v>
      </c>
      <c r="T343" t="s">
        <v>1253</v>
      </c>
      <c r="U343" t="s">
        <v>1254</v>
      </c>
      <c r="V343" t="s">
        <v>103</v>
      </c>
      <c r="W343" t="s">
        <v>71</v>
      </c>
      <c r="X343" t="s">
        <v>72</v>
      </c>
      <c r="Y343" t="s">
        <v>234</v>
      </c>
      <c r="Z343" t="s">
        <v>1255</v>
      </c>
      <c r="AA343" t="s">
        <v>75</v>
      </c>
      <c r="AB343" t="s">
        <v>405</v>
      </c>
      <c r="AC343" t="s">
        <v>357</v>
      </c>
      <c r="AD343" t="s">
        <v>237</v>
      </c>
      <c r="AE343" t="s">
        <v>406</v>
      </c>
      <c r="AF343">
        <v>60</v>
      </c>
      <c r="AG343" t="s">
        <v>111</v>
      </c>
      <c r="AJ343" t="s">
        <v>1256</v>
      </c>
      <c r="AK343" t="s">
        <v>183</v>
      </c>
      <c r="AL343" t="s">
        <v>1257</v>
      </c>
      <c r="AM343" t="s">
        <v>1258</v>
      </c>
      <c r="AN343" t="s">
        <v>186</v>
      </c>
      <c r="AO343">
        <v>443</v>
      </c>
      <c r="AP343">
        <v>1</v>
      </c>
      <c r="AQ343" t="s">
        <v>242</v>
      </c>
      <c r="AR343" t="s">
        <v>188</v>
      </c>
      <c r="AT343" t="s">
        <v>119</v>
      </c>
      <c r="AV343" t="s">
        <v>1259</v>
      </c>
      <c r="AW343" t="s">
        <v>733</v>
      </c>
      <c r="AX343" t="s">
        <v>246</v>
      </c>
    </row>
    <row r="344" spans="1:50" x14ac:dyDescent="0.25">
      <c r="A344" t="s">
        <v>3331</v>
      </c>
      <c r="B344" t="s">
        <v>3332</v>
      </c>
      <c r="C344" t="s">
        <v>3333</v>
      </c>
      <c r="D344" t="s">
        <v>3290</v>
      </c>
      <c r="E344" t="s">
        <v>134</v>
      </c>
      <c r="F344" t="s">
        <v>91</v>
      </c>
      <c r="G344" t="s">
        <v>3334</v>
      </c>
      <c r="H344" t="s">
        <v>3335</v>
      </c>
      <c r="I344" t="s">
        <v>58</v>
      </c>
      <c r="J344" t="s">
        <v>142</v>
      </c>
      <c r="K344" t="s">
        <v>59</v>
      </c>
      <c r="L344" t="s">
        <v>1931</v>
      </c>
      <c r="M344" t="s">
        <v>163</v>
      </c>
      <c r="N344" t="s">
        <v>396</v>
      </c>
      <c r="O344" t="s">
        <v>502</v>
      </c>
      <c r="P344" t="s">
        <v>376</v>
      </c>
      <c r="Q344" t="s">
        <v>3336</v>
      </c>
      <c r="R344" t="s">
        <v>564</v>
      </c>
      <c r="S344" t="s">
        <v>3337</v>
      </c>
      <c r="T344" t="s">
        <v>3338</v>
      </c>
      <c r="U344" t="s">
        <v>3339</v>
      </c>
      <c r="V344" t="s">
        <v>205</v>
      </c>
      <c r="W344" t="s">
        <v>174</v>
      </c>
      <c r="X344" t="s">
        <v>207</v>
      </c>
      <c r="Y344" t="s">
        <v>176</v>
      </c>
      <c r="Z344" t="s">
        <v>3340</v>
      </c>
      <c r="AA344" t="s">
        <v>19</v>
      </c>
      <c r="AB344" t="s">
        <v>528</v>
      </c>
      <c r="AC344" t="s">
        <v>569</v>
      </c>
      <c r="AD344" t="s">
        <v>146</v>
      </c>
      <c r="AE344" t="s">
        <v>406</v>
      </c>
      <c r="AF344">
        <v>62</v>
      </c>
      <c r="AG344" t="s">
        <v>211</v>
      </c>
      <c r="AJ344" t="s">
        <v>3341</v>
      </c>
      <c r="AK344" t="s">
        <v>79</v>
      </c>
      <c r="AL344" t="s">
        <v>3342</v>
      </c>
      <c r="AM344" t="s">
        <v>3343</v>
      </c>
      <c r="AN344" t="s">
        <v>186</v>
      </c>
      <c r="AO344">
        <v>427</v>
      </c>
      <c r="AP344" t="s">
        <v>187</v>
      </c>
      <c r="AQ344" t="s">
        <v>610</v>
      </c>
      <c r="AR344" t="s">
        <v>118</v>
      </c>
      <c r="AS344" t="s">
        <v>215</v>
      </c>
      <c r="AT344" t="s">
        <v>361</v>
      </c>
      <c r="AU344" t="s">
        <v>134</v>
      </c>
      <c r="AV344" t="s">
        <v>3344</v>
      </c>
      <c r="AW344" t="s">
        <v>3344</v>
      </c>
      <c r="AX344" t="s">
        <v>270</v>
      </c>
    </row>
    <row r="345" spans="1:50" x14ac:dyDescent="0.25">
      <c r="A345" t="s">
        <v>5174</v>
      </c>
      <c r="B345" t="s">
        <v>5175</v>
      </c>
      <c r="C345" t="s">
        <v>5176</v>
      </c>
      <c r="D345" t="s">
        <v>2298</v>
      </c>
      <c r="E345" t="s">
        <v>5177</v>
      </c>
      <c r="F345" t="s">
        <v>299</v>
      </c>
      <c r="G345" t="s">
        <v>558</v>
      </c>
      <c r="H345" t="s">
        <v>2933</v>
      </c>
      <c r="I345" t="s">
        <v>58</v>
      </c>
      <c r="J345" t="s">
        <v>5178</v>
      </c>
      <c r="K345" t="s">
        <v>280</v>
      </c>
      <c r="L345" t="s">
        <v>1140</v>
      </c>
      <c r="M345" t="s">
        <v>142</v>
      </c>
      <c r="N345" t="s">
        <v>95</v>
      </c>
      <c r="O345" t="s">
        <v>375</v>
      </c>
      <c r="P345" t="s">
        <v>5179</v>
      </c>
      <c r="Q345" t="s">
        <v>5180</v>
      </c>
      <c r="R345" t="s">
        <v>258</v>
      </c>
      <c r="S345" t="s">
        <v>5181</v>
      </c>
      <c r="T345" t="s">
        <v>5182</v>
      </c>
      <c r="U345" t="s">
        <v>5183</v>
      </c>
      <c r="V345" t="s">
        <v>173</v>
      </c>
      <c r="W345" t="s">
        <v>311</v>
      </c>
      <c r="X345" t="s">
        <v>424</v>
      </c>
      <c r="Y345" t="s">
        <v>337</v>
      </c>
      <c r="Z345" t="s">
        <v>5184</v>
      </c>
      <c r="AA345" t="s">
        <v>144</v>
      </c>
      <c r="AB345" t="s">
        <v>263</v>
      </c>
      <c r="AC345" t="s">
        <v>357</v>
      </c>
      <c r="AD345">
        <v>2025</v>
      </c>
      <c r="AE345" t="s">
        <v>181</v>
      </c>
      <c r="AF345">
        <v>65</v>
      </c>
      <c r="AG345" t="s">
        <v>238</v>
      </c>
      <c r="AJ345" t="s">
        <v>5185</v>
      </c>
      <c r="AK345" t="s">
        <v>240</v>
      </c>
      <c r="AL345" t="s">
        <v>5186</v>
      </c>
      <c r="AM345" t="s">
        <v>5187</v>
      </c>
      <c r="AN345" t="s">
        <v>82</v>
      </c>
      <c r="AO345">
        <v>407</v>
      </c>
      <c r="AP345">
        <v>4.5</v>
      </c>
      <c r="AQ345" t="s">
        <v>242</v>
      </c>
      <c r="AR345">
        <v>0</v>
      </c>
      <c r="AT345" t="s">
        <v>361</v>
      </c>
      <c r="AU345">
        <v>206.63</v>
      </c>
      <c r="AV345" t="s">
        <v>5188</v>
      </c>
      <c r="AX345" t="s">
        <v>246</v>
      </c>
    </row>
    <row r="346" spans="1:50" x14ac:dyDescent="0.25">
      <c r="A346" t="s">
        <v>5189</v>
      </c>
      <c r="B346" t="s">
        <v>5190</v>
      </c>
      <c r="C346" t="s">
        <v>5191</v>
      </c>
      <c r="D346" t="s">
        <v>2298</v>
      </c>
      <c r="E346" t="s">
        <v>142</v>
      </c>
      <c r="F346" t="s">
        <v>1876</v>
      </c>
      <c r="G346" t="s">
        <v>1173</v>
      </c>
      <c r="H346" t="s">
        <v>5192</v>
      </c>
      <c r="I346">
        <v>0.1</v>
      </c>
      <c r="J346" t="s">
        <v>5193</v>
      </c>
      <c r="K346" t="s">
        <v>330</v>
      </c>
      <c r="L346" t="s">
        <v>1480</v>
      </c>
      <c r="M346" t="s">
        <v>374</v>
      </c>
      <c r="N346" t="s">
        <v>166</v>
      </c>
      <c r="O346" t="s">
        <v>461</v>
      </c>
      <c r="P346" t="s">
        <v>4312</v>
      </c>
      <c r="Q346" t="s">
        <v>5194</v>
      </c>
      <c r="R346" t="s">
        <v>286</v>
      </c>
      <c r="S346" t="s">
        <v>5195</v>
      </c>
      <c r="T346" t="s">
        <v>5196</v>
      </c>
      <c r="U346" t="s">
        <v>5197</v>
      </c>
      <c r="V346" t="s">
        <v>70</v>
      </c>
      <c r="W346" t="s">
        <v>71</v>
      </c>
      <c r="X346" t="s">
        <v>175</v>
      </c>
      <c r="Y346" t="s">
        <v>118</v>
      </c>
      <c r="Z346" t="s">
        <v>5198</v>
      </c>
      <c r="AA346" t="s">
        <v>144</v>
      </c>
      <c r="AB346" t="s">
        <v>405</v>
      </c>
      <c r="AC346" t="s">
        <v>209</v>
      </c>
      <c r="AD346" t="s">
        <v>314</v>
      </c>
      <c r="AE346" t="s">
        <v>181</v>
      </c>
      <c r="AF346">
        <v>83</v>
      </c>
      <c r="AG346" t="s">
        <v>111</v>
      </c>
      <c r="AJ346">
        <v>28</v>
      </c>
      <c r="AK346" t="s">
        <v>183</v>
      </c>
      <c r="AL346" t="s">
        <v>5199</v>
      </c>
      <c r="AM346" t="s">
        <v>5200</v>
      </c>
      <c r="AN346" t="s">
        <v>150</v>
      </c>
      <c r="AO346">
        <v>208</v>
      </c>
      <c r="AP346" t="s">
        <v>187</v>
      </c>
      <c r="AQ346" t="s">
        <v>117</v>
      </c>
      <c r="AR346">
        <v>1</v>
      </c>
      <c r="AS346" t="s">
        <v>83</v>
      </c>
      <c r="AT346" t="s">
        <v>152</v>
      </c>
      <c r="AU346">
        <v>271.2</v>
      </c>
      <c r="AV346" t="s">
        <v>5201</v>
      </c>
      <c r="AW346" t="s">
        <v>2280</v>
      </c>
      <c r="AX346" t="s">
        <v>270</v>
      </c>
    </row>
    <row r="347" spans="1:50" x14ac:dyDescent="0.25">
      <c r="A347" t="s">
        <v>966</v>
      </c>
      <c r="B347" t="s">
        <v>967</v>
      </c>
      <c r="C347" t="s">
        <v>968</v>
      </c>
      <c r="D347" t="s">
        <v>969</v>
      </c>
      <c r="E347" t="s">
        <v>738</v>
      </c>
      <c r="F347" t="s">
        <v>970</v>
      </c>
      <c r="G347">
        <v>3</v>
      </c>
      <c r="H347" t="s">
        <v>971</v>
      </c>
      <c r="I347" t="s">
        <v>162</v>
      </c>
      <c r="J347" t="s">
        <v>972</v>
      </c>
      <c r="K347" t="s">
        <v>92</v>
      </c>
      <c r="L347" t="s">
        <v>973</v>
      </c>
      <c r="M347" t="s">
        <v>163</v>
      </c>
      <c r="N347" t="s">
        <v>135</v>
      </c>
      <c r="O347" t="s">
        <v>198</v>
      </c>
      <c r="P347" t="s">
        <v>974</v>
      </c>
      <c r="Q347" t="s">
        <v>975</v>
      </c>
      <c r="R347" t="s">
        <v>976</v>
      </c>
      <c r="S347" t="s">
        <v>977</v>
      </c>
      <c r="T347" t="s">
        <v>978</v>
      </c>
      <c r="U347" t="s">
        <v>979</v>
      </c>
      <c r="V347" t="s">
        <v>205</v>
      </c>
      <c r="W347" t="s">
        <v>726</v>
      </c>
      <c r="X347" t="s">
        <v>207</v>
      </c>
      <c r="Y347" t="s">
        <v>106</v>
      </c>
      <c r="Z347" t="s">
        <v>980</v>
      </c>
      <c r="AA347" t="s">
        <v>178</v>
      </c>
      <c r="AB347" t="s">
        <v>528</v>
      </c>
      <c r="AC347" t="s">
        <v>569</v>
      </c>
      <c r="AD347" t="s">
        <v>210</v>
      </c>
      <c r="AE347" t="s">
        <v>110</v>
      </c>
      <c r="AF347">
        <v>43</v>
      </c>
      <c r="AG347">
        <v>0.08</v>
      </c>
      <c r="AJ347" t="s">
        <v>981</v>
      </c>
      <c r="AK347" t="s">
        <v>147</v>
      </c>
      <c r="AL347" t="s">
        <v>982</v>
      </c>
      <c r="AM347">
        <v>16.22</v>
      </c>
      <c r="AN347" t="s">
        <v>186</v>
      </c>
      <c r="AO347">
        <v>300</v>
      </c>
      <c r="AP347" t="s">
        <v>187</v>
      </c>
      <c r="AQ347" t="s">
        <v>117</v>
      </c>
      <c r="AR347">
        <v>1</v>
      </c>
      <c r="AT347">
        <v>0.3</v>
      </c>
      <c r="AU347" t="s">
        <v>91</v>
      </c>
      <c r="AV347" t="s">
        <v>983</v>
      </c>
      <c r="AW347" t="s">
        <v>122</v>
      </c>
      <c r="AX347" t="s">
        <v>270</v>
      </c>
    </row>
    <row r="348" spans="1:50" x14ac:dyDescent="0.25">
      <c r="A348" t="s">
        <v>5202</v>
      </c>
      <c r="B348" t="s">
        <v>5203</v>
      </c>
      <c r="C348" t="s">
        <v>3712</v>
      </c>
      <c r="D348" t="s">
        <v>2088</v>
      </c>
      <c r="E348" t="s">
        <v>1155</v>
      </c>
      <c r="F348" t="s">
        <v>5204</v>
      </c>
      <c r="G348" t="s">
        <v>5205</v>
      </c>
      <c r="H348" t="s">
        <v>499</v>
      </c>
      <c r="I348">
        <v>0</v>
      </c>
      <c r="J348">
        <v>16825.830000000002</v>
      </c>
      <c r="K348" t="s">
        <v>59</v>
      </c>
      <c r="L348" t="s">
        <v>3700</v>
      </c>
      <c r="M348" t="s">
        <v>91</v>
      </c>
      <c r="N348" t="s">
        <v>417</v>
      </c>
      <c r="O348" t="s">
        <v>226</v>
      </c>
      <c r="P348" t="s">
        <v>5206</v>
      </c>
      <c r="Q348" t="s">
        <v>5207</v>
      </c>
      <c r="R348" t="s">
        <v>1232</v>
      </c>
      <c r="S348" t="s">
        <v>5208</v>
      </c>
      <c r="T348" t="s">
        <v>5209</v>
      </c>
      <c r="U348" t="s">
        <v>5210</v>
      </c>
      <c r="V348" t="s">
        <v>173</v>
      </c>
      <c r="W348" t="s">
        <v>206</v>
      </c>
      <c r="X348" t="s">
        <v>207</v>
      </c>
      <c r="Y348" t="s">
        <v>176</v>
      </c>
      <c r="Z348" t="s">
        <v>5211</v>
      </c>
      <c r="AA348" t="s">
        <v>178</v>
      </c>
      <c r="AB348" t="s">
        <v>76</v>
      </c>
      <c r="AC348">
        <v>3</v>
      </c>
      <c r="AD348" t="s">
        <v>314</v>
      </c>
      <c r="AE348" t="s">
        <v>406</v>
      </c>
      <c r="AF348">
        <v>28</v>
      </c>
      <c r="AG348">
        <v>0.08</v>
      </c>
      <c r="AJ348" t="s">
        <v>5212</v>
      </c>
      <c r="AK348" t="s">
        <v>183</v>
      </c>
      <c r="AL348" t="s">
        <v>5213</v>
      </c>
      <c r="AM348">
        <v>3.35</v>
      </c>
      <c r="AN348" t="s">
        <v>116</v>
      </c>
      <c r="AO348">
        <v>432</v>
      </c>
      <c r="AP348">
        <v>4</v>
      </c>
      <c r="AQ348" t="s">
        <v>786</v>
      </c>
      <c r="AR348" t="s">
        <v>243</v>
      </c>
      <c r="AS348" t="s">
        <v>215</v>
      </c>
      <c r="AT348">
        <v>0.3</v>
      </c>
      <c r="AU348" t="s">
        <v>5214</v>
      </c>
      <c r="AV348" t="s">
        <v>5215</v>
      </c>
      <c r="AW348" t="s">
        <v>3973</v>
      </c>
    </row>
    <row r="349" spans="1:50" x14ac:dyDescent="0.25">
      <c r="A349" t="s">
        <v>5216</v>
      </c>
      <c r="B349" t="s">
        <v>5217</v>
      </c>
      <c r="C349" t="s">
        <v>5218</v>
      </c>
      <c r="D349" t="s">
        <v>810</v>
      </c>
      <c r="F349" t="s">
        <v>222</v>
      </c>
      <c r="G349">
        <v>8</v>
      </c>
      <c r="H349">
        <v>1184.7</v>
      </c>
      <c r="J349" t="s">
        <v>5219</v>
      </c>
      <c r="K349" t="s">
        <v>330</v>
      </c>
      <c r="L349" t="s">
        <v>1140</v>
      </c>
      <c r="M349" t="s">
        <v>1002</v>
      </c>
      <c r="N349" t="s">
        <v>166</v>
      </c>
      <c r="O349" t="s">
        <v>1028</v>
      </c>
      <c r="P349" t="s">
        <v>5220</v>
      </c>
      <c r="Q349" t="s">
        <v>5221</v>
      </c>
      <c r="R349" t="s">
        <v>307</v>
      </c>
      <c r="S349" t="s">
        <v>5222</v>
      </c>
      <c r="T349" t="s">
        <v>5223</v>
      </c>
      <c r="U349" t="s">
        <v>5224</v>
      </c>
      <c r="V349" t="s">
        <v>290</v>
      </c>
      <c r="W349" t="s">
        <v>311</v>
      </c>
      <c r="X349" t="s">
        <v>233</v>
      </c>
      <c r="Y349" t="s">
        <v>73</v>
      </c>
      <c r="Z349" t="s">
        <v>5225</v>
      </c>
      <c r="AA349" t="s">
        <v>144</v>
      </c>
      <c r="AB349" t="s">
        <v>108</v>
      </c>
      <c r="AC349" t="s">
        <v>109</v>
      </c>
      <c r="AD349">
        <v>2025</v>
      </c>
      <c r="AE349" t="s">
        <v>406</v>
      </c>
      <c r="AF349">
        <v>51</v>
      </c>
      <c r="AG349" t="s">
        <v>211</v>
      </c>
      <c r="AJ349" t="s">
        <v>5226</v>
      </c>
      <c r="AK349" t="s">
        <v>113</v>
      </c>
      <c r="AL349" t="s">
        <v>5227</v>
      </c>
      <c r="AM349" t="s">
        <v>5228</v>
      </c>
      <c r="AN349" t="s">
        <v>82</v>
      </c>
      <c r="AO349">
        <v>105</v>
      </c>
      <c r="AP349" t="s">
        <v>214</v>
      </c>
      <c r="AQ349" t="s">
        <v>151</v>
      </c>
      <c r="AR349" t="s">
        <v>243</v>
      </c>
      <c r="AS349" t="s">
        <v>215</v>
      </c>
      <c r="AU349" t="s">
        <v>142</v>
      </c>
      <c r="AV349" t="s">
        <v>3653</v>
      </c>
      <c r="AW349" t="s">
        <v>3653</v>
      </c>
      <c r="AX349" t="s">
        <v>246</v>
      </c>
    </row>
    <row r="350" spans="1:50" x14ac:dyDescent="0.25">
      <c r="A350" t="s">
        <v>5229</v>
      </c>
      <c r="B350" t="s">
        <v>3272</v>
      </c>
      <c r="C350" t="s">
        <v>1338</v>
      </c>
      <c r="D350" t="s">
        <v>1996</v>
      </c>
      <c r="E350" t="s">
        <v>5230</v>
      </c>
      <c r="F350" t="s">
        <v>1827</v>
      </c>
      <c r="G350">
        <v>21</v>
      </c>
      <c r="H350" t="s">
        <v>2564</v>
      </c>
      <c r="I350" t="s">
        <v>58</v>
      </c>
      <c r="J350" t="s">
        <v>5231</v>
      </c>
      <c r="K350" t="s">
        <v>92</v>
      </c>
      <c r="L350" t="s">
        <v>3276</v>
      </c>
      <c r="M350" t="s">
        <v>3193</v>
      </c>
      <c r="N350" t="s">
        <v>417</v>
      </c>
      <c r="O350" t="s">
        <v>1122</v>
      </c>
      <c r="P350" t="s">
        <v>1739</v>
      </c>
      <c r="Q350" t="s">
        <v>5232</v>
      </c>
      <c r="R350" t="s">
        <v>1395</v>
      </c>
      <c r="S350" t="s">
        <v>5233</v>
      </c>
      <c r="T350" t="s">
        <v>5234</v>
      </c>
      <c r="U350" t="s">
        <v>5235</v>
      </c>
      <c r="V350" t="s">
        <v>205</v>
      </c>
      <c r="W350" t="s">
        <v>174</v>
      </c>
      <c r="X350" t="s">
        <v>105</v>
      </c>
      <c r="Y350" t="s">
        <v>106</v>
      </c>
      <c r="Z350" t="s">
        <v>5236</v>
      </c>
      <c r="AA350" t="s">
        <v>75</v>
      </c>
      <c r="AB350" t="s">
        <v>528</v>
      </c>
      <c r="AC350">
        <v>12</v>
      </c>
      <c r="AD350" t="s">
        <v>237</v>
      </c>
      <c r="AE350" t="s">
        <v>77</v>
      </c>
      <c r="AF350" t="s">
        <v>134</v>
      </c>
      <c r="AG350">
        <v>0.08</v>
      </c>
      <c r="AJ350" t="s">
        <v>5237</v>
      </c>
      <c r="AK350" t="s">
        <v>183</v>
      </c>
      <c r="AL350" t="s">
        <v>5238</v>
      </c>
      <c r="AM350" t="s">
        <v>5239</v>
      </c>
      <c r="AN350" t="s">
        <v>150</v>
      </c>
      <c r="AO350">
        <v>359</v>
      </c>
      <c r="AP350">
        <v>4</v>
      </c>
      <c r="AQ350" t="s">
        <v>610</v>
      </c>
      <c r="AR350" t="s">
        <v>118</v>
      </c>
      <c r="AS350" t="s">
        <v>215</v>
      </c>
      <c r="AT350">
        <v>0.3</v>
      </c>
      <c r="AU350" t="s">
        <v>163</v>
      </c>
      <c r="AV350" t="s">
        <v>5240</v>
      </c>
      <c r="AW350" t="s">
        <v>122</v>
      </c>
    </row>
    <row r="351" spans="1:50" x14ac:dyDescent="0.25">
      <c r="A351" t="s">
        <v>5241</v>
      </c>
      <c r="B351" t="s">
        <v>5242</v>
      </c>
      <c r="C351" t="s">
        <v>5243</v>
      </c>
      <c r="D351" t="s">
        <v>5244</v>
      </c>
      <c r="E351" t="s">
        <v>142</v>
      </c>
      <c r="F351" t="s">
        <v>56</v>
      </c>
      <c r="G351" t="s">
        <v>677</v>
      </c>
      <c r="H351" t="s">
        <v>5245</v>
      </c>
      <c r="I351" t="s">
        <v>253</v>
      </c>
      <c r="J351" t="s">
        <v>5246</v>
      </c>
      <c r="K351" t="s">
        <v>330</v>
      </c>
      <c r="L351" t="s">
        <v>4829</v>
      </c>
      <c r="M351" t="s">
        <v>2239</v>
      </c>
      <c r="N351" t="s">
        <v>62</v>
      </c>
      <c r="O351" t="s">
        <v>304</v>
      </c>
      <c r="P351" t="s">
        <v>3546</v>
      </c>
      <c r="Q351" t="s">
        <v>5247</v>
      </c>
      <c r="R351" t="s">
        <v>201</v>
      </c>
      <c r="S351" t="s">
        <v>5248</v>
      </c>
      <c r="T351" t="s">
        <v>5249</v>
      </c>
      <c r="U351" t="s">
        <v>5250</v>
      </c>
      <c r="V351" t="s">
        <v>103</v>
      </c>
      <c r="W351" t="s">
        <v>71</v>
      </c>
      <c r="X351" t="s">
        <v>105</v>
      </c>
      <c r="Y351" t="s">
        <v>118</v>
      </c>
      <c r="Z351" t="s">
        <v>5251</v>
      </c>
      <c r="AA351" t="s">
        <v>178</v>
      </c>
      <c r="AB351" t="s">
        <v>108</v>
      </c>
      <c r="AC351" t="s">
        <v>357</v>
      </c>
      <c r="AD351">
        <v>2025</v>
      </c>
      <c r="AE351" t="s">
        <v>77</v>
      </c>
      <c r="AF351">
        <v>71</v>
      </c>
      <c r="AG351">
        <v>0.08</v>
      </c>
      <c r="AJ351" t="s">
        <v>5252</v>
      </c>
      <c r="AK351" t="s">
        <v>113</v>
      </c>
      <c r="AL351" t="s">
        <v>5253</v>
      </c>
      <c r="AM351" t="s">
        <v>5254</v>
      </c>
      <c r="AN351" t="s">
        <v>116</v>
      </c>
      <c r="AO351">
        <v>213</v>
      </c>
      <c r="AP351">
        <v>5</v>
      </c>
      <c r="AQ351" t="s">
        <v>242</v>
      </c>
      <c r="AS351" t="s">
        <v>83</v>
      </c>
      <c r="AT351" t="s">
        <v>119</v>
      </c>
      <c r="AU351" t="s">
        <v>5255</v>
      </c>
      <c r="AV351" t="s">
        <v>5256</v>
      </c>
      <c r="AX351" t="s">
        <v>191</v>
      </c>
    </row>
    <row r="352" spans="1:50" x14ac:dyDescent="0.25">
      <c r="A352" t="s">
        <v>5257</v>
      </c>
      <c r="B352" t="s">
        <v>5258</v>
      </c>
      <c r="C352" t="s">
        <v>5259</v>
      </c>
      <c r="D352" t="s">
        <v>615</v>
      </c>
      <c r="E352" t="s">
        <v>5260</v>
      </c>
      <c r="F352" t="s">
        <v>163</v>
      </c>
      <c r="G352">
        <v>11</v>
      </c>
      <c r="H352" t="s">
        <v>617</v>
      </c>
      <c r="I352" t="s">
        <v>253</v>
      </c>
      <c r="J352" t="s">
        <v>5261</v>
      </c>
      <c r="K352" t="s">
        <v>280</v>
      </c>
      <c r="L352" t="s">
        <v>718</v>
      </c>
      <c r="M352" t="s">
        <v>91</v>
      </c>
      <c r="N352" t="s">
        <v>135</v>
      </c>
      <c r="O352" t="s">
        <v>543</v>
      </c>
      <c r="P352" t="s">
        <v>5262</v>
      </c>
      <c r="Q352" t="s">
        <v>5263</v>
      </c>
      <c r="R352" t="s">
        <v>1846</v>
      </c>
      <c r="S352" t="s">
        <v>5264</v>
      </c>
      <c r="T352" t="s">
        <v>5265</v>
      </c>
      <c r="U352" t="s">
        <v>163</v>
      </c>
      <c r="V352" t="s">
        <v>173</v>
      </c>
      <c r="W352" t="s">
        <v>174</v>
      </c>
      <c r="X352" t="s">
        <v>175</v>
      </c>
      <c r="Y352" t="s">
        <v>106</v>
      </c>
      <c r="Z352" t="s">
        <v>5266</v>
      </c>
      <c r="AA352" t="s">
        <v>178</v>
      </c>
      <c r="AB352" t="s">
        <v>108</v>
      </c>
      <c r="AC352">
        <v>2</v>
      </c>
      <c r="AD352">
        <v>2026</v>
      </c>
      <c r="AE352" t="s">
        <v>77</v>
      </c>
      <c r="AF352">
        <v>43</v>
      </c>
      <c r="AG352" t="s">
        <v>211</v>
      </c>
      <c r="AJ352" t="s">
        <v>5267</v>
      </c>
      <c r="AK352" t="s">
        <v>183</v>
      </c>
      <c r="AL352" t="s">
        <v>5268</v>
      </c>
      <c r="AM352">
        <v>16.66</v>
      </c>
      <c r="AN352" t="s">
        <v>116</v>
      </c>
      <c r="AO352">
        <v>74</v>
      </c>
      <c r="AQ352" t="s">
        <v>242</v>
      </c>
      <c r="AS352" t="s">
        <v>215</v>
      </c>
      <c r="AU352" t="s">
        <v>5269</v>
      </c>
      <c r="AV352" t="s">
        <v>5270</v>
      </c>
      <c r="AW352" t="s">
        <v>5270</v>
      </c>
      <c r="AX352" t="s">
        <v>191</v>
      </c>
    </row>
    <row r="354" spans="10:11" x14ac:dyDescent="0.25">
      <c r="J354" t="s">
        <v>5271</v>
      </c>
      <c r="K354" t="s">
        <v>5272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E228A-7659-45D4-94F5-16A9B3B7C7BD}">
  <dimension ref="A1:B27"/>
  <sheetViews>
    <sheetView workbookViewId="0">
      <selection activeCell="L8" sqref="L8"/>
    </sheetView>
  </sheetViews>
  <sheetFormatPr defaultRowHeight="15" x14ac:dyDescent="0.25"/>
  <cols>
    <col min="1" max="1" width="13.140625" bestFit="1" customWidth="1"/>
    <col min="2" max="2" width="22.7109375" bestFit="1" customWidth="1"/>
  </cols>
  <sheetData>
    <row r="1" spans="1:2" x14ac:dyDescent="0.25">
      <c r="A1" s="27" t="s">
        <v>5337</v>
      </c>
      <c r="B1" t="s">
        <v>5339</v>
      </c>
    </row>
    <row r="2" spans="1:2" x14ac:dyDescent="0.25">
      <c r="A2" s="28" t="s">
        <v>350</v>
      </c>
      <c r="B2" s="29">
        <v>7254.171896234111</v>
      </c>
    </row>
    <row r="3" spans="1:2" x14ac:dyDescent="0.25">
      <c r="A3" s="28" t="s">
        <v>1581</v>
      </c>
      <c r="B3" s="29">
        <v>5397.9857883876339</v>
      </c>
    </row>
    <row r="4" spans="1:2" x14ac:dyDescent="0.25">
      <c r="A4" s="28" t="s">
        <v>1194</v>
      </c>
      <c r="B4" s="29">
        <v>6186.3911949900885</v>
      </c>
    </row>
    <row r="5" spans="1:2" x14ac:dyDescent="0.25">
      <c r="A5" s="28" t="s">
        <v>1548</v>
      </c>
      <c r="B5" s="29">
        <v>8268.3620153387255</v>
      </c>
    </row>
    <row r="6" spans="1:2" x14ac:dyDescent="0.25">
      <c r="A6" s="28" t="s">
        <v>2697</v>
      </c>
      <c r="B6" s="29">
        <v>6276.0838777996332</v>
      </c>
    </row>
    <row r="7" spans="1:2" x14ac:dyDescent="0.25">
      <c r="A7" s="28" t="s">
        <v>1686</v>
      </c>
      <c r="B7" s="29">
        <v>8969.9147064812041</v>
      </c>
    </row>
    <row r="8" spans="1:2" x14ac:dyDescent="0.25">
      <c r="A8" s="28" t="s">
        <v>2269</v>
      </c>
      <c r="B8" s="29">
        <v>3689.3220174000003</v>
      </c>
    </row>
    <row r="9" spans="1:2" x14ac:dyDescent="0.25">
      <c r="A9" s="28" t="s">
        <v>5315</v>
      </c>
      <c r="B9" s="29">
        <v>7027.1083169999993</v>
      </c>
    </row>
    <row r="10" spans="1:2" x14ac:dyDescent="0.25">
      <c r="A10" s="28" t="s">
        <v>1120</v>
      </c>
      <c r="B10" s="29">
        <v>8450.5719567405395</v>
      </c>
    </row>
    <row r="11" spans="1:2" x14ac:dyDescent="0.25">
      <c r="A11" s="28" t="s">
        <v>1099</v>
      </c>
      <c r="B11" s="29">
        <v>4987.8694658342565</v>
      </c>
    </row>
    <row r="12" spans="1:2" x14ac:dyDescent="0.25">
      <c r="A12" s="28" t="s">
        <v>1357</v>
      </c>
      <c r="B12" s="29">
        <v>1180.6019352000001</v>
      </c>
    </row>
    <row r="13" spans="1:2" x14ac:dyDescent="0.25">
      <c r="A13" s="28" t="s">
        <v>815</v>
      </c>
      <c r="B13" s="29">
        <v>4796.6891405287261</v>
      </c>
    </row>
    <row r="14" spans="1:2" x14ac:dyDescent="0.25">
      <c r="A14" s="28" t="s">
        <v>439</v>
      </c>
      <c r="B14" s="29">
        <v>2433.4644240000002</v>
      </c>
    </row>
    <row r="15" spans="1:2" x14ac:dyDescent="0.25">
      <c r="A15" s="28" t="s">
        <v>4181</v>
      </c>
      <c r="B15" s="29">
        <v>3129.0601590957276</v>
      </c>
    </row>
    <row r="16" spans="1:2" x14ac:dyDescent="0.25">
      <c r="A16" s="28" t="s">
        <v>254</v>
      </c>
      <c r="B16" s="29">
        <v>4458.3634116000003</v>
      </c>
    </row>
    <row r="17" spans="1:2" x14ac:dyDescent="0.25">
      <c r="A17" s="28" t="s">
        <v>953</v>
      </c>
      <c r="B17" s="29">
        <v>4346.7073279246761</v>
      </c>
    </row>
    <row r="18" spans="1:2" x14ac:dyDescent="0.25">
      <c r="A18" s="28" t="s">
        <v>2029</v>
      </c>
      <c r="B18" s="29">
        <v>4990.6776221092287</v>
      </c>
    </row>
    <row r="19" spans="1:2" x14ac:dyDescent="0.25">
      <c r="A19" s="28" t="s">
        <v>718</v>
      </c>
      <c r="B19" s="29">
        <v>4458.8872568049264</v>
      </c>
    </row>
    <row r="20" spans="1:2" x14ac:dyDescent="0.25">
      <c r="A20" s="28" t="s">
        <v>3011</v>
      </c>
      <c r="B20" s="29">
        <v>5550.5032782411081</v>
      </c>
    </row>
    <row r="21" spans="1:2" x14ac:dyDescent="0.25">
      <c r="A21" s="28" t="s">
        <v>1290</v>
      </c>
      <c r="B21" s="29">
        <v>6837.405352798889</v>
      </c>
    </row>
    <row r="22" spans="1:2" x14ac:dyDescent="0.25">
      <c r="A22" s="28" t="s">
        <v>699</v>
      </c>
      <c r="B22" s="29">
        <v>5493.3536821844837</v>
      </c>
    </row>
    <row r="23" spans="1:2" x14ac:dyDescent="0.25">
      <c r="A23" s="28" t="s">
        <v>3076</v>
      </c>
      <c r="B23" s="29">
        <v>8021.7412063783795</v>
      </c>
    </row>
    <row r="24" spans="1:2" x14ac:dyDescent="0.25">
      <c r="A24" s="28" t="s">
        <v>1480</v>
      </c>
      <c r="B24" s="29">
        <v>3513.8716043376094</v>
      </c>
    </row>
    <row r="25" spans="1:2" x14ac:dyDescent="0.25">
      <c r="A25" s="28" t="s">
        <v>1668</v>
      </c>
      <c r="B25" s="29">
        <v>1114.9731066862871</v>
      </c>
    </row>
    <row r="26" spans="1:2" x14ac:dyDescent="0.25">
      <c r="A26" s="28" t="s">
        <v>2982</v>
      </c>
      <c r="B26" s="29">
        <v>9844.5718174047106</v>
      </c>
    </row>
    <row r="27" spans="1:2" x14ac:dyDescent="0.25">
      <c r="A27" s="28" t="s">
        <v>5338</v>
      </c>
      <c r="B27" s="29">
        <v>136678.65256150099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FF22-0602-4D23-BF21-EE6A49465BAA}">
  <dimension ref="A1:B6"/>
  <sheetViews>
    <sheetView workbookViewId="0">
      <selection activeCell="I18" sqref="I18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1" spans="1:2" x14ac:dyDescent="0.25">
      <c r="A1" s="27" t="s">
        <v>5337</v>
      </c>
      <c r="B1" t="s">
        <v>5340</v>
      </c>
    </row>
    <row r="2" spans="1:2" x14ac:dyDescent="0.25">
      <c r="A2" s="28" t="s">
        <v>75</v>
      </c>
      <c r="B2" s="29">
        <v>167469.83773163121</v>
      </c>
    </row>
    <row r="3" spans="1:2" x14ac:dyDescent="0.25">
      <c r="A3" s="28" t="s">
        <v>5314</v>
      </c>
      <c r="B3" s="29">
        <v>129231.35723564609</v>
      </c>
    </row>
    <row r="4" spans="1:2" x14ac:dyDescent="0.25">
      <c r="A4" s="28" t="s">
        <v>5312</v>
      </c>
      <c r="B4" s="29">
        <v>192890.21568945856</v>
      </c>
    </row>
    <row r="5" spans="1:2" x14ac:dyDescent="0.25">
      <c r="A5" s="28" t="s">
        <v>5313</v>
      </c>
      <c r="B5" s="29">
        <v>224800.03540409784</v>
      </c>
    </row>
    <row r="6" spans="1:2" x14ac:dyDescent="0.25">
      <c r="A6" s="28" t="s">
        <v>5338</v>
      </c>
      <c r="B6" s="29">
        <v>714391.44606083375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4FDAD-A3B8-4283-8B2C-2B8CB743F835}">
  <dimension ref="A1:B14"/>
  <sheetViews>
    <sheetView workbookViewId="0">
      <selection activeCell="L22" sqref="L22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1" spans="1:2" x14ac:dyDescent="0.25">
      <c r="A1" s="27" t="s">
        <v>5337</v>
      </c>
      <c r="B1" t="s">
        <v>5340</v>
      </c>
    </row>
    <row r="2" spans="1:2" x14ac:dyDescent="0.25">
      <c r="A2" s="28" t="s">
        <v>180</v>
      </c>
      <c r="B2" s="29">
        <v>66014.063519448639</v>
      </c>
    </row>
    <row r="3" spans="1:2" x14ac:dyDescent="0.25">
      <c r="A3" s="28" t="s">
        <v>357</v>
      </c>
      <c r="B3" s="29">
        <v>73288.986934114306</v>
      </c>
    </row>
    <row r="4" spans="1:2" x14ac:dyDescent="0.25">
      <c r="A4" s="28" t="s">
        <v>589</v>
      </c>
      <c r="B4" s="29">
        <v>74549.901702716132</v>
      </c>
    </row>
    <row r="5" spans="1:2" x14ac:dyDescent="0.25">
      <c r="A5" s="28" t="s">
        <v>145</v>
      </c>
      <c r="B5" s="29">
        <v>55299.641889896448</v>
      </c>
    </row>
    <row r="6" spans="1:2" x14ac:dyDescent="0.25">
      <c r="A6" s="28" t="s">
        <v>569</v>
      </c>
      <c r="B6" s="29">
        <v>74952.254271623358</v>
      </c>
    </row>
    <row r="7" spans="1:2" x14ac:dyDescent="0.25">
      <c r="A7" s="28" t="s">
        <v>209</v>
      </c>
      <c r="B7" s="29">
        <v>94160.644263898066</v>
      </c>
    </row>
    <row r="8" spans="1:2" x14ac:dyDescent="0.25">
      <c r="A8" s="28" t="s">
        <v>313</v>
      </c>
      <c r="B8" s="29">
        <v>88210.53560488009</v>
      </c>
    </row>
    <row r="9" spans="1:2" x14ac:dyDescent="0.25">
      <c r="A9" s="28" t="s">
        <v>728</v>
      </c>
      <c r="B9" s="29">
        <v>70481.925318240785</v>
      </c>
    </row>
    <row r="10" spans="1:2" x14ac:dyDescent="0.25">
      <c r="A10" s="28" t="s">
        <v>447</v>
      </c>
      <c r="B10" s="29">
        <v>31947.527655000005</v>
      </c>
    </row>
    <row r="11" spans="1:2" x14ac:dyDescent="0.25">
      <c r="A11" s="28" t="s">
        <v>2586</v>
      </c>
      <c r="B11" s="29">
        <v>24843.260293200001</v>
      </c>
    </row>
    <row r="12" spans="1:2" x14ac:dyDescent="0.25">
      <c r="A12" s="28" t="s">
        <v>2175</v>
      </c>
      <c r="B12" s="29">
        <v>29531.663043626377</v>
      </c>
    </row>
    <row r="13" spans="1:2" x14ac:dyDescent="0.25">
      <c r="A13" s="28" t="s">
        <v>3282</v>
      </c>
      <c r="B13" s="29">
        <v>31111.041564189472</v>
      </c>
    </row>
    <row r="14" spans="1:2" x14ac:dyDescent="0.25">
      <c r="A14" s="28" t="s">
        <v>5338</v>
      </c>
      <c r="B14" s="29">
        <v>714391.44606083364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290A0-5541-4F6F-9033-D7E080516EFC}">
  <dimension ref="A3:BC342"/>
  <sheetViews>
    <sheetView tabSelected="1" topLeftCell="AH166" zoomScaleNormal="100" workbookViewId="0">
      <selection activeCell="AL24" sqref="AL24"/>
    </sheetView>
  </sheetViews>
  <sheetFormatPr defaultRowHeight="15" x14ac:dyDescent="0.25"/>
  <cols>
    <col min="1" max="1" width="19.140625" bestFit="1" customWidth="1"/>
    <col min="2" max="2" width="11.85546875" bestFit="1" customWidth="1"/>
    <col min="3" max="3" width="18.42578125" bestFit="1" customWidth="1"/>
    <col min="4" max="4" width="18.140625" bestFit="1" customWidth="1"/>
    <col min="5" max="5" width="20.5703125" bestFit="1" customWidth="1"/>
    <col min="6" max="6" width="20.5703125" customWidth="1"/>
    <col min="7" max="7" width="14.140625" bestFit="1" customWidth="1"/>
    <col min="8" max="8" width="12" bestFit="1" customWidth="1"/>
    <col min="9" max="9" width="13.5703125" bestFit="1" customWidth="1"/>
    <col min="10" max="10" width="15" bestFit="1" customWidth="1"/>
    <col min="11" max="11" width="12.5703125" bestFit="1" customWidth="1"/>
    <col min="12" max="12" width="12.28515625" bestFit="1" customWidth="1"/>
    <col min="13" max="13" width="17.140625" bestFit="1" customWidth="1"/>
    <col min="14" max="14" width="19.5703125" bestFit="1" customWidth="1"/>
    <col min="15" max="15" width="19.5703125" customWidth="1"/>
    <col min="16" max="16" width="9.85546875" bestFit="1" customWidth="1"/>
    <col min="17" max="17" width="11.42578125" bestFit="1" customWidth="1"/>
    <col min="18" max="18" width="14.5703125" bestFit="1" customWidth="1"/>
    <col min="19" max="19" width="14.140625" bestFit="1" customWidth="1"/>
    <col min="20" max="20" width="25.28515625" bestFit="1" customWidth="1"/>
    <col min="21" max="21" width="14.42578125" bestFit="1" customWidth="1"/>
    <col min="22" max="22" width="19.140625" bestFit="1" customWidth="1"/>
    <col min="23" max="23" width="12.140625" bestFit="1" customWidth="1"/>
    <col min="24" max="24" width="12.85546875" bestFit="1" customWidth="1"/>
    <col min="25" max="25" width="23.28515625" bestFit="1" customWidth="1"/>
    <col min="26" max="26" width="10.42578125" bestFit="1" customWidth="1"/>
    <col min="27" max="27" width="23.140625" bestFit="1" customWidth="1"/>
    <col min="28" max="28" width="15.5703125" bestFit="1" customWidth="1"/>
    <col min="29" max="29" width="18.5703125" bestFit="1" customWidth="1"/>
    <col min="30" max="30" width="10.85546875" bestFit="1" customWidth="1"/>
    <col min="31" max="31" width="11.7109375" bestFit="1" customWidth="1"/>
    <col min="32" max="32" width="8.28515625" bestFit="1" customWidth="1"/>
    <col min="33" max="33" width="20.85546875" bestFit="1" customWidth="1"/>
    <col min="34" max="34" width="18.85546875" bestFit="1" customWidth="1"/>
    <col min="35" max="35" width="6.28515625" bestFit="1" customWidth="1"/>
    <col min="36" max="36" width="17.140625" bestFit="1" customWidth="1"/>
    <col min="37" max="37" width="23.28515625" bestFit="1" customWidth="1"/>
    <col min="38" max="38" width="18.140625" bestFit="1" customWidth="1"/>
    <col min="39" max="39" width="10.28515625" bestFit="1" customWidth="1"/>
    <col min="40" max="40" width="16.7109375" bestFit="1" customWidth="1"/>
    <col min="41" max="41" width="20" bestFit="1" customWidth="1"/>
    <col min="42" max="42" width="15.5703125" bestFit="1" customWidth="1"/>
    <col min="43" max="43" width="8" bestFit="1" customWidth="1"/>
    <col min="44" max="44" width="22.140625" bestFit="1" customWidth="1"/>
    <col min="45" max="45" width="15.7109375" bestFit="1" customWidth="1"/>
    <col min="46" max="46" width="14.42578125" bestFit="1" customWidth="1"/>
    <col min="47" max="47" width="18.28515625" bestFit="1" customWidth="1"/>
    <col min="48" max="48" width="10" bestFit="1" customWidth="1"/>
    <col min="49" max="49" width="22.140625" bestFit="1" customWidth="1"/>
    <col min="50" max="50" width="27" bestFit="1" customWidth="1"/>
    <col min="51" max="51" width="20.140625" bestFit="1" customWidth="1"/>
    <col min="52" max="52" width="12.7109375" bestFit="1" customWidth="1"/>
    <col min="53" max="53" width="26.140625" bestFit="1" customWidth="1"/>
    <col min="54" max="54" width="13.42578125" bestFit="1" customWidth="1"/>
    <col min="55" max="55" width="10.140625" bestFit="1" customWidth="1"/>
  </cols>
  <sheetData>
    <row r="3" spans="1:55" ht="15.75" thickBot="1" x14ac:dyDescent="0.3"/>
    <row r="4" spans="1:55" ht="21.75" thickBot="1" x14ac:dyDescent="0.4">
      <c r="A4" s="11" t="s">
        <v>5321</v>
      </c>
      <c r="B4" s="11" t="s">
        <v>5320</v>
      </c>
      <c r="C4" s="11" t="s">
        <v>3</v>
      </c>
      <c r="D4" s="11" t="s">
        <v>4</v>
      </c>
      <c r="E4" s="11" t="s">
        <v>5</v>
      </c>
      <c r="F4" s="11" t="s">
        <v>5277</v>
      </c>
      <c r="G4" s="11" t="s">
        <v>5275</v>
      </c>
      <c r="H4" s="11" t="s">
        <v>7</v>
      </c>
      <c r="I4" s="11" t="s">
        <v>8</v>
      </c>
      <c r="J4" s="11" t="s">
        <v>9</v>
      </c>
      <c r="K4" s="30" t="s">
        <v>10</v>
      </c>
      <c r="L4" s="11" t="s">
        <v>11</v>
      </c>
      <c r="M4" s="12" t="s">
        <v>12</v>
      </c>
      <c r="N4" s="12" t="s">
        <v>13</v>
      </c>
      <c r="O4" s="12" t="s">
        <v>5310</v>
      </c>
      <c r="P4" s="12" t="s">
        <v>14</v>
      </c>
      <c r="Q4" s="12" t="s">
        <v>15</v>
      </c>
      <c r="R4" s="12" t="s">
        <v>16</v>
      </c>
      <c r="S4" s="12" t="s">
        <v>17</v>
      </c>
      <c r="T4" s="12" t="s">
        <v>18</v>
      </c>
      <c r="U4" s="12" t="s">
        <v>19</v>
      </c>
      <c r="V4" s="12" t="s">
        <v>20</v>
      </c>
      <c r="W4" s="12" t="s">
        <v>21</v>
      </c>
      <c r="X4" s="12" t="s">
        <v>5322</v>
      </c>
      <c r="Y4" s="13" t="s">
        <v>23</v>
      </c>
      <c r="Z4" s="13" t="s">
        <v>24</v>
      </c>
      <c r="AA4" s="13" t="s">
        <v>25</v>
      </c>
      <c r="AB4" s="13" t="s">
        <v>26</v>
      </c>
      <c r="AC4" s="13" t="s">
        <v>27</v>
      </c>
      <c r="AD4" s="13" t="s">
        <v>28</v>
      </c>
      <c r="AE4" s="13" t="s">
        <v>29</v>
      </c>
      <c r="AF4" s="13" t="s">
        <v>30</v>
      </c>
      <c r="AG4" s="13" t="s">
        <v>31</v>
      </c>
      <c r="AH4" s="13" t="s">
        <v>32</v>
      </c>
      <c r="AI4" s="13" t="s">
        <v>33</v>
      </c>
      <c r="AJ4" s="13" t="s">
        <v>34</v>
      </c>
      <c r="AK4" s="13" t="s">
        <v>35</v>
      </c>
      <c r="AL4" s="14" t="s">
        <v>36</v>
      </c>
      <c r="AM4" s="14" t="s">
        <v>37</v>
      </c>
      <c r="AN4" s="14" t="s">
        <v>5323</v>
      </c>
      <c r="AO4" s="14" t="s">
        <v>5328</v>
      </c>
      <c r="AP4" s="14" t="s">
        <v>40</v>
      </c>
      <c r="AQ4" s="14" t="s">
        <v>41</v>
      </c>
      <c r="AR4" s="2" t="s">
        <v>42</v>
      </c>
      <c r="AS4" s="2" t="s">
        <v>5330</v>
      </c>
      <c r="AT4" s="2" t="s">
        <v>44</v>
      </c>
      <c r="AU4" s="2" t="s">
        <v>5327</v>
      </c>
      <c r="AV4" s="15" t="s">
        <v>46</v>
      </c>
      <c r="AW4" s="15" t="s">
        <v>47</v>
      </c>
      <c r="AX4" s="12" t="s">
        <v>48</v>
      </c>
      <c r="AY4" s="12" t="s">
        <v>49</v>
      </c>
      <c r="AZ4" s="15" t="s">
        <v>5329</v>
      </c>
      <c r="BA4" s="11" t="s">
        <v>5324</v>
      </c>
      <c r="BB4" s="14" t="s">
        <v>5278</v>
      </c>
      <c r="BC4" s="15" t="s">
        <v>5325</v>
      </c>
    </row>
    <row r="5" spans="1:55" ht="15.75" thickBot="1" x14ac:dyDescent="0.3">
      <c r="A5" s="3" t="s">
        <v>51</v>
      </c>
      <c r="B5" s="10">
        <v>45909</v>
      </c>
      <c r="C5" s="4">
        <v>45923</v>
      </c>
      <c r="D5" s="3" t="str">
        <f>"P-" &amp; TEXT(VALUE(SUBSTITUTE(SUBSTITUTE(SUBSTITUTE(UPPER(TRIM('Sales_RAW(BEFORE)'!D5)), "P", ""), "-", ""), "_", "")),"000")</f>
        <v>P-033</v>
      </c>
      <c r="E5" s="3" t="str">
        <f>PROPER(TRIM('Sales_RAW(BEFORE)'!E5))</f>
        <v>Printer X 33</v>
      </c>
      <c r="F5" s="3" t="str">
        <f>_xlfn.XLOOKUP(E5,Product_List!$B$2:$B$61,Product_List!$E$2:$E$61,2)</f>
        <v>Global Distrib</v>
      </c>
      <c r="G5" s="3" t="str">
        <f>VLOOKUP(E5,Product_List!$B$2:$C$61,2,FALSE)</f>
        <v>Office</v>
      </c>
      <c r="H5" s="3" t="str">
        <f>SUBSTITUTE(SUBSTITUTE('Sales_RAW(BEFORE)'!G5,"kom",""),".","")</f>
        <v>7</v>
      </c>
      <c r="I5" s="6">
        <f>VLOOKUP(E5,Product_List!$B$2:$D$61,3,FALSE)</f>
        <v>129.06</v>
      </c>
      <c r="J5" s="5">
        <f>IF(IFERROR(VALUE(SUBSTITUTE(SUBSTITUTE(TRIM('Sales_RAW(BEFORE)'!I5), "%", ""), ",", ".")), 0) &gt; 1, IFERROR(VALUE(SUBSTITUTE(SUBSTITUTE(TRIM('Sales_RAW(BEFORE)'!I5), "%", ""), ",", ".")), 0) / 100, IFERROR(VALUE(SUBSTITUTE(SUBSTITUTE(TRIM('Sales_RAW(BEFORE)'!I5), "%", ""), ",", ".")), 0))</f>
        <v>0.1</v>
      </c>
      <c r="K5" s="6">
        <f t="shared" ref="K5:K65" si="0">IFERROR(H5*I5,0)</f>
        <v>903.42000000000007</v>
      </c>
      <c r="L5" s="6" t="str" cm="1">
        <f t="array" ref="L5">_xlfn.LET(
  _xlpm.valuta, UPPER(TRIM('Sales_RAW(BEFORE)'!K5)),
  _xlfn.IFS(
    _xlpm.valuta = "", "",
    OR(_xlpm.valuta = "USD", _xlpm.valuta = "$"), "$",
    OR(_xlpm.valuta = "EUR", _xlpm.valuta = "€"), "€",
    TRUE, _xlpm.valuta
  )
)</f>
        <v>$</v>
      </c>
      <c r="M5" s="3" t="str">
        <f>"E" &amp; TEXT(VALUE(SUBSTITUTE(SUBSTITUTE(SUBSTITUTE(UPPER(TRIM('Sales_RAW(BEFORE)'!L5)), "EMP", ""), "E", ""), "-", "")),"000")</f>
        <v>E016</v>
      </c>
      <c r="N5" s="3" t="str">
        <f>_xlfn.XLOOKUP(M5,Employees!$D$2:$D$26,Employees!$A$2:$A$26)</f>
        <v>Chris Anderson</v>
      </c>
      <c r="O5" s="3" t="str">
        <f>_xlfn.XLOOKUP(N5,Employees!$A$2:$A$26,Employees!$C$2:$C$26,2)</f>
        <v>Online</v>
      </c>
      <c r="P5" s="3" t="str">
        <f>PROPER('Sales_RAW(BEFORE)'!N5)</f>
        <v>East</v>
      </c>
      <c r="Q5" s="3" t="str">
        <f>VLOOKUP(N5,Employees!$A$2:$B$26,2,FALSE)</f>
        <v>Chicago</v>
      </c>
      <c r="R5" s="3" t="str">
        <f>PROPER('Sales_RAW(BEFORE)'!P5)</f>
        <v>Wayne Llc</v>
      </c>
      <c r="S5" s="3" t="str">
        <f>SUBSTITUTE(SUBSTITUTE('Sales_RAW(BEFORE)'!Q5,"EIN",""),":","")</f>
        <v xml:space="preserve"> 388875967</v>
      </c>
      <c r="T5" s="3" t="s">
        <v>66</v>
      </c>
      <c r="U5" s="3" t="s">
        <v>67</v>
      </c>
      <c r="V5" s="3" t="s">
        <v>68</v>
      </c>
      <c r="W5" s="3" t="s">
        <v>69</v>
      </c>
      <c r="X5" s="3" t="s">
        <v>173</v>
      </c>
      <c r="Y5" s="3" t="str">
        <f>PROPER('Sales_RAW(BEFORE)'!W5)</f>
        <v>Credit Card</v>
      </c>
      <c r="Z5" s="3" t="str">
        <f>PROPER('Sales_RAW(BEFORE)'!X5)</f>
        <v>Delivered</v>
      </c>
      <c r="AA5" s="3" t="str" cm="1">
        <f t="array" ref="AA5">_xlfn.LET(
  _xlpm.val, TRIM(LOWER('Sales_RAW(BEFORE)'!Y5)),
  _xlfn.IFS(
    OR(_xlpm.val="yes", _xlpm.val="paid"), "Paid",
    OR(_xlpm.val="no", _xlpm.val="unpaid"), "Unpaid",
    OR(_xlpm.val="partial", _xlpm.val="partial paid"), "Partial",
    _xlpm.val="", "",
    TRUE, 'Sales_RAW(BEFORE)'!AY5
  )
)</f>
        <v>Paid</v>
      </c>
      <c r="AB5" s="3" t="s">
        <v>74</v>
      </c>
      <c r="AC5" s="3" t="str">
        <f>PROPER('Sales_RAW(BEFORE)'!AA5)</f>
        <v>Online</v>
      </c>
      <c r="AD5" s="3" t="str">
        <f>SUBSTITUTE(SUBSTITUTE(SUBSTITUTE(SUBSTITUTE('Sales_RAW(BEFORE)'!AB5,"st",""),"q",""),"Q",""),"uarter","")</f>
        <v xml:space="preserve">1 </v>
      </c>
      <c r="AE5" s="3" t="str">
        <f>TEXT(IFERROR(DATEVALUE('Sales_RAW(BEFORE)'!AC5 &amp; " 1"), IFERROR(DATE(2025, 'Sales_RAW(BEFORE)'!AC5, 1), 'Sales_RAW(BEFORE)'!AC5)), "mmmm")</f>
        <v>September</v>
      </c>
      <c r="AF5" s="3">
        <f>_xlfn.LET(
  _xlpm.raw, TRIM(SUBSTITUTE('Sales_RAW(BEFORE)'!AD5, "'", "")),
  _xlpm.num, IFERROR(VALUE(_xlpm.raw), 0),
  IF(_xlpm.num &lt; 100, 2000 + _xlpm.num, _xlpm.num)
)</f>
        <v>2025</v>
      </c>
      <c r="AG5" s="3" t="str">
        <f>PROPER('Sales_RAW(BEFORE)'!AE5)</f>
        <v>Immediate</v>
      </c>
      <c r="AH5" s="3" cm="1">
        <f t="array" ref="AH5">_xlfn.LET(
  _xlpm.val, LOWER(TRIM('Sales_RAW(BEFORE)'!AF5)),
  _xlfn.IFS(
    OR(_xlpm.val="", _xlpm.val="null", _xlpm.val="N/A", _xlpm.val="-", _xlpm.val="#N/A"), 0,
    ISNUMBER('Sales_RAW(BEFORE)'!AF5), 'Sales_RAW(BEFORE)'!AF5,
    TRUE, IFERROR(_xlfn.NUMBERVALUE(_xlpm.val), 0)
  )
)</f>
        <v>0</v>
      </c>
      <c r="AI5" s="5">
        <f>IF(IFERROR(VALUE(SUBSTITUTE(SUBSTITUTE(TRIM('Sales_RAW(BEFORE)'!AG5), "%", ""), ",", ".")), 0) &gt; 1, IFERROR(VALUE(SUBSTITUTE(SUBSTITUTE(TRIM('Sales_RAW(BEFORE)'!AG5), "%", ""), ",", ".")), 0) / 100, IFERROR(VALUE(SUBSTITUTE(SUBSTITUTE(TRIM('Sales_RAW(BEFORE)'!AG5), "%", ""), ",", ".")), 0))</f>
        <v>0.08</v>
      </c>
      <c r="AJ5" s="6">
        <f t="shared" ref="AJ5:AJ66" si="1">K5*AI5</f>
        <v>72.273600000000002</v>
      </c>
      <c r="AK5" s="6">
        <f t="shared" ref="AK5:AK66" si="2">AJ5+K5</f>
        <v>975.69360000000006</v>
      </c>
      <c r="AL5" s="6">
        <f>IFERROR(VALUE(SUBSTITUTE(SUBSTITUTE(SUBSTITUTE('Sales_RAW(BEFORE)'!AJ5,"$",""),"USD",""),",",".")),0)</f>
        <v>15.21</v>
      </c>
      <c r="AM5" s="3" t="str">
        <f>SUBSTITUTE(SUBSTITUTE(PROPER('Sales_RAW(BEFORE)'!AK5), "Fed Ex", "FedEx"),"Fedex","FedEx")</f>
        <v>Dhl</v>
      </c>
      <c r="AN5" s="3" t="s">
        <v>80</v>
      </c>
      <c r="AO5" s="3" t="str">
        <f>SUBSTITUTE('Sales_RAW(BEFORE)'!AM5,"kg","")</f>
        <v xml:space="preserve">23.5 </v>
      </c>
      <c r="AP5" s="3" t="str">
        <f>_xlfn.LET(
  _xlpm.raw, UPPER(TRIM('Sales_RAW(BEFORE)'!AN5)),
  _xlpm.clean, RIGHT(_xlpm.raw, 1),
  IF(OR(_xlpm.raw="", _xlpm.raw="null"), "N/A", _xlpm.clean)
)</f>
        <v>B</v>
      </c>
      <c r="AQ5" s="3">
        <v>76</v>
      </c>
      <c r="AR5" s="3" cm="1">
        <f t="array" ref="AR5">_xlfn.LET(
  _xlpm.raw, LOWER(TRIM('Sales_RAW(BEFORE)'!AP5)),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5" s="3" t="s">
        <v>151</v>
      </c>
      <c r="AT5" s="3" t="s">
        <v>243</v>
      </c>
      <c r="AU5" s="3"/>
      <c r="AV5" s="8">
        <f>IF(IFERROR(VALUE(SUBSTITUTE(SUBSTITUTE(TRIM('Sales_RAW(BEFORE)'!AT5), "%", ""), ",", ".")), 0) &gt; 1, IFERROR(VALUE(SUBSTITUTE(SUBSTITUTE(TRIM('Sales_RAW(BEFORE)'!AT5), "%", ""), ",", ".")), 0) / 100, IFERROR(VALUE(SUBSTITUTE(SUBSTITUTE(TRIM('Sales_RAW(BEFORE)'!AT5), "%", ""), ",", ".")), 0))</f>
        <v>0</v>
      </c>
      <c r="AW5" s="6">
        <f>BA5*(_xlfn.XLOOKUP(N5,Employees!$A$2:$A$26,Employees!$E$2:$E$26,2))</f>
        <v>23.416646400000005</v>
      </c>
      <c r="AX5" s="3" t="str">
        <f>PROPER('Sales_RAW(BEFORE)'!AV5)</f>
        <v>Daniel Davis</v>
      </c>
      <c r="AY5" s="3" t="str">
        <f>AX5</f>
        <v>Daniel Davis</v>
      </c>
      <c r="AZ5" s="3" t="s">
        <v>5331</v>
      </c>
      <c r="BA5" s="24">
        <f>AK5*(1-(_xlfn.XLOOKUP(G5, Exchange_Rates!$B$8:$F$8, Exchange_Rates!$B$9:$F$9, 0)+J5))</f>
        <v>780.55488000000014</v>
      </c>
      <c r="BB5" s="7" cm="1">
        <f t="array" ref="BB5">_xlfn.LET(
  _xlpm.raw_dt, SUBSTITUTE(TRIM(C5), ".", "/"),
  _xlpm.dt, IFERROR(DATEVALUE(_xlpm.raw_dt), C5),
  _xlpm.p_code, TRIM(E5),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"Proveri datum")
)</f>
        <v>46653</v>
      </c>
      <c r="BC5" s="25">
        <f>BA5*AV5</f>
        <v>0</v>
      </c>
    </row>
    <row r="6" spans="1:55" ht="15.75" thickBot="1" x14ac:dyDescent="0.3">
      <c r="A6" s="3" t="s">
        <v>86</v>
      </c>
      <c r="B6" s="10">
        <v>45893</v>
      </c>
      <c r="C6" s="4">
        <v>45900</v>
      </c>
      <c r="D6" s="3" t="str">
        <f>"P-" &amp; TEXT(VALUE(SUBSTITUTE(SUBSTITUTE(SUBSTITUTE(UPPER(TRIM('Sales_RAW(BEFORE)'!D6)), "P", ""), "-", ""), "_", "")),"000")</f>
        <v>P-052</v>
      </c>
      <c r="E6" s="3" t="str">
        <f>VLOOKUP(D6,Product_List!$A$2:$B$61,2,FALSE)</f>
        <v>Laptop Max 52</v>
      </c>
      <c r="F6" s="3" t="str">
        <f>_xlfn.XLOOKUP(E6,Product_List!$B$2:$B$61,Product_List!$E$2:$E$61,2)</f>
        <v>TechSupply Co</v>
      </c>
      <c r="G6" s="3" t="str">
        <f>VLOOKUP(E6,Product_List!$B$2:$C$61,2,FALSE)</f>
        <v>Furniture</v>
      </c>
      <c r="H6" s="3" t="str">
        <f>SUBSTITUTE(SUBSTITUTE('Sales_RAW(BEFORE)'!G6,"kom",""),".","")</f>
        <v>2</v>
      </c>
      <c r="I6" s="6">
        <f>VLOOKUP(E6,Product_List!$B$2:$D$61,3,FALSE)</f>
        <v>1467.86</v>
      </c>
      <c r="J6" s="5">
        <f>IF(IFERROR(VALUE(SUBSTITUTE(SUBSTITUTE(TRIM('Sales_RAW(BEFORE)'!I6), "%", ""), ",", ".")), 0) &gt; 1, IFERROR(VALUE(SUBSTITUTE(SUBSTITUTE(TRIM('Sales_RAW(BEFORE)'!I6), "%", ""), ",", ".")), 0) / 100, IFERROR(VALUE(SUBSTITUTE(SUBSTITUTE(TRIM('Sales_RAW(BEFORE)'!I6), "%", ""), ",", ".")), 0))</f>
        <v>0.1</v>
      </c>
      <c r="K6" s="6">
        <f t="shared" si="0"/>
        <v>2935.72</v>
      </c>
      <c r="L6" s="6" t="str" cm="1">
        <f t="array" ref="L6">_xlfn.LET(
  _xlpm.valuta, UPPER(TRIM('Sales_RAW(BEFORE)'!K6)),
  _xlfn.IFS(
    _xlpm.valuta = "", "",
    OR(_xlpm.valuta = "USD", _xlpm.valuta = "$"), "$",
    OR(_xlpm.valuta = "EUR", _xlpm.valuta = "€"), "€",
    TRUE, _xlpm.valuta
  )
)</f>
        <v>$</v>
      </c>
      <c r="M6" s="3" t="str">
        <f>"E" &amp; TEXT(VALUE(SUBSTITUTE(SUBSTITUTE(SUBSTITUTE(UPPER(TRIM('Sales_RAW(BEFORE)'!L6)), "EMP", ""), "E", ""), "-", "")),"000")</f>
        <v>E023</v>
      </c>
      <c r="N6" s="3" t="str">
        <f>_xlfn.XLOOKUP(M6,Employees!$D$2:$D$26,Employees!$A$2:$A$26)</f>
        <v>Laura Anderson</v>
      </c>
      <c r="O6" s="3" t="str">
        <f>_xlfn.XLOOKUP(N6,Employees!$A$2:$A$26,Employees!$C$2:$C$26,2)</f>
        <v>Sales</v>
      </c>
      <c r="P6" s="3" t="str">
        <f>PROPER('Sales_RAW(BEFORE)'!N6)</f>
        <v>North</v>
      </c>
      <c r="Q6" s="3" t="str">
        <f>VLOOKUP(N6,Employees!$A$2:$B$26,2,FALSE)</f>
        <v>Seattle</v>
      </c>
      <c r="R6" s="3" t="str">
        <f>PROPER('Sales_RAW(BEFORE)'!P6)</f>
        <v xml:space="preserve">Wayne Inc   </v>
      </c>
      <c r="S6" s="3" t="str">
        <f>SUBSTITUTE(SUBSTITUTE('Sales_RAW(BEFORE)'!Q6,"EIN",""),":","")</f>
        <v>790161495</v>
      </c>
      <c r="T6" s="3" t="s">
        <v>99</v>
      </c>
      <c r="U6" s="3" t="s">
        <v>100</v>
      </c>
      <c r="V6" s="3" t="s">
        <v>101</v>
      </c>
      <c r="W6" s="3" t="s">
        <v>102</v>
      </c>
      <c r="X6" s="3" t="s">
        <v>173</v>
      </c>
      <c r="Y6" s="3" t="str">
        <f>PROPER('Sales_RAW(BEFORE)'!W6)</f>
        <v>Cash</v>
      </c>
      <c r="Z6" s="3" t="str">
        <f>PROPER('Sales_RAW(BEFORE)'!X6)</f>
        <v>Cancelled</v>
      </c>
      <c r="AA6" s="3" t="str" cm="1">
        <f t="array" ref="AA6">_xlfn.LET(
  _xlpm.val, TRIM(LOWER('Sales_RAW(BEFORE)'!Y6)),
  _xlfn.IFS(
    OR(_xlpm.val="yes", _xlpm.val="paid"), "Paid",
    OR(_xlpm.val="no", _xlpm.val="unpaid"), "Unpaid",
    OR(_xlpm.val="partial", _xlpm.val="partial paid"), "Partial",
    _xlpm.val="", "",
    TRUE, 'Sales_RAW(BEFORE)'!AY6
  )
)</f>
        <v>Partial</v>
      </c>
      <c r="AB6" s="3" t="s">
        <v>107</v>
      </c>
      <c r="AC6" s="3" t="str">
        <f>PROPER('Sales_RAW(BEFORE)'!AA6)</f>
        <v>Phone</v>
      </c>
      <c r="AD6" s="3" t="str">
        <f>SUBSTITUTE(SUBSTITUTE(SUBSTITUTE(SUBSTITUTE('Sales_RAW(BEFORE)'!AB6,"st",""),"q",""),"Q",""),"uarter","")</f>
        <v>1</v>
      </c>
      <c r="AE6" s="3" t="str">
        <f>TEXT(IFERROR(DATEVALUE('Sales_RAW(BEFORE)'!AC6 &amp; " 1"), IFERROR(DATE(2025, 'Sales_RAW(BEFORE)'!AC6, 1), 'Sales_RAW(BEFORE)'!AC6)), "mmmm")</f>
        <v>August</v>
      </c>
      <c r="AF6" s="3">
        <f>_xlfn.LET(
  _xlpm.raw, TRIM(SUBSTITUTE('Sales_RAW(BEFORE)'!AD6, "'", "")),
  _xlpm.num, IFERROR(VALUE(_xlpm.raw), 0),
  IF(_xlpm.num &lt; 100, 2000 + _xlpm.num, _xlpm.num)
)</f>
        <v>2025</v>
      </c>
      <c r="AG6" s="3" t="str">
        <f>PROPER('Sales_RAW(BEFORE)'!AE6)</f>
        <v>Net 60</v>
      </c>
      <c r="AH6" s="3" cm="1">
        <f t="array" ref="AH6">_xlfn.LET(
  _xlpm.val, LOWER(TRIM('Sales_RAW(BEFORE)'!AF6)),
  _xlfn.IFS(
    OR(_xlpm.val="", _xlpm.val="null", _xlpm.val="N/A", _xlpm.val="-", _xlpm.val="#N/A"), 0,
    ISNUMBER('Sales_RAW(BEFORE)'!AF6), 'Sales_RAW(BEFORE)'!AF6,
    TRUE, IFERROR(_xlfn.NUMBERVALUE(_xlpm.val), 0)
  )
)</f>
        <v>10</v>
      </c>
      <c r="AI6" s="5">
        <f>IF(IFERROR(VALUE(SUBSTITUTE(SUBSTITUTE(TRIM('Sales_RAW(BEFORE)'!AG6), "%", ""), ",", ".")), 0) &gt; 1, IFERROR(VALUE(SUBSTITUTE(SUBSTITUTE(TRIM('Sales_RAW(BEFORE)'!AG6), "%", ""), ",", ".")), 0) / 100, IFERROR(VALUE(SUBSTITUTE(SUBSTITUTE(TRIM('Sales_RAW(BEFORE)'!AG6), "%", ""), ",", ".")), 0))</f>
        <v>0.08</v>
      </c>
      <c r="AJ6" s="6">
        <f t="shared" si="1"/>
        <v>234.85759999999999</v>
      </c>
      <c r="AK6" s="6">
        <f t="shared" si="2"/>
        <v>3170.5775999999996</v>
      </c>
      <c r="AL6" s="6">
        <f>IFERROR(VALUE(SUBSTITUTE(SUBSTITUTE(SUBSTITUTE('Sales_RAW(BEFORE)'!AJ6,"$",""),"USD",""),",",".")),0)</f>
        <v>14.48</v>
      </c>
      <c r="AM6" s="3" t="str">
        <f>SUBSTITUTE(SUBSTITUTE(PROPER('Sales_RAW(BEFORE)'!AK6), "Fed Ex", "FedEx"),"Fedex","FedEx")</f>
        <v>Ups</v>
      </c>
      <c r="AN6" s="3" t="s">
        <v>114</v>
      </c>
      <c r="AO6" s="3" t="str">
        <f>SUBSTITUTE('Sales_RAW(BEFORE)'!AM6,"kg","")</f>
        <v>6,4</v>
      </c>
      <c r="AP6" s="3" t="str">
        <f>_xlfn.LET(
  _xlpm.raw, UPPER(TRIM('Sales_RAW(BEFORE)'!AN6)),
  _xlpm.clean, RIGHT(_xlpm.raw, 1),
  IF(OR(_xlpm.raw="", _xlpm.raw="null"), "N/A", _xlpm.clean)
)</f>
        <v>A</v>
      </c>
      <c r="AQ6" s="3">
        <v>72</v>
      </c>
      <c r="AR6" s="3" cm="1">
        <f t="array" ref="AR6">_xlfn.LET(
  _xlpm.raw, LOWER(TRIM('Sales_RAW(BEFORE)'!AP6)),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6" s="3" t="s">
        <v>242</v>
      </c>
      <c r="AT6" s="3"/>
      <c r="AU6" s="3"/>
      <c r="AV6" s="8">
        <f>IF(IFERROR(VALUE(SUBSTITUTE(SUBSTITUTE(TRIM('Sales_RAW(BEFORE)'!AT6), "%", ""), ",", ".")), 0) &gt; 1, IFERROR(VALUE(SUBSTITUTE(SUBSTITUTE(TRIM('Sales_RAW(BEFORE)'!AT6), "%", ""), ",", ".")), 0) / 100, IFERROR(VALUE(SUBSTITUTE(SUBSTITUTE(TRIM('Sales_RAW(BEFORE)'!AT6), "%", ""), ",", ".")), 0))</f>
        <v>0.15</v>
      </c>
      <c r="AW6" s="6">
        <f>BA6*(_xlfn.XLOOKUP(N6,Employees!$A$2:$A$26,Employees!$E$2:$E$26,2))</f>
        <v>50.729241599999995</v>
      </c>
      <c r="AX6" s="3" t="str">
        <f>PROPER('Sales_RAW(BEFORE)'!AV6)</f>
        <v xml:space="preserve">  John Williams</v>
      </c>
      <c r="AY6" s="3" t="str">
        <f t="shared" ref="AY6:AY67" si="3">AX6</f>
        <v xml:space="preserve">  John Williams</v>
      </c>
      <c r="AZ6" s="3" t="s">
        <v>5332</v>
      </c>
      <c r="BA6" s="24">
        <f>AK6*(1-(_xlfn.XLOOKUP(G6, Exchange_Rates!$B$8:$F$8, Exchange_Rates!$B$9:$F$9, 0)+J6))</f>
        <v>2536.4620799999998</v>
      </c>
      <c r="BB6" s="7" cm="1">
        <f t="array" ref="BB6">_xlfn.LET(
  _xlpm.raw_dt, SUBSTITUTE(TRIM(C6), ".", "/"),
  _xlpm.dt, IFERROR(DATEVALUE(_xlpm.raw_dt), C6),
  _xlpm.p_code, TRIM(E6),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"Proveri datum")
)</f>
        <v>46996</v>
      </c>
      <c r="BC6" s="25">
        <f t="shared" ref="BC6:BC67" si="4">BA6*AV6</f>
        <v>380.46931199999995</v>
      </c>
    </row>
    <row r="7" spans="1:55" ht="15.75" thickBot="1" x14ac:dyDescent="0.3">
      <c r="A7" s="3" t="s">
        <v>123</v>
      </c>
      <c r="B7" s="10">
        <v>46119</v>
      </c>
      <c r="C7" s="4">
        <v>46125</v>
      </c>
      <c r="D7" s="3" t="str">
        <f>"P-" &amp; TEXT(VALUE(SUBSTITUTE(SUBSTITUTE(SUBSTITUTE(UPPER(TRIM('Sales_RAW(BEFORE)'!D7)), "P", ""), "-", ""), "_", "")),"000")</f>
        <v>P-032</v>
      </c>
      <c r="E7" s="3" t="str">
        <f>VLOOKUP(D7,Product_List!$A$2:$B$61,2,FALSE)</f>
        <v>Cable Basic 32</v>
      </c>
      <c r="F7" s="3" t="str">
        <f>_xlfn.XLOOKUP(E7,Product_List!$B$2:$B$61,Product_List!$E$2:$E$61,2)</f>
        <v>OfficeHub</v>
      </c>
      <c r="G7" s="3" t="str">
        <f>VLOOKUP(E7,Product_List!$B$2:$C$61,2,FALSE)</f>
        <v>Software</v>
      </c>
      <c r="H7" s="3" t="str">
        <f>SUBSTITUTE(SUBSTITUTE('Sales_RAW(BEFORE)'!G7,"kom",""),".","")</f>
        <v xml:space="preserve">20 </v>
      </c>
      <c r="I7" s="6">
        <f>VLOOKUP(E7,Product_List!$B$2:$D$61,3,FALSE)</f>
        <v>1479.77</v>
      </c>
      <c r="J7" s="5">
        <f>IF(IFERROR(VALUE(SUBSTITUTE(SUBSTITUTE(TRIM('Sales_RAW(BEFORE)'!I7), "%", ""), ",", ".")), 0) &gt; 1, IFERROR(VALUE(SUBSTITUTE(SUBSTITUTE(TRIM('Sales_RAW(BEFORE)'!I7), "%", ""), ",", ".")), 0) / 100, IFERROR(VALUE(SUBSTITUTE(SUBSTITUTE(TRIM('Sales_RAW(BEFORE)'!I7), "%", ""), ",", ".")), 0))</f>
        <v>0</v>
      </c>
      <c r="K7" s="6">
        <f t="shared" si="0"/>
        <v>29595.4</v>
      </c>
      <c r="L7" s="6" t="str" cm="1">
        <f t="array" ref="L7">_xlfn.LET(
  _xlpm.valuta, UPPER(TRIM('Sales_RAW(BEFORE)'!K7)),
  _xlfn.IFS(
    _xlpm.valuta = "", "",
    OR(_xlpm.valuta = "USD", _xlpm.valuta = "$"), "$",
    OR(_xlpm.valuta = "EUR", _xlpm.valuta = "€"), "€",
    TRUE, _xlpm.valuta
  )
)</f>
        <v>$</v>
      </c>
      <c r="M7" s="3" t="str">
        <f>"E" &amp; TEXT(VALUE(SUBSTITUTE(SUBSTITUTE(SUBSTITUTE(UPPER(TRIM('Sales_RAW(BEFORE)'!L7)), "EMP", ""), "E", ""), "-", "")),"000")</f>
        <v>E022</v>
      </c>
      <c r="N7" s="3" t="str">
        <f>_xlfn.XLOOKUP(M7,Employees!$D$2:$D$26,Employees!$A$2:$A$26)</f>
        <v>Chris Williams</v>
      </c>
      <c r="O7" s="3" t="str">
        <f>_xlfn.XLOOKUP(N7,Employees!$A$2:$A$26,Employees!$C$2:$C$26,2)</f>
        <v>Sales</v>
      </c>
      <c r="P7" s="3" t="str">
        <f>PROPER('Sales_RAW(BEFORE)'!N7)</f>
        <v>South</v>
      </c>
      <c r="Q7" s="3" t="str">
        <f>VLOOKUP(N7,Employees!$A$2:$B$26,2,FALSE)</f>
        <v>Boston</v>
      </c>
      <c r="R7" s="3" t="str">
        <f>PROPER('Sales_RAW(BEFORE)'!P7)</f>
        <v>Umbrella Inc</v>
      </c>
      <c r="S7" s="3" t="str">
        <f>SUBSTITUTE(SUBSTITUTE('Sales_RAW(BEFORE)'!Q7,"EIN",""),":","")</f>
        <v>943040526</v>
      </c>
      <c r="T7" s="3" t="s">
        <v>139</v>
      </c>
      <c r="U7" s="3" t="s">
        <v>140</v>
      </c>
      <c r="V7" s="3" t="s">
        <v>141</v>
      </c>
      <c r="W7" s="3" t="s">
        <v>142</v>
      </c>
      <c r="X7" s="3" t="s">
        <v>173</v>
      </c>
      <c r="Y7" s="3" t="str">
        <f>PROPER('Sales_RAW(BEFORE)'!W7)</f>
        <v>Credit Card</v>
      </c>
      <c r="Z7" s="3" t="str">
        <f>PROPER('Sales_RAW(BEFORE)'!X7)</f>
        <v>Cancelled</v>
      </c>
      <c r="AA7" s="3" t="str" cm="1">
        <f t="array" ref="AA7">_xlfn.LET(
  _xlpm.val, TRIM(LOWER('Sales_RAW(BEFORE)'!Y7)),
  _xlfn.IFS(
    OR(_xlpm.val="yes", _xlpm.val="paid"), "Paid",
    OR(_xlpm.val="no", _xlpm.val="unpaid"), "Unpaid",
    OR(_xlpm.val="partial", _xlpm.val="partial paid"), "Partial",
    _xlpm.val="", "",
    TRUE, 'Sales_RAW(BEFORE)'!AY7
  )
)</f>
        <v>Partial</v>
      </c>
      <c r="AB7" s="3" t="s">
        <v>143</v>
      </c>
      <c r="AC7" s="3" t="str">
        <f>PROPER('Sales_RAW(BEFORE)'!AA7)</f>
        <v>Store</v>
      </c>
      <c r="AD7" s="3" t="str">
        <f>SUBSTITUTE(SUBSTITUTE(SUBSTITUTE(SUBSTITUTE('Sales_RAW(BEFORE)'!AB7,"st",""),"q",""),"Q",""),"uarter","")</f>
        <v xml:space="preserve">1 </v>
      </c>
      <c r="AE7" s="3" t="str">
        <f>TEXT(IFERROR(DATEVALUE('Sales_RAW(BEFORE)'!AC7 &amp; " 1"), IFERROR(DATE(2025, 'Sales_RAW(BEFORE)'!AC7, 1), 'Sales_RAW(BEFORE)'!AC7)), "mmmm")</f>
        <v>April</v>
      </c>
      <c r="AF7" s="3">
        <f>_xlfn.LET(
  _xlpm.raw, TRIM(SUBSTITUTE('Sales_RAW(BEFORE)'!AD7, "'", "")),
  _xlpm.num, IFERROR(VALUE(_xlpm.raw), 0),
  IF(_xlpm.num &lt; 100, 2000 + _xlpm.num, _xlpm.num)
)</f>
        <v>2026</v>
      </c>
      <c r="AG7" s="3" t="str">
        <f>PROPER('Sales_RAW(BEFORE)'!AE7)</f>
        <v>Net 60</v>
      </c>
      <c r="AH7" s="3" cm="1">
        <f t="array" ref="AH7">_xlfn.LET(
  _xlpm.val, LOWER(TRIM('Sales_RAW(BEFORE)'!AF7)),
  _xlfn.IFS(
    OR(_xlpm.val="", _xlpm.val="null", _xlpm.val="N/A", _xlpm.val="-", _xlpm.val="#N/A"), 0,
    ISNUMBER('Sales_RAW(BEFORE)'!AF7), 'Sales_RAW(BEFORE)'!AF7,
    TRUE, IFERROR(_xlfn.NUMBERVALUE(_xlpm.val), 0)
  )
)</f>
        <v>51</v>
      </c>
      <c r="AI7" s="5">
        <f>IF(IFERROR(VALUE(SUBSTITUTE(SUBSTITUTE(TRIM('Sales_RAW(BEFORE)'!AG7), "%", ""), ",", ".")), 0) &gt; 1, IFERROR(VALUE(SUBSTITUTE(SUBSTITUTE(TRIM('Sales_RAW(BEFORE)'!AG7), "%", ""), ",", ".")), 0) / 100, IFERROR(VALUE(SUBSTITUTE(SUBSTITUTE(TRIM('Sales_RAW(BEFORE)'!AG7), "%", ""), ",", ".")), 0))</f>
        <v>0.08</v>
      </c>
      <c r="AJ7" s="6">
        <f t="shared" si="1"/>
        <v>2367.6320000000001</v>
      </c>
      <c r="AK7" s="6">
        <f t="shared" si="2"/>
        <v>31963.032000000003</v>
      </c>
      <c r="AL7" s="6">
        <f>IFERROR(VALUE(SUBSTITUTE(SUBSTITUTE(SUBSTITUTE('Sales_RAW(BEFORE)'!AJ7,"$",""),"USD",""),",",".")),0)</f>
        <v>24.16</v>
      </c>
      <c r="AM7" s="3" t="str">
        <f>SUBSTITUTE(SUBSTITUTE(PROPER('Sales_RAW(BEFORE)'!AK7), "Fed Ex", "FedEx"),"Fedex","FedEx")</f>
        <v>FedEx</v>
      </c>
      <c r="AN7" s="3" t="s">
        <v>148</v>
      </c>
      <c r="AO7" s="3" t="str">
        <f>SUBSTITUTE('Sales_RAW(BEFORE)'!AM7,"kg","")</f>
        <v>24,37</v>
      </c>
      <c r="AP7" s="3" t="str">
        <f>_xlfn.LET(
  _xlpm.raw, UPPER(TRIM('Sales_RAW(BEFORE)'!AN7)),
  _xlpm.clean, RIGHT(_xlpm.raw, 1),
  IF(OR(_xlpm.raw="", _xlpm.raw="null"), "N/A", _xlpm.clean)
)</f>
        <v>A</v>
      </c>
      <c r="AQ7" s="3">
        <v>231</v>
      </c>
      <c r="AR7" s="9"/>
      <c r="AS7" s="3"/>
      <c r="AT7" s="3"/>
      <c r="AU7" s="3"/>
      <c r="AV7" s="8">
        <f>IF(IFERROR(VALUE(SUBSTITUTE(SUBSTITUTE(TRIM('Sales_RAW(BEFORE)'!AT7), "%", ""), ",", ".")), 0) &gt; 1, IFERROR(VALUE(SUBSTITUTE(SUBSTITUTE(TRIM('Sales_RAW(BEFORE)'!AT7), "%", ""), ",", ".")), 0) / 100, IFERROR(VALUE(SUBSTITUTE(SUBSTITUTE(TRIM('Sales_RAW(BEFORE)'!AT7), "%", ""), ",", ".")), 0))</f>
        <v>0.18</v>
      </c>
      <c r="AW7" s="6">
        <f>BA7*(_xlfn.XLOOKUP(N7,Employees!$A$2:$A$26,Employees!$E$2:$E$26,2))</f>
        <v>815.05731600000001</v>
      </c>
      <c r="AX7" s="3" t="str">
        <f>PROPER('Sales_RAW(BEFORE)'!AV7)</f>
        <v>Emma Williams</v>
      </c>
      <c r="AY7" s="3" t="str">
        <f t="shared" si="3"/>
        <v>Emma Williams</v>
      </c>
      <c r="AZ7" s="3" t="s">
        <v>246</v>
      </c>
      <c r="BA7" s="24">
        <f>AK7*(1-(_xlfn.XLOOKUP(G7, Exchange_Rates!$B$8:$F$8, Exchange_Rates!$B$9:$F$9, 0)+J7))</f>
        <v>27168.577200000003</v>
      </c>
      <c r="BB7" s="7" cm="1">
        <f t="array" ref="BB7">_xlfn.LET(
  _xlpm.raw_dt, SUBSTITUTE(TRIM(C7), ".", "/"),
  _xlpm.dt, IFERROR(DATEVALUE(_xlpm.raw_dt), C7),
  _xlpm.p_code, TRIM(E7),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"Proveri datum")
)</f>
        <v>47221</v>
      </c>
      <c r="BC7" s="25">
        <f t="shared" si="4"/>
        <v>4890.3438960000003</v>
      </c>
    </row>
    <row r="8" spans="1:55" ht="15.75" thickBot="1" x14ac:dyDescent="0.3">
      <c r="A8" s="3" t="s">
        <v>154</v>
      </c>
      <c r="B8" s="10">
        <v>46050</v>
      </c>
      <c r="C8" s="4">
        <v>46144</v>
      </c>
      <c r="D8" s="3" t="str">
        <f>"P-" &amp; TEXT(VALUE(SUBSTITUTE(SUBSTITUTE(SUBSTITUTE(UPPER(TRIM('Sales_RAW(BEFORE)'!D8)), "P", ""), "-", ""), "_", "")),"000")</f>
        <v>P-048</v>
      </c>
      <c r="E8" s="3" t="str">
        <f>VLOOKUP(D8,Product_List!$A$2:$B$61,2,FALSE)</f>
        <v>License Plus 48</v>
      </c>
      <c r="F8" s="3" t="str">
        <f>_xlfn.XLOOKUP(E8,Product_List!$B$2:$B$61,Product_List!$E$2:$E$61,2)</f>
        <v>BestParts</v>
      </c>
      <c r="G8" s="3" t="str">
        <f>VLOOKUP(E8,Product_List!$B$2:$C$61,2,FALSE)</f>
        <v>Software</v>
      </c>
      <c r="H8" s="3" t="str">
        <f>SUBSTITUTE(SUBSTITUTE('Sales_RAW(BEFORE)'!G8,"kom",""),".","")</f>
        <v xml:space="preserve">34 </v>
      </c>
      <c r="I8" s="6">
        <f>VLOOKUP(E8,Product_List!$B$2:$D$61,3,FALSE)</f>
        <v>471.22</v>
      </c>
      <c r="J8" s="5">
        <f>IF(IFERROR(VALUE(SUBSTITUTE(SUBSTITUTE(TRIM('Sales_RAW(BEFORE)'!I8), "%", ""), ",", ".")), 0) &gt; 1, IFERROR(VALUE(SUBSTITUTE(SUBSTITUTE(TRIM('Sales_RAW(BEFORE)'!I8), "%", ""), ",", ".")), 0) / 100, IFERROR(VALUE(SUBSTITUTE(SUBSTITUTE(TRIM('Sales_RAW(BEFORE)'!I8), "%", ""), ",", ".")), 0))</f>
        <v>0.05</v>
      </c>
      <c r="K8" s="6">
        <f t="shared" si="0"/>
        <v>16021.480000000001</v>
      </c>
      <c r="L8" s="6" t="str" cm="1">
        <f t="array" ref="L8">_xlfn.LET(
  _xlpm.valuta, UPPER(TRIM('Sales_RAW(BEFORE)'!K8)),
  _xlfn.IFS(
    _xlpm.valuta = "", "",
    OR(_xlpm.valuta = "USD", _xlpm.valuta = "$"), "$",
    OR(_xlpm.valuta = "EUR", _xlpm.valuta = "€"), "€",
    TRUE, _xlpm.valuta
  )
)</f>
        <v>$</v>
      </c>
      <c r="M8" s="3" t="str">
        <f>"E" &amp; TEXT(VALUE(SUBSTITUTE(SUBSTITUTE(SUBSTITUTE(UPPER(TRIM('Sales_RAW(BEFORE)'!L8)), "EMP", ""), "E", ""), "-", "")),"000")</f>
        <v>E014</v>
      </c>
      <c r="N8" s="3" t="str">
        <f>_xlfn.XLOOKUP(M8,Employees!$D$2:$D$26,Employees!$A$2:$A$26)</f>
        <v>Sophia Brown</v>
      </c>
      <c r="O8" s="3" t="str">
        <f>_xlfn.XLOOKUP(N8,Employees!$A$2:$A$26,Employees!$C$2:$C$26,2)</f>
        <v>Online</v>
      </c>
      <c r="P8" s="3" t="str">
        <f>PROPER('Sales_RAW(BEFORE)'!N8)</f>
        <v>West</v>
      </c>
      <c r="Q8" s="3" t="str">
        <f>VLOOKUP(N8,Employees!$A$2:$B$26,2,FALSE)</f>
        <v>New York</v>
      </c>
      <c r="R8" s="3" t="str">
        <f>PROPER('Sales_RAW(BEFORE)'!P8)</f>
        <v xml:space="preserve"> Initech Inc   </v>
      </c>
      <c r="S8" s="3" t="str">
        <f>SUBSTITUTE(SUBSTITUTE('Sales_RAW(BEFORE)'!Q8,"EIN",""),":","")</f>
        <v xml:space="preserve"> 986261507</v>
      </c>
      <c r="T8" s="3" t="s">
        <v>169</v>
      </c>
      <c r="U8" s="3" t="s">
        <v>170</v>
      </c>
      <c r="V8" s="3" t="s">
        <v>171</v>
      </c>
      <c r="W8" s="3" t="s">
        <v>172</v>
      </c>
      <c r="X8" s="3" t="s">
        <v>173</v>
      </c>
      <c r="Y8" s="3" t="str">
        <f>PROPER('Sales_RAW(BEFORE)'!W8)</f>
        <v>Credit Card</v>
      </c>
      <c r="Z8" s="3" t="str">
        <f>PROPER('Sales_RAW(BEFORE)'!X8)</f>
        <v>Processing</v>
      </c>
      <c r="AA8" s="3" t="str" cm="1">
        <f t="array" ref="AA8">_xlfn.LET(
  _xlpm.val, TRIM(LOWER('Sales_RAW(BEFORE)'!Y8)),
  _xlfn.IFS(
    OR(_xlpm.val="yes", _xlpm.val="paid"), "Paid",
    OR(_xlpm.val="no", _xlpm.val="unpaid"), "Unpaid",
    OR(_xlpm.val="partial", _xlpm.val="partial paid"), "Partial",
    _xlpm.val="", "",
    TRUE, 'Sales_RAW(BEFORE)'!AY8
  )
)</f>
        <v>Paid</v>
      </c>
      <c r="AB8" s="3" t="s">
        <v>177</v>
      </c>
      <c r="AC8" s="3" t="str">
        <f>PROPER('Sales_RAW(BEFORE)'!AA8)</f>
        <v>Online</v>
      </c>
      <c r="AD8" s="3" t="str">
        <f>SUBSTITUTE(SUBSTITUTE(SUBSTITUTE(SUBSTITUTE('Sales_RAW(BEFORE)'!AB8,"st",""),"q",""),"Q",""),"uarter","")</f>
        <v>1</v>
      </c>
      <c r="AE8" s="3" t="str">
        <f>TEXT(IFERROR(DATEVALUE('Sales_RAW(BEFORE)'!AC8 &amp; " 1"), IFERROR(DATE(2025, 'Sales_RAW(BEFORE)'!AC8, 1), 'Sales_RAW(BEFORE)'!AC8)), "mmmm")</f>
        <v>January</v>
      </c>
      <c r="AF8" s="3">
        <f>_xlfn.LET(
  _xlpm.raw, TRIM(SUBSTITUTE('Sales_RAW(BEFORE)'!AD8, "'", "")),
  _xlpm.num, IFERROR(VALUE(_xlpm.raw), 0),
  IF(_xlpm.num &lt; 100, 2000 + _xlpm.num, _xlpm.num)
)</f>
        <v>2026</v>
      </c>
      <c r="AG8" s="3" t="str">
        <f>PROPER('Sales_RAW(BEFORE)'!AE8)</f>
        <v>15</v>
      </c>
      <c r="AH8" s="3" cm="1">
        <f t="array" ref="AH8">_xlfn.LET(
  _xlpm.val, LOWER(TRIM('Sales_RAW(BEFORE)'!AF8)),
  _xlfn.IFS(
    OR(_xlpm.val="", _xlpm.val="null", _xlpm.val="N/A", _xlpm.val="-", _xlpm.val="#N/A"), 0,
    ISNUMBER('Sales_RAW(BEFORE)'!AF8), 'Sales_RAW(BEFORE)'!AF8,
    TRUE, IFERROR(_xlfn.NUMBERVALUE(_xlpm.val), 0)
  )
)</f>
        <v>0</v>
      </c>
      <c r="AI8" s="5">
        <f>IF(IFERROR(VALUE(SUBSTITUTE(SUBSTITUTE(TRIM('Sales_RAW(BEFORE)'!AG8), "%", ""), ",", ".")), 0) &gt; 1, IFERROR(VALUE(SUBSTITUTE(SUBSTITUTE(TRIM('Sales_RAW(BEFORE)'!AG8), "%", ""), ",", ".")), 0) / 100, IFERROR(VALUE(SUBSTITUTE(SUBSTITUTE(TRIM('Sales_RAW(BEFORE)'!AG8), "%", ""), ",", ".")), 0))</f>
        <v>0.08</v>
      </c>
      <c r="AJ8" s="6">
        <f t="shared" si="1"/>
        <v>1281.7184000000002</v>
      </c>
      <c r="AK8" s="6">
        <f t="shared" si="2"/>
        <v>17303.198400000001</v>
      </c>
      <c r="AL8" s="6">
        <f>IFERROR(VALUE(SUBSTITUTE(SUBSTITUTE(SUBSTITUTE('Sales_RAW(BEFORE)'!AJ8,"$",""),"USD",""),",",".")),0)</f>
        <v>49.82</v>
      </c>
      <c r="AM8" s="3" t="str">
        <f>SUBSTITUTE(SUBSTITUTE(PROPER('Sales_RAW(BEFORE)'!AK8), "Fed Ex", "FedEx"),"Fedex","FedEx")</f>
        <v>Usps</v>
      </c>
      <c r="AN8" s="3" t="s">
        <v>184</v>
      </c>
      <c r="AO8" s="3" t="str">
        <f>SUBSTITUTE('Sales_RAW(BEFORE)'!AM8,"kg","")</f>
        <v xml:space="preserve">16.5 </v>
      </c>
      <c r="AP8" s="3" t="str">
        <f>_xlfn.LET(
  _xlpm.raw, UPPER(TRIM('Sales_RAW(BEFORE)'!AN8)),
  _xlpm.clean, RIGHT(_xlpm.raw, 1),
  IF(OR(_xlpm.raw="", _xlpm.raw="null"), "N/A", _xlpm.clean)
)</f>
        <v>B</v>
      </c>
      <c r="AQ8" s="3">
        <v>0</v>
      </c>
      <c r="AR8" s="3" cm="1">
        <f t="array" ref="AR8">_xlfn.LET(
  _xlpm.raw, LOWER(TRIM('Sales_RAW(BEFORE)'!AP8)),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8" s="3" t="s">
        <v>610</v>
      </c>
      <c r="AT8" s="3"/>
      <c r="AU8" s="3"/>
      <c r="AV8" s="8">
        <f>IF(IFERROR(VALUE(SUBSTITUTE(SUBSTITUTE(TRIM('Sales_RAW(BEFORE)'!AT8), "%", ""), ",", ".")), 0) &gt; 1, IFERROR(VALUE(SUBSTITUTE(SUBSTITUTE(TRIM('Sales_RAW(BEFORE)'!AT8), "%", ""), ",", ".")), 0) / 100, IFERROR(VALUE(SUBSTITUTE(SUBSTITUTE(TRIM('Sales_RAW(BEFORE)'!AT8), "%", ""), ",", ".")), 0))</f>
        <v>0</v>
      </c>
      <c r="AW8" s="6">
        <f>BA8*(_xlfn.XLOOKUP(N8,Employees!$A$2:$A$26,Employees!$E$2:$E$26,2))</f>
        <v>415.27676159999999</v>
      </c>
      <c r="AX8" s="3" t="str">
        <f>PROPER('Sales_RAW(BEFORE)'!AV8)</f>
        <v>Sarah Davis</v>
      </c>
      <c r="AY8" s="3" t="str">
        <f t="shared" si="3"/>
        <v>Sarah Davis</v>
      </c>
      <c r="AZ8" s="3" t="s">
        <v>5333</v>
      </c>
      <c r="BA8" s="24">
        <f>AK8*(1-(_xlfn.XLOOKUP(G8, Exchange_Rates!$B$8:$F$8, Exchange_Rates!$B$9:$F$9, 0)+J8))</f>
        <v>13842.558720000001</v>
      </c>
      <c r="BB8" s="7" cm="1">
        <f t="array" ref="BB8">_xlfn.LET(
  _xlpm.raw_dt, SUBSTITUTE(TRIM(C8), ".", "/"),
  _xlpm.dt, IFERROR(DATEVALUE(_xlpm.raw_dt), C8),
  _xlpm.p_code, TRIM(E8),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"Proveri datum")
)</f>
        <v>46509</v>
      </c>
      <c r="BC8" s="25">
        <f t="shared" si="4"/>
        <v>0</v>
      </c>
    </row>
    <row r="9" spans="1:55" ht="15.75" thickBot="1" x14ac:dyDescent="0.3">
      <c r="A9" s="3" t="s">
        <v>192</v>
      </c>
      <c r="B9" s="10">
        <v>46174</v>
      </c>
      <c r="C9" s="4">
        <v>46271</v>
      </c>
      <c r="D9" s="3" t="str">
        <f>"P-" &amp; TEXT(VALUE(SUBSTITUTE(SUBSTITUTE(SUBSTITUTE(UPPER(TRIM('Sales_RAW(BEFORE)'!D9)), "P", ""), "-", ""), "_", "")),"000")</f>
        <v>P-001</v>
      </c>
      <c r="E9" s="3" t="str">
        <f>VLOOKUP(D9,Product_List!$A$2:$B$61,2,FALSE)</f>
        <v>Desk X 1</v>
      </c>
      <c r="F9" s="3" t="str">
        <f>_xlfn.XLOOKUP(E9,Product_List!$B$2:$B$61,Product_List!$E$2:$E$61,2)</f>
        <v>Global Distrib</v>
      </c>
      <c r="G9" s="3" t="str">
        <f>VLOOKUP(E9,Product_List!$B$2:$C$61,2,FALSE)</f>
        <v>Software</v>
      </c>
      <c r="H9" s="3" t="str">
        <f>SUBSTITUTE(SUBSTITUTE('Sales_RAW(BEFORE)'!G9,"kom",""),".","")</f>
        <v>14</v>
      </c>
      <c r="I9" s="6">
        <f>VLOOKUP(E9,Product_List!$B$2:$D$61,3,FALSE)</f>
        <v>978.15</v>
      </c>
      <c r="J9" s="5">
        <f>IF(IFERROR(VALUE(SUBSTITUTE(SUBSTITUTE(TRIM('Sales_RAW(BEFORE)'!I9), "%", ""), ",", ".")), 0) &gt; 1, IFERROR(VALUE(SUBSTITUTE(SUBSTITUTE(TRIM('Sales_RAW(BEFORE)'!I9), "%", ""), ",", ".")), 0) / 100, IFERROR(VALUE(SUBSTITUTE(SUBSTITUTE(TRIM('Sales_RAW(BEFORE)'!I9), "%", ""), ",", ".")), 0))</f>
        <v>0.1</v>
      </c>
      <c r="K9" s="6">
        <f t="shared" si="0"/>
        <v>13694.1</v>
      </c>
      <c r="L9" s="6" t="str" cm="1">
        <f t="array" ref="L9">_xlfn.LET(
  _xlpm.valuta, UPPER(TRIM('Sales_RAW(BEFORE)'!K9)),
  _xlfn.IFS(
    _xlpm.valuta = "", "",
    OR(_xlpm.valuta = "USD", _xlpm.valuta = "$"), "$",
    OR(_xlpm.valuta = "EUR", _xlpm.valuta = "€"), "€",
    TRUE, _xlpm.valuta
  )
)</f>
        <v>$</v>
      </c>
      <c r="M9" s="3" t="str">
        <f>"E" &amp; TEXT(VALUE(SUBSTITUTE(SUBSTITUTE(SUBSTITUTE(UPPER(TRIM('Sales_RAW(BEFORE)'!L9)), "EMP", ""), "E", ""), "-", "")),"000")</f>
        <v>E010</v>
      </c>
      <c r="N9" s="3" t="str">
        <f>_xlfn.XLOOKUP(M9,Employees!$D$2:$D$26,Employees!$A$2:$A$26)</f>
        <v>Olivia Anderson</v>
      </c>
      <c r="O9" s="3" t="str">
        <f>_xlfn.XLOOKUP(N9,Employees!$A$2:$A$26,Employees!$C$2:$C$26,2)</f>
        <v>Online</v>
      </c>
      <c r="P9" s="3" t="str">
        <f>PROPER('Sales_RAW(BEFORE)'!N9)</f>
        <v>South</v>
      </c>
      <c r="Q9" s="3" t="str">
        <f>VLOOKUP(N9,Employees!$A$2:$B$26,2,FALSE)</f>
        <v>Houston</v>
      </c>
      <c r="R9" s="3" t="str">
        <f>PROPER('Sales_RAW(BEFORE)'!P9)</f>
        <v>Initech Inc</v>
      </c>
      <c r="S9" s="3" t="str">
        <f>SUBSTITUTE(SUBSTITUTE('Sales_RAW(BEFORE)'!Q9,"EIN",""),":","")</f>
        <v xml:space="preserve"> 134245587</v>
      </c>
      <c r="T9" s="3" t="s">
        <v>201</v>
      </c>
      <c r="U9" s="3" t="s">
        <v>202</v>
      </c>
      <c r="V9" s="3" t="s">
        <v>203</v>
      </c>
      <c r="W9" s="3" t="s">
        <v>204</v>
      </c>
      <c r="X9" s="3" t="s">
        <v>173</v>
      </c>
      <c r="Y9" s="3" t="str">
        <f>PROPER('Sales_RAW(BEFORE)'!W9)</f>
        <v>Wire Transfer</v>
      </c>
      <c r="Z9" s="3" t="str">
        <f>PROPER('Sales_RAW(BEFORE)'!X9)</f>
        <v>Delivered</v>
      </c>
      <c r="AA9" s="3" t="str" cm="1">
        <f t="array" ref="AA9">_xlfn.LET(
  _xlpm.val, TRIM(LOWER('Sales_RAW(BEFORE)'!Y9)),
  _xlfn.IFS(
    OR(_xlpm.val="yes", _xlpm.val="paid"), "Paid",
    OR(_xlpm.val="no", _xlpm.val="unpaid"), "Unpaid",
    OR(_xlpm.val="partial", _xlpm.val="partial paid"), "Partial",
    _xlpm.val="", "",
    TRUE, 'Sales_RAW(BEFORE)'!AY9
  )
)</f>
        <v>Paid</v>
      </c>
      <c r="AB9" s="3" t="s">
        <v>208</v>
      </c>
      <c r="AC9" s="3" t="str">
        <f>PROPER('Sales_RAW(BEFORE)'!AA9)</f>
        <v>Phone</v>
      </c>
      <c r="AD9" s="3" t="str">
        <f>SUBSTITUTE(SUBSTITUTE(SUBSTITUTE(SUBSTITUTE('Sales_RAW(BEFORE)'!AB9,"st",""),"q",""),"Q",""),"uarter","")</f>
        <v>1</v>
      </c>
      <c r="AE9" s="3" t="str">
        <f>TEXT(IFERROR(DATEVALUE('Sales_RAW(BEFORE)'!AC9 &amp; " 1"), IFERROR(DATE(2025, 'Sales_RAW(BEFORE)'!AC9, 1), 'Sales_RAW(BEFORE)'!AC9)), "mmmm")</f>
        <v>June</v>
      </c>
      <c r="AF9" s="3">
        <f>_xlfn.LET(
  _xlpm.raw, TRIM(SUBSTITUTE('Sales_RAW(BEFORE)'!AD9, "'", "")),
  _xlpm.num, IFERROR(VALUE(_xlpm.raw), 0),
  IF(_xlpm.num &lt; 100, 2000 + _xlpm.num, _xlpm.num)
)</f>
        <v>2026</v>
      </c>
      <c r="AG9" s="3" t="str">
        <f>PROPER('Sales_RAW(BEFORE)'!AE9)</f>
        <v>Immediate</v>
      </c>
      <c r="AH9" s="3" cm="1">
        <f t="array" ref="AH9">_xlfn.LET(
  _xlpm.val, LOWER(TRIM('Sales_RAW(BEFORE)'!AF9)),
  _xlfn.IFS(
    OR(_xlpm.val="", _xlpm.val="null", _xlpm.val="N/A", _xlpm.val="-", _xlpm.val="#N/A"), 0,
    ISNUMBER('Sales_RAW(BEFORE)'!AF9), 'Sales_RAW(BEFORE)'!AF9,
    TRUE, IFERROR(_xlfn.NUMBERVALUE(_xlpm.val), 0)
  )
)</f>
        <v>24</v>
      </c>
      <c r="AI9" s="5">
        <f>IF(IFERROR(VALUE(SUBSTITUTE(SUBSTITUTE(TRIM('Sales_RAW(BEFORE)'!AG9), "%", ""), ",", ".")), 0) &gt; 1, IFERROR(VALUE(SUBSTITUTE(SUBSTITUTE(TRIM('Sales_RAW(BEFORE)'!AG9), "%", ""), ",", ".")), 0) / 100, IFERROR(VALUE(SUBSTITUTE(SUBSTITUTE(TRIM('Sales_RAW(BEFORE)'!AG9), "%", ""), ",", ".")), 0))</f>
        <v>0.08</v>
      </c>
      <c r="AJ9" s="6">
        <f t="shared" si="1"/>
        <v>1095.528</v>
      </c>
      <c r="AK9" s="6">
        <f t="shared" si="2"/>
        <v>14789.628000000001</v>
      </c>
      <c r="AL9" s="6">
        <f>IFERROR(VALUE(SUBSTITUTE(SUBSTITUTE(SUBSTITUTE('Sales_RAW(BEFORE)'!AJ9,"$",""),"USD",""),",",".")),0)</f>
        <v>2</v>
      </c>
      <c r="AM9" s="3" t="str">
        <f>SUBSTITUTE(SUBSTITUTE(PROPER('Sales_RAW(BEFORE)'!AK9), "Fed Ex", "FedEx"),"Fedex","FedEx")</f>
        <v>Usps</v>
      </c>
      <c r="AN9" s="3" t="s">
        <v>213</v>
      </c>
      <c r="AO9" s="3" t="str">
        <f>SUBSTITUTE('Sales_RAW(BEFORE)'!AM9,"kg","")</f>
        <v>11.33</v>
      </c>
      <c r="AP9" s="3" t="str">
        <f>_xlfn.LET(
  _xlpm.raw, UPPER(TRIM('Sales_RAW(BEFORE)'!AN9)),
  _xlpm.clean, RIGHT(_xlpm.raw, 1),
  IF(OR(_xlpm.raw="", _xlpm.raw="null"), "N/A", _xlpm.clean)
)</f>
        <v>B</v>
      </c>
      <c r="AQ9" s="3">
        <v>99</v>
      </c>
      <c r="AR9" s="3" cm="1">
        <f t="array" ref="AR9">_xlfn.LET(
  _xlpm.raw, LOWER(TRIM('Sales_RAW(BEFORE)'!AP9)),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9" s="3"/>
      <c r="AT9" s="3"/>
      <c r="AU9" s="3"/>
      <c r="AV9" s="8">
        <f>IF(IFERROR(VALUE(SUBSTITUTE(SUBSTITUTE(TRIM('Sales_RAW(BEFORE)'!AT9), "%", ""), ",", ".")), 0) &gt; 1, IFERROR(VALUE(SUBSTITUTE(SUBSTITUTE(TRIM('Sales_RAW(BEFORE)'!AT9), "%", ""), ",", ".")), 0) / 100, IFERROR(VALUE(SUBSTITUTE(SUBSTITUTE(TRIM('Sales_RAW(BEFORE)'!AT9), "%", ""), ",", ".")), 0))</f>
        <v>0.15</v>
      </c>
      <c r="AW9" s="6">
        <f>BA9*(_xlfn.XLOOKUP(N9,Employees!$A$2:$A$26,Employees!$E$2:$E$26,2))</f>
        <v>332.76663000000002</v>
      </c>
      <c r="AX9" s="3" t="str">
        <f>PROPER('Sales_RAW(BEFORE)'!AV9)</f>
        <v>Laura Brown</v>
      </c>
      <c r="AY9" s="3" t="str">
        <f t="shared" si="3"/>
        <v>Laura Brown</v>
      </c>
      <c r="AZ9" s="3"/>
      <c r="BA9" s="24">
        <f>AK9*(1-(_xlfn.XLOOKUP(G9, Exchange_Rates!$B$8:$F$8, Exchange_Rates!$B$9:$F$9, 0)+J9))</f>
        <v>11092.221000000001</v>
      </c>
      <c r="BB9" s="7" cm="1">
        <f t="array" ref="BB9">_xlfn.LET(
  _xlpm.raw_dt, SUBSTITUTE(TRIM(C9), ".", "/"),
  _xlpm.dt, IFERROR(DATEVALUE(_xlpm.raw_dt), C9),
  _xlpm.p_code, TRIM(E9),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"Proveri datum")
)</f>
        <v>47002</v>
      </c>
      <c r="BC9" s="25">
        <f t="shared" si="4"/>
        <v>1663.8331500000002</v>
      </c>
    </row>
    <row r="10" spans="1:55" ht="15.75" thickBot="1" x14ac:dyDescent="0.3">
      <c r="A10" s="3" t="s">
        <v>217</v>
      </c>
      <c r="B10" s="10">
        <v>45767</v>
      </c>
      <c r="C10" s="4">
        <v>45752</v>
      </c>
      <c r="D10" s="3" t="str">
        <f>"P-" &amp; TEXT(VALUE(SUBSTITUTE(SUBSTITUTE(SUBSTITUTE(UPPER(TRIM('Sales_RAW(BEFORE)'!D10)), "P", ""), "-", ""), "_", "")),"000")</f>
        <v>P-053</v>
      </c>
      <c r="E10" s="3" t="str">
        <f>VLOOKUP(D10,Product_List!$A$2:$B$61,2,FALSE)</f>
        <v>Monitor Basic 53</v>
      </c>
      <c r="F10" s="3" t="str">
        <f>_xlfn.XLOOKUP(E10,Product_List!$B$2:$B$61,Product_List!$E$2:$E$61,2)</f>
        <v>Global Distrib</v>
      </c>
      <c r="G10" s="3" t="str">
        <f>VLOOKUP(E10,Product_List!$B$2:$C$61,2,FALSE)</f>
        <v>Equipment</v>
      </c>
      <c r="H10" s="3" t="str">
        <f>SUBSTITUTE(SUBSTITUTE('Sales_RAW(BEFORE)'!G10,"kom",""),".","")</f>
        <v xml:space="preserve">30 </v>
      </c>
      <c r="I10" s="6">
        <f>VLOOKUP(E10,Product_List!$B$2:$D$61,3,FALSE)</f>
        <v>553.22</v>
      </c>
      <c r="J10" s="5">
        <f>IF(IFERROR(VALUE(SUBSTITUTE(SUBSTITUTE(TRIM('Sales_RAW(BEFORE)'!I10), "%", ""), ",", ".")), 0) &gt; 1, IFERROR(VALUE(SUBSTITUTE(SUBSTITUTE(TRIM('Sales_RAW(BEFORE)'!I10), "%", ""), ",", ".")), 0) / 100, IFERROR(VALUE(SUBSTITUTE(SUBSTITUTE(TRIM('Sales_RAW(BEFORE)'!I10), "%", ""), ",", ".")), 0))</f>
        <v>0.1</v>
      </c>
      <c r="K10" s="6">
        <f t="shared" si="0"/>
        <v>16596.600000000002</v>
      </c>
      <c r="L10" s="6" t="str" cm="1">
        <f t="array" ref="L10">_xlfn.LET(
  _xlpm.valuta, UPPER(TRIM('Sales_RAW(BEFORE)'!K10)),
  _xlfn.IFS(
    _xlpm.valuta = "", "",
    OR(_xlpm.valuta = "USD", _xlpm.valuta = "$"), "$",
    OR(_xlpm.valuta = "EUR", _xlpm.valuta = "€"), "€",
    TRUE, _xlpm.valuta
  )
)</f>
        <v>$</v>
      </c>
      <c r="M10" s="3" t="str">
        <f>"E" &amp; TEXT(VALUE(SUBSTITUTE(SUBSTITUTE(SUBSTITUTE(UPPER(TRIM('Sales_RAW(BEFORE)'!L10)), "EMP", ""), "E", ""), "-", "")),"000")</f>
        <v>E008</v>
      </c>
      <c r="N10" s="3" t="str">
        <f>_xlfn.XLOOKUP(M10,Employees!$D$2:$D$26,Employees!$A$2:$A$26)</f>
        <v>Michael Williams</v>
      </c>
      <c r="O10" s="3" t="str">
        <f>_xlfn.XLOOKUP(N10,Employees!$A$2:$A$26,Employees!$C$2:$C$26,2)</f>
        <v>Wholesale</v>
      </c>
      <c r="P10" s="3" t="str">
        <f>PROPER('Sales_RAW(BEFORE)'!N10)</f>
        <v>North</v>
      </c>
      <c r="Q10" s="3" t="str">
        <f>VLOOKUP(N10,Employees!$A$2:$B$26,2,FALSE)</f>
        <v>New York</v>
      </c>
      <c r="R10" s="3" t="str">
        <f>PROPER('Sales_RAW(BEFORE)'!P10)</f>
        <v xml:space="preserve"> Vortex Inc</v>
      </c>
      <c r="S10" s="3" t="str">
        <f>SUBSTITUTE(SUBSTITUTE('Sales_RAW(BEFORE)'!Q10,"EIN",""),":","")</f>
        <v>862110984</v>
      </c>
      <c r="T10" s="3" t="s">
        <v>229</v>
      </c>
      <c r="U10" s="3" t="s">
        <v>230</v>
      </c>
      <c r="V10" s="3" t="s">
        <v>231</v>
      </c>
      <c r="W10" s="3" t="s">
        <v>232</v>
      </c>
      <c r="X10" s="3" t="s">
        <v>173</v>
      </c>
      <c r="Y10" s="3" t="str">
        <f>PROPER('Sales_RAW(BEFORE)'!W10)</f>
        <v>Wire Transfer</v>
      </c>
      <c r="Z10" s="3" t="str">
        <f>PROPER('Sales_RAW(BEFORE)'!X10)</f>
        <v>Delivered</v>
      </c>
      <c r="AA10" s="3" t="str" cm="1">
        <f t="array" ref="AA10">_xlfn.LET(
  _xlpm.val, TRIM(LOWER('Sales_RAW(BEFORE)'!Y10)),
  _xlfn.IFS(
    OR(_xlpm.val="yes", _xlpm.val="paid"), "Paid",
    OR(_xlpm.val="no", _xlpm.val="unpaid"), "Unpaid",
    OR(_xlpm.val="partial", _xlpm.val="partial paid"), "Partial",
    _xlpm.val="", "",
    TRUE, 'Sales_RAW(BEFORE)'!AY10
  )
)</f>
        <v>Paid</v>
      </c>
      <c r="AB10" s="3" t="s">
        <v>235</v>
      </c>
      <c r="AC10" s="3" t="str">
        <f>PROPER('Sales_RAW(BEFORE)'!AA10)</f>
        <v>Web</v>
      </c>
      <c r="AD10" s="3" t="str">
        <f>SUBSTITUTE(SUBSTITUTE(SUBSTITUTE(SUBSTITUTE('Sales_RAW(BEFORE)'!AB10,"st",""),"q",""),"Q",""),"uarter","")</f>
        <v>1</v>
      </c>
      <c r="AE10" s="3" t="str">
        <f>TEXT(IFERROR(DATEVALUE('Sales_RAW(BEFORE)'!AC10 &amp; " 1"), IFERROR(DATE(2025, 'Sales_RAW(BEFORE)'!AC10, 1), 'Sales_RAW(BEFORE)'!AC10)), "mmmm")</f>
        <v>April</v>
      </c>
      <c r="AF10" s="3">
        <f>_xlfn.LET(
  _xlpm.raw, TRIM(SUBSTITUTE('Sales_RAW(BEFORE)'!AD10, "'", "")),
  _xlpm.num, IFERROR(VALUE(_xlpm.raw), 0),
  IF(_xlpm.num &lt; 100, 2000 + _xlpm.num, _xlpm.num)
)</f>
        <v>2025</v>
      </c>
      <c r="AG10" s="3" t="str">
        <f>PROPER('Sales_RAW(BEFORE)'!AE10)</f>
        <v>15</v>
      </c>
      <c r="AH10" s="3" cm="1">
        <f t="array" ref="AH10">_xlfn.LET(
  _xlpm.val, LOWER(TRIM('Sales_RAW(BEFORE)'!AF10)),
  _xlfn.IFS(
    OR(_xlpm.val="", _xlpm.val="null", _xlpm.val="N/A", _xlpm.val="-", _xlpm.val="#N/A"), 0,
    ISNUMBER('Sales_RAW(BEFORE)'!AF10), 'Sales_RAW(BEFORE)'!AF10,
    TRUE, IFERROR(_xlfn.NUMBERVALUE(_xlpm.val), 0)
  )
)</f>
        <v>0</v>
      </c>
      <c r="AI10" s="5">
        <f>IF(IFERROR(VALUE(SUBSTITUTE(SUBSTITUTE(TRIM('Sales_RAW(BEFORE)'!AG10), "%", ""), ",", ".")), 0) &gt; 1, IFERROR(VALUE(SUBSTITUTE(SUBSTITUTE(TRIM('Sales_RAW(BEFORE)'!AG10), "%", ""), ",", ".")), 0) / 100, IFERROR(VALUE(SUBSTITUTE(SUBSTITUTE(TRIM('Sales_RAW(BEFORE)'!AG10), "%", ""), ",", ".")), 0))</f>
        <v>0.08</v>
      </c>
      <c r="AJ10" s="6">
        <f t="shared" si="1"/>
        <v>1327.7280000000003</v>
      </c>
      <c r="AK10" s="6">
        <f t="shared" si="2"/>
        <v>17924.328000000001</v>
      </c>
      <c r="AL10" s="6">
        <f>IFERROR(VALUE(SUBSTITUTE(SUBSTITUTE(SUBSTITUTE('Sales_RAW(BEFORE)'!AJ10,"$",""),"USD",""),",",".")),0)</f>
        <v>25.37</v>
      </c>
      <c r="AM10" s="3" t="str">
        <f>SUBSTITUTE(SUBSTITUTE(PROPER('Sales_RAW(BEFORE)'!AK10), "Fed Ex", "FedEx"),"Fedex","FedEx")</f>
        <v>FedEx</v>
      </c>
      <c r="AN10" s="3" t="s">
        <v>241</v>
      </c>
      <c r="AO10" s="3" t="str">
        <f>SUBSTITUTE('Sales_RAW(BEFORE)'!AM10,"kg","")</f>
        <v>29.73</v>
      </c>
      <c r="AP10" s="3" t="str">
        <f>_xlfn.LET(
  _xlpm.raw, UPPER(TRIM('Sales_RAW(BEFORE)'!AN10)),
  _xlpm.clean, RIGHT(_xlpm.raw, 1),
  IF(OR(_xlpm.raw="", _xlpm.raw="null"), "N/A", _xlpm.clean)
)</f>
        <v>B</v>
      </c>
      <c r="AQ10" s="3">
        <v>468</v>
      </c>
      <c r="AR10" s="3" cm="1">
        <f t="array" ref="AR10">_xlfn.LET(
  _xlpm.raw, LOWER(TRIM('Sales_RAW(BEFORE)'!AP10)),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0" s="3"/>
      <c r="AT10" s="3"/>
      <c r="AU10" s="3"/>
      <c r="AV10" s="8">
        <f>IF(IFERROR(VALUE(SUBSTITUTE(SUBSTITUTE(TRIM('Sales_RAW(BEFORE)'!AT10), "%", ""), ",", ".")), 0) &gt; 1, IFERROR(VALUE(SUBSTITUTE(SUBSTITUTE(TRIM('Sales_RAW(BEFORE)'!AT10), "%", ""), ",", ".")), 0) / 100, IFERROR(VALUE(SUBSTITUTE(SUBSTITUTE(TRIM('Sales_RAW(BEFORE)'!AT10), "%", ""), ",", ".")), 0))</f>
        <v>0.18</v>
      </c>
      <c r="AW10" s="6">
        <f>BA10*(_xlfn.XLOOKUP(N10,Employees!$A$2:$A$26,Employees!$E$2:$E$26,2))</f>
        <v>716.97312000000011</v>
      </c>
      <c r="AX10" s="3" t="str">
        <f>PROPER('Sales_RAW(BEFORE)'!AV10)</f>
        <v>Chris Davis</v>
      </c>
      <c r="AY10" s="3" t="str">
        <f t="shared" si="3"/>
        <v>Chris Davis</v>
      </c>
      <c r="AZ10" s="3"/>
      <c r="BA10" s="24">
        <f>AK10*(1-(_xlfn.XLOOKUP(G10, Exchange_Rates!$B$8:$F$8, Exchange_Rates!$B$9:$F$9, 0)+J10))</f>
        <v>14339.462400000002</v>
      </c>
      <c r="BB10" s="7" cm="1">
        <f t="array" ref="BB10">_xlfn.LET(
  _xlpm.raw_dt, SUBSTITUTE(TRIM(C10), ".", "/"),
  _xlpm.dt, IFERROR(DATEVALUE(_xlpm.raw_dt), C10),
  _xlpm.p_code, TRIM(E10),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"Proveri datum")
)</f>
        <v>46482</v>
      </c>
      <c r="BC10" s="25">
        <f t="shared" si="4"/>
        <v>2581.1032320000004</v>
      </c>
    </row>
    <row r="11" spans="1:55" ht="15.75" thickBot="1" x14ac:dyDescent="0.3">
      <c r="A11" s="3" t="s">
        <v>247</v>
      </c>
      <c r="B11" s="10">
        <v>46187</v>
      </c>
      <c r="C11" s="4">
        <v>46193</v>
      </c>
      <c r="D11" s="3" t="str">
        <f>"P-" &amp; TEXT(VALUE(SUBSTITUTE(SUBSTITUTE(SUBSTITUTE(UPPER(TRIM('Sales_RAW(BEFORE)'!D11)), "P", ""), "-", ""), "_", "")),"000")</f>
        <v>P-004</v>
      </c>
      <c r="E11" s="3" t="str">
        <f>VLOOKUP(D11,Product_List!$A$2:$B$61,2,FALSE)</f>
        <v>Printer Plus 4</v>
      </c>
      <c r="F11" s="3" t="str">
        <f>_xlfn.XLOOKUP(E11,Product_List!$B$2:$B$61,Product_List!$E$2:$E$61,2)</f>
        <v>OfficeHub</v>
      </c>
      <c r="G11" s="3" t="str">
        <f>VLOOKUP(E11,Product_List!$B$2:$C$61,2,FALSE)</f>
        <v>Electronics</v>
      </c>
      <c r="H11" s="3" t="str">
        <f>SUBSTITUTE(SUBSTITUTE('Sales_RAW(BEFORE)'!G11,"kom",""),".","")</f>
        <v xml:space="preserve">7 </v>
      </c>
      <c r="I11" s="6">
        <f>VLOOKUP(E11,Product_List!$B$2:$D$61,3,FALSE)</f>
        <v>364.79</v>
      </c>
      <c r="J11" s="5">
        <f>IF(IFERROR(VALUE(SUBSTITUTE(SUBSTITUTE(TRIM('Sales_RAW(BEFORE)'!I11), "%", ""), ",", ".")), 0) &gt; 1, IFERROR(VALUE(SUBSTITUTE(SUBSTITUTE(TRIM('Sales_RAW(BEFORE)'!I11), "%", ""), ",", ".")), 0) / 100, IFERROR(VALUE(SUBSTITUTE(SUBSTITUTE(TRIM('Sales_RAW(BEFORE)'!I11), "%", ""), ",", ".")), 0))</f>
        <v>0.1</v>
      </c>
      <c r="K11" s="6">
        <f t="shared" si="0"/>
        <v>2553.5300000000002</v>
      </c>
      <c r="L11" s="6" t="str" cm="1">
        <f t="array" ref="L11">_xlfn.LET(
  _xlpm.valuta, UPPER(TRIM('Sales_RAW(BEFORE)'!K11)),
  _xlfn.IFS(
    _xlpm.valuta = "", "",
    OR(_xlpm.valuta = "USD", _xlpm.valuta = "$"), "$",
    OR(_xlpm.valuta = "EUR", _xlpm.valuta = "€"), "€",
    TRUE, _xlpm.valuta
  )
)</f>
        <v>$</v>
      </c>
      <c r="M11" s="3" t="str">
        <f>"E" &amp; TEXT(VALUE(SUBSTITUTE(SUBSTITUTE(SUBSTITUTE(UPPER(TRIM('Sales_RAW(BEFORE)'!L11)), "EMP", ""), "E", ""), "-", "")),"000")</f>
        <v>E015</v>
      </c>
      <c r="N11" s="3" t="str">
        <f>_xlfn.XLOOKUP(M11,Employees!$D$2:$D$26,Employees!$A$2:$A$26)</f>
        <v>Sarah Jones</v>
      </c>
      <c r="O11" s="3" t="str">
        <f>_xlfn.XLOOKUP(N11,Employees!$A$2:$A$26,Employees!$C$2:$C$26,2)</f>
        <v>Wholesale</v>
      </c>
      <c r="P11" s="3" t="str">
        <f>PROPER('Sales_RAW(BEFORE)'!N11)</f>
        <v>South</v>
      </c>
      <c r="Q11" s="3" t="str">
        <f>VLOOKUP(N11,Employees!$A$2:$B$26,2,FALSE)</f>
        <v>Boston</v>
      </c>
      <c r="R11" s="3" t="str">
        <f>PROPER('Sales_RAW(BEFORE)'!P11)</f>
        <v xml:space="preserve"> Stark Inc.</v>
      </c>
      <c r="S11" s="3" t="str">
        <f>SUBSTITUTE(SUBSTITUTE('Sales_RAW(BEFORE)'!Q11,"EIN",""),":","")</f>
        <v xml:space="preserve"> 986739414</v>
      </c>
      <c r="T11" s="3" t="s">
        <v>258</v>
      </c>
      <c r="U11" s="3" t="s">
        <v>259</v>
      </c>
      <c r="V11" s="3" t="s">
        <v>260</v>
      </c>
      <c r="W11" s="3" t="s">
        <v>261</v>
      </c>
      <c r="X11" s="3" t="s">
        <v>173</v>
      </c>
      <c r="Y11" s="3" t="str">
        <f>PROPER('Sales_RAW(BEFORE)'!W11)</f>
        <v>Credit Card</v>
      </c>
      <c r="Z11" s="3" t="str">
        <f>PROPER('Sales_RAW(BEFORE)'!X11)</f>
        <v>Delivered</v>
      </c>
      <c r="AA11" s="3" t="str" cm="1">
        <f t="array" ref="AA11">_xlfn.LET(
  _xlpm.val, TRIM(LOWER('Sales_RAW(BEFORE)'!Y11)),
  _xlfn.IFS(
    OR(_xlpm.val="yes", _xlpm.val="paid"), "Paid",
    OR(_xlpm.val="no", _xlpm.val="unpaid"), "Unpaid",
    OR(_xlpm.val="partial", _xlpm.val="partial paid"), "Partial",
    _xlpm.val="", "",
    TRUE, 'Sales_RAW(BEFORE)'!AY11
  )
)</f>
        <v>Paid</v>
      </c>
      <c r="AB11" s="3" t="s">
        <v>262</v>
      </c>
      <c r="AC11" s="3" t="str">
        <f>PROPER('Sales_RAW(BEFORE)'!AA11)</f>
        <v>Online</v>
      </c>
      <c r="AD11" s="3" t="str">
        <f>SUBSTITUTE(SUBSTITUTE(SUBSTITUTE(SUBSTITUTE('Sales_RAW(BEFORE)'!AB11,"st",""),"q",""),"Q",""),"uarter","")</f>
        <v>3</v>
      </c>
      <c r="AE11" s="3" t="str">
        <f>TEXT(IFERROR(DATEVALUE('Sales_RAW(BEFORE)'!AC11 &amp; " 1"), IFERROR(DATE(2025, 'Sales_RAW(BEFORE)'!AC11, 1), 'Sales_RAW(BEFORE)'!AC11)), "mmmm")</f>
        <v>June</v>
      </c>
      <c r="AF11" s="3">
        <f>_xlfn.LET(
  _xlpm.raw, TRIM(SUBSTITUTE('Sales_RAW(BEFORE)'!AD11, "'", "")),
  _xlpm.num, IFERROR(VALUE(_xlpm.raw), 0),
  IF(_xlpm.num &lt; 100, 2000 + _xlpm.num, _xlpm.num)
)</f>
        <v>2026</v>
      </c>
      <c r="AG11" s="3" t="str">
        <f>PROPER('Sales_RAW(BEFORE)'!AE11)</f>
        <v>15</v>
      </c>
      <c r="AH11" s="3" cm="1">
        <f t="array" ref="AH11">_xlfn.LET(
  _xlpm.val, LOWER(TRIM('Sales_RAW(BEFORE)'!AF11)),
  _xlfn.IFS(
    OR(_xlpm.val="", _xlpm.val="null", _xlpm.val="N/A", _xlpm.val="-", _xlpm.val="#N/A"), 0,
    ISNUMBER('Sales_RAW(BEFORE)'!AF11), 'Sales_RAW(BEFORE)'!AF11,
    TRUE, IFERROR(_xlfn.NUMBERVALUE(_xlpm.val), 0)
  )
)</f>
        <v>34</v>
      </c>
      <c r="AI11" s="5">
        <f>IF(IFERROR(VALUE(SUBSTITUTE(SUBSTITUTE(TRIM('Sales_RAW(BEFORE)'!AG11), "%", ""), ",", ".")), 0) &gt; 1, IFERROR(VALUE(SUBSTITUTE(SUBSTITUTE(TRIM('Sales_RAW(BEFORE)'!AG11), "%", ""), ",", ".")), 0) / 100, IFERROR(VALUE(SUBSTITUTE(SUBSTITUTE(TRIM('Sales_RAW(BEFORE)'!AG11), "%", ""), ",", ".")), 0))</f>
        <v>0.08</v>
      </c>
      <c r="AJ11" s="6">
        <f t="shared" si="1"/>
        <v>204.28240000000002</v>
      </c>
      <c r="AK11" s="6">
        <f t="shared" si="2"/>
        <v>2757.8124000000003</v>
      </c>
      <c r="AL11" s="6">
        <f>IFERROR(VALUE(SUBSTITUTE(SUBSTITUTE(SUBSTITUTE('Sales_RAW(BEFORE)'!AJ11,"$",""),"USD",""),",",".")),0)</f>
        <v>40.909999999999997</v>
      </c>
      <c r="AM11" s="3" t="str">
        <f>SUBSTITUTE(SUBSTITUTE(PROPER('Sales_RAW(BEFORE)'!AK11), "Fed Ex", "FedEx"),"Fedex","FedEx")</f>
        <v>Dhl</v>
      </c>
      <c r="AN11" s="3" t="s">
        <v>265</v>
      </c>
      <c r="AO11" s="3" t="str">
        <f>SUBSTITUTE('Sales_RAW(BEFORE)'!AM11,"kg","")</f>
        <v>22,73</v>
      </c>
      <c r="AP11" s="3" t="str">
        <f>_xlfn.LET(
  _xlpm.raw, UPPER(TRIM('Sales_RAW(BEFORE)'!AN11)),
  _xlpm.clean, RIGHT(_xlpm.raw, 1),
  IF(OR(_xlpm.raw="", _xlpm.raw="null"), "N/A", _xlpm.clean)
)</f>
        <v>C</v>
      </c>
      <c r="AQ11" s="3">
        <v>56</v>
      </c>
      <c r="AR11" s="3" cm="1">
        <f t="array" ref="AR11">_xlfn.LET(
  _xlpm.raw, LOWER(TRIM('Sales_RAW(BEFORE)'!AP11)),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1" s="3"/>
      <c r="AT11" s="3"/>
      <c r="AU11" s="3"/>
      <c r="AV11" s="8">
        <f>IF(IFERROR(VALUE(SUBSTITUTE(SUBSTITUTE(TRIM('Sales_RAW(BEFORE)'!AT11), "%", ""), ",", ".")), 0) &gt; 1, IFERROR(VALUE(SUBSTITUTE(SUBSTITUTE(TRIM('Sales_RAW(BEFORE)'!AT11), "%", ""), ",", ".")), 0) / 100, IFERROR(VALUE(SUBSTITUTE(SUBSTITUTE(TRIM('Sales_RAW(BEFORE)'!AT11), "%", ""), ",", ".")), 0))</f>
        <v>0.15</v>
      </c>
      <c r="AW11" s="6">
        <f>BA11*(_xlfn.XLOOKUP(N11,Employees!$A$2:$A$26,Employees!$E$2:$E$26,2))</f>
        <v>66.1874976</v>
      </c>
      <c r="AX11" s="3" t="str">
        <f>PROPER('Sales_RAW(BEFORE)'!AV11)</f>
        <v xml:space="preserve">  Sophia Johnson</v>
      </c>
      <c r="AY11" s="3" t="str">
        <f t="shared" si="3"/>
        <v xml:space="preserve">  Sophia Johnson</v>
      </c>
      <c r="AZ11" s="3"/>
      <c r="BA11" s="24">
        <f>AK11*(1-(_xlfn.XLOOKUP(G11, Exchange_Rates!$B$8:$F$8, Exchange_Rates!$B$9:$F$9, 0)+J11))</f>
        <v>2206.2499200000002</v>
      </c>
      <c r="BB11" s="7" cm="1">
        <f t="array" ref="BB11">_xlfn.LET(
  _xlpm.raw_dt, SUBSTITUTE(TRIM(C11), ".", "/"),
  _xlpm.dt, IFERROR(DATEVALUE(_xlpm.raw_dt), C11),
  _xlpm.p_code, TRIM(E11),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"Proveri datum")
)</f>
        <v>46924</v>
      </c>
      <c r="BC11" s="25">
        <f t="shared" si="4"/>
        <v>330.93748800000003</v>
      </c>
    </row>
    <row r="12" spans="1:55" ht="15.75" thickBot="1" x14ac:dyDescent="0.3">
      <c r="A12" s="3" t="s">
        <v>271</v>
      </c>
      <c r="B12" s="10">
        <v>45664</v>
      </c>
      <c r="C12" s="4">
        <v>45670</v>
      </c>
      <c r="D12" s="3" t="str">
        <f>"P-" &amp; TEXT(VALUE(SUBSTITUTE(SUBSTITUTE(SUBSTITUTE(UPPER(TRIM('Sales_RAW(BEFORE)'!D12)), "P", ""), "-", ""), "_", "")),"000")</f>
        <v>P-039</v>
      </c>
      <c r="E12" s="3" t="str">
        <f>VLOOKUP(D12,Product_List!$A$2:$B$61,2,FALSE)</f>
        <v>Cable Plus 39</v>
      </c>
      <c r="F12" s="3" t="str">
        <f>_xlfn.XLOOKUP(E12,Product_List!$B$2:$B$61,Product_List!$E$2:$E$61,2)</f>
        <v>TechSupply Co</v>
      </c>
      <c r="G12" s="3" t="str">
        <f>VLOOKUP(E12,Product_List!$B$2:$C$61,2,FALSE)</f>
        <v>Software</v>
      </c>
      <c r="H12" s="3" t="str">
        <f>SUBSTITUTE(SUBSTITUTE('Sales_RAW(BEFORE)'!G12,"kom",""),".","")</f>
        <v xml:space="preserve">39 </v>
      </c>
      <c r="I12" s="6">
        <f>VLOOKUP(E12,Product_List!$B$2:$D$61,3,FALSE)</f>
        <v>601.47</v>
      </c>
      <c r="J12" s="5">
        <f>IF(IFERROR(VALUE(SUBSTITUTE(SUBSTITUTE(TRIM('Sales_RAW(BEFORE)'!I12), "%", ""), ",", ".")), 0) &gt; 1, IFERROR(VALUE(SUBSTITUTE(SUBSTITUTE(TRIM('Sales_RAW(BEFORE)'!I12), "%", ""), ",", ".")), 0) / 100, IFERROR(VALUE(SUBSTITUTE(SUBSTITUTE(TRIM('Sales_RAW(BEFORE)'!I12), "%", ""), ",", ".")), 0))</f>
        <v>0.05</v>
      </c>
      <c r="K12" s="6">
        <f t="shared" si="0"/>
        <v>23457.33</v>
      </c>
      <c r="L12" s="6" t="str" cm="1">
        <f t="array" ref="L12">_xlfn.LET(
  _xlpm.valuta, UPPER(TRIM('Sales_RAW(BEFORE)'!K12)),
  _xlfn.IFS(
    _xlpm.valuta = "", "",
    OR(_xlpm.valuta = "USD", _xlpm.valuta = "$"), "$",
    OR(_xlpm.valuta = "EUR", _xlpm.valuta = "€"), "€",
    TRUE, _xlpm.valuta
  )
)</f>
        <v>$</v>
      </c>
      <c r="M12" s="3" t="str">
        <f>"E" &amp; TEXT(VALUE(SUBSTITUTE(SUBSTITUTE(SUBSTITUTE(UPPER(TRIM('Sales_RAW(BEFORE)'!L12)), "EMP", ""), "E", ""), "-", "")),"000")</f>
        <v>E009</v>
      </c>
      <c r="N12" s="3" t="str">
        <f>_xlfn.XLOOKUP(M12,Employees!$D$2:$D$26,Employees!$A$2:$A$26)</f>
        <v>Olivia Wilson</v>
      </c>
      <c r="O12" s="3" t="str">
        <f>_xlfn.XLOOKUP(N12,Employees!$A$2:$A$26,Employees!$C$2:$C$26,2)</f>
        <v>Wholesale</v>
      </c>
      <c r="P12" s="3" t="str">
        <f>PROPER('Sales_RAW(BEFORE)'!N12)</f>
        <v>North</v>
      </c>
      <c r="Q12" s="3" t="str">
        <f>VLOOKUP(N12,Employees!$A$2:$B$26,2,FALSE)</f>
        <v>Miami</v>
      </c>
      <c r="R12" s="3" t="str">
        <f>PROPER('Sales_RAW(BEFORE)'!P12)</f>
        <v>Initech Inc</v>
      </c>
      <c r="S12" s="3" t="str">
        <f>SUBSTITUTE(SUBSTITUTE('Sales_RAW(BEFORE)'!Q12,"EIN",""),":","")</f>
        <v xml:space="preserve"> 430278432</v>
      </c>
      <c r="T12" s="3" t="s">
        <v>286</v>
      </c>
      <c r="U12" s="3" t="s">
        <v>287</v>
      </c>
      <c r="V12" s="3" t="s">
        <v>288</v>
      </c>
      <c r="W12" s="3" t="s">
        <v>289</v>
      </c>
      <c r="X12" s="3" t="s">
        <v>173</v>
      </c>
      <c r="Y12" s="3" t="str">
        <f>PROPER('Sales_RAW(BEFORE)'!W12)</f>
        <v>Credit Card</v>
      </c>
      <c r="Z12" s="3" t="str">
        <f>PROPER('Sales_RAW(BEFORE)'!X12)</f>
        <v>Delivered</v>
      </c>
      <c r="AA12" s="3" t="str" cm="1">
        <f t="array" ref="AA12">_xlfn.LET(
  _xlpm.val, TRIM(LOWER('Sales_RAW(BEFORE)'!Y12)),
  _xlfn.IFS(
    OR(_xlpm.val="yes", _xlpm.val="paid"), "Paid",
    OR(_xlpm.val="no", _xlpm.val="unpaid"), "Unpaid",
    OR(_xlpm.val="partial", _xlpm.val="partial paid"), "Partial",
    _xlpm.val="", "",
    TRUE, 'Sales_RAW(BEFORE)'!AY12
  )
)</f>
        <v>Partial</v>
      </c>
      <c r="AB12" s="3" t="s">
        <v>291</v>
      </c>
      <c r="AC12" s="3" t="str">
        <f>PROPER('Sales_RAW(BEFORE)'!AA12)</f>
        <v>Online</v>
      </c>
      <c r="AD12" s="3" t="str">
        <f>SUBSTITUTE(SUBSTITUTE(SUBSTITUTE(SUBSTITUTE('Sales_RAW(BEFORE)'!AB12,"st",""),"q",""),"Q",""),"uarter","")</f>
        <v xml:space="preserve">1 </v>
      </c>
      <c r="AE12" s="3" t="str">
        <f>TEXT(IFERROR(DATEVALUE('Sales_RAW(BEFORE)'!AC12 &amp; " 1"), IFERROR(DATE(2025, 'Sales_RAW(BEFORE)'!AC12, 1), 'Sales_RAW(BEFORE)'!AC12)), "mmmm")</f>
        <v>January</v>
      </c>
      <c r="AF12" s="3">
        <f>_xlfn.LET(
  _xlpm.raw, TRIM(SUBSTITUTE('Sales_RAW(BEFORE)'!AD12, "'", "")),
  _xlpm.num, IFERROR(VALUE(_xlpm.raw), 0),
  IF(_xlpm.num &lt; 100, 2000 + _xlpm.num, _xlpm.num)
)</f>
        <v>2025</v>
      </c>
      <c r="AG12" s="3" t="str">
        <f>PROPER('Sales_RAW(BEFORE)'!AE12)</f>
        <v>15</v>
      </c>
      <c r="AH12" s="3" cm="1">
        <f t="array" ref="AH12">_xlfn.LET(
  _xlpm.val, LOWER(TRIM('Sales_RAW(BEFORE)'!AF12)),
  _xlfn.IFS(
    OR(_xlpm.val="", _xlpm.val="null", _xlpm.val="N/A", _xlpm.val="-", _xlpm.val="#N/A"), 0,
    ISNUMBER('Sales_RAW(BEFORE)'!AF12), 'Sales_RAW(BEFORE)'!AF12,
    TRUE, IFERROR(_xlfn.NUMBERVALUE(_xlpm.val), 0)
  )
)</f>
        <v>0</v>
      </c>
      <c r="AI12" s="5">
        <f>IF(IFERROR(VALUE(SUBSTITUTE(SUBSTITUTE(TRIM('Sales_RAW(BEFORE)'!AG12), "%", ""), ",", ".")), 0) &gt; 1, IFERROR(VALUE(SUBSTITUTE(SUBSTITUTE(TRIM('Sales_RAW(BEFORE)'!AG12), "%", ""), ",", ".")), 0) / 100, IFERROR(VALUE(SUBSTITUTE(SUBSTITUTE(TRIM('Sales_RAW(BEFORE)'!AG12), "%", ""), ",", ".")), 0))</f>
        <v>0.08</v>
      </c>
      <c r="AJ12" s="6">
        <f t="shared" si="1"/>
        <v>1876.5864000000001</v>
      </c>
      <c r="AK12" s="6">
        <f t="shared" si="2"/>
        <v>25333.916400000002</v>
      </c>
      <c r="AL12" s="6">
        <f>IFERROR(VALUE(SUBSTITUTE(SUBSTITUTE(SUBSTITUTE('Sales_RAW(BEFORE)'!AJ12,"$",""),"USD",""),",",".")),0)</f>
        <v>4.45</v>
      </c>
      <c r="AM12" s="3" t="str">
        <f>SUBSTITUTE(SUBSTITUTE(PROPER('Sales_RAW(BEFORE)'!AK12), "Fed Ex", "FedEx"),"Fedex","FedEx")</f>
        <v>Usps</v>
      </c>
      <c r="AN12" s="3" t="s">
        <v>293</v>
      </c>
      <c r="AO12" s="3" t="str">
        <f>SUBSTITUTE('Sales_RAW(BEFORE)'!AM12,"kg","")</f>
        <v>4.46</v>
      </c>
      <c r="AP12" s="3" t="str">
        <f>_xlfn.LET(
  _xlpm.raw, UPPER(TRIM('Sales_RAW(BEFORE)'!AN12)),
  _xlpm.clean, RIGHT(_xlpm.raw, 1),
  IF(OR(_xlpm.raw="", _xlpm.raw="null"), "N/A", _xlpm.clean)
)</f>
        <v>A</v>
      </c>
      <c r="AQ12" s="3">
        <v>196</v>
      </c>
      <c r="AR12" s="3" cm="1">
        <f t="array" ref="AR12">_xlfn.LET(
  _xlpm.raw, LOWER(TRIM('Sales_RAW(BEFORE)'!AP12)),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12" s="3"/>
      <c r="AT12" s="3"/>
      <c r="AU12" s="3"/>
      <c r="AV12" s="8">
        <f>IF(IFERROR(VALUE(SUBSTITUTE(SUBSTITUTE(TRIM('Sales_RAW(BEFORE)'!AT12), "%", ""), ",", ".")), 0) &gt; 1, IFERROR(VALUE(SUBSTITUTE(SUBSTITUTE(TRIM('Sales_RAW(BEFORE)'!AT12), "%", ""), ",", ".")), 0) / 100, IFERROR(VALUE(SUBSTITUTE(SUBSTITUTE(TRIM('Sales_RAW(BEFORE)'!AT12), "%", ""), ",", ".")), 0))</f>
        <v>0</v>
      </c>
      <c r="AW12" s="6">
        <f>BA12*(_xlfn.XLOOKUP(N12,Employees!$A$2:$A$26,Employees!$E$2:$E$26,2))</f>
        <v>608.01399360000005</v>
      </c>
      <c r="AX12" s="3" t="str">
        <f>PROPER('Sales_RAW(BEFORE)'!AV12)</f>
        <v>Emma Anderson</v>
      </c>
      <c r="AY12" s="3" t="str">
        <f t="shared" si="3"/>
        <v>Emma Anderson</v>
      </c>
      <c r="AZ12" s="3"/>
      <c r="BA12" s="24">
        <f>AK12*(1-(_xlfn.XLOOKUP(G12, Exchange_Rates!$B$8:$F$8, Exchange_Rates!$B$9:$F$9, 0)+J12))</f>
        <v>20267.133120000002</v>
      </c>
      <c r="BB12" s="7" cm="1">
        <f t="array" ref="BB12">_xlfn.LET(
  _xlpm.raw_dt, SUBSTITUTE(TRIM(C12), ".", "/"),
  _xlpm.dt, IFERROR(DATEVALUE(_xlpm.raw_dt), C12),
  _xlpm.p_code, TRIM(E12),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"Proveri datum")
)</f>
        <v>46035</v>
      </c>
      <c r="BC12" s="25">
        <f t="shared" si="4"/>
        <v>0</v>
      </c>
    </row>
    <row r="13" spans="1:55" ht="15.75" thickBot="1" x14ac:dyDescent="0.3">
      <c r="A13" s="3" t="s">
        <v>295</v>
      </c>
      <c r="B13" s="10">
        <v>45858</v>
      </c>
      <c r="C13" s="4">
        <v>45867</v>
      </c>
      <c r="D13" s="3" t="str">
        <f>"P-" &amp; TEXT(VALUE(SUBSTITUTE(SUBSTITUTE(SUBSTITUTE(UPPER(TRIM('Sales_RAW(BEFORE)'!D13)), "P", ""), "-", ""), "_", "")),"000")</f>
        <v>P-040</v>
      </c>
      <c r="E13" s="3" t="str">
        <f>VLOOKUP(D13,Product_List!$A$2:$B$61,2,FALSE)</f>
        <v>Monitor Plus 40</v>
      </c>
      <c r="F13" s="3" t="str">
        <f>_xlfn.XLOOKUP(E13,Product_List!$B$2:$B$61,Product_List!$E$2:$E$61,2)</f>
        <v>TechSupply Co</v>
      </c>
      <c r="G13" s="3" t="str">
        <f>VLOOKUP(E13,Product_List!$B$2:$C$61,2,FALSE)</f>
        <v>Software</v>
      </c>
      <c r="H13" s="3" t="str">
        <f>SUBSTITUTE(SUBSTITUTE('Sales_RAW(BEFORE)'!G13,"kom",""),".","")</f>
        <v xml:space="preserve">31 </v>
      </c>
      <c r="I13" s="6">
        <f>VLOOKUP(E13,Product_List!$B$2:$D$61,3,FALSE)</f>
        <v>98.06</v>
      </c>
      <c r="J13" s="5">
        <f>IF(IFERROR(VALUE(SUBSTITUTE(SUBSTITUTE(TRIM('Sales_RAW(BEFORE)'!I13), "%", ""), ",", ".")), 0) &gt; 1, IFERROR(VALUE(SUBSTITUTE(SUBSTITUTE(TRIM('Sales_RAW(BEFORE)'!I13), "%", ""), ",", ".")), 0) / 100, IFERROR(VALUE(SUBSTITUTE(SUBSTITUTE(TRIM('Sales_RAW(BEFORE)'!I13), "%", ""), ",", ".")), 0))</f>
        <v>0.05</v>
      </c>
      <c r="K13" s="6">
        <f t="shared" si="0"/>
        <v>3039.86</v>
      </c>
      <c r="L13" s="6" t="str" cm="1">
        <f t="array" ref="L13">_xlfn.LET(
  _xlpm.valuta, UPPER(TRIM('Sales_RAW(BEFORE)'!K13)),
  _xlfn.IFS(
    _xlpm.valuta = "", "",
    OR(_xlpm.valuta = "USD", _xlpm.valuta = "$"), "$",
    OR(_xlpm.valuta = "EUR", _xlpm.valuta = "€"), "€",
    TRUE, _xlpm.valuta
  )
)</f>
        <v>$</v>
      </c>
      <c r="M13" s="3" t="str">
        <f>"E" &amp; TEXT(VALUE(SUBSTITUTE(SUBSTITUTE(SUBSTITUTE(UPPER(TRIM('Sales_RAW(BEFORE)'!L13)), "EMP", ""), "E", ""), "-", "")),"000")</f>
        <v>E013</v>
      </c>
      <c r="N13" s="3" t="str">
        <f>_xlfn.XLOOKUP(M13,Employees!$D$2:$D$26,Employees!$A$2:$A$26)</f>
        <v>Robert Williams</v>
      </c>
      <c r="O13" s="3" t="str">
        <f>_xlfn.XLOOKUP(N13,Employees!$A$2:$A$26,Employees!$C$2:$C$26,2)</f>
        <v>Wholesale</v>
      </c>
      <c r="P13" s="3" t="str">
        <f>PROPER('Sales_RAW(BEFORE)'!N13)</f>
        <v>West</v>
      </c>
      <c r="Q13" s="3" t="str">
        <f>VLOOKUP(N13,Employees!$A$2:$B$26,2,FALSE)</f>
        <v>Houston</v>
      </c>
      <c r="R13" s="3" t="str">
        <f>PROPER('Sales_RAW(BEFORE)'!P13)</f>
        <v>Globex Inc.</v>
      </c>
      <c r="S13" s="3" t="str">
        <f>SUBSTITUTE(SUBSTITUTE('Sales_RAW(BEFORE)'!Q13,"EIN",""),":","")</f>
        <v xml:space="preserve"> 579768106</v>
      </c>
      <c r="T13" s="3" t="s">
        <v>307</v>
      </c>
      <c r="U13" s="3" t="s">
        <v>308</v>
      </c>
      <c r="V13" s="3" t="s">
        <v>309</v>
      </c>
      <c r="W13" s="3" t="s">
        <v>310</v>
      </c>
      <c r="X13" s="3" t="s">
        <v>173</v>
      </c>
      <c r="Y13" s="3" t="str">
        <f>PROPER('Sales_RAW(BEFORE)'!W13)</f>
        <v>Paypal</v>
      </c>
      <c r="Z13" s="3" t="str">
        <f>PROPER('Sales_RAW(BEFORE)'!X13)</f>
        <v>Delivered</v>
      </c>
      <c r="AA13" s="3" t="str" cm="1">
        <f t="array" ref="AA13">_xlfn.LET(
  _xlpm.val, TRIM(LOWER('Sales_RAW(BEFORE)'!Y13)),
  _xlfn.IFS(
    OR(_xlpm.val="yes", _xlpm.val="paid"), "Paid",
    OR(_xlpm.val="no", _xlpm.val="unpaid"), "Unpaid",
    OR(_xlpm.val="partial", _xlpm.val="partial paid"), "Partial",
    _xlpm.val="", "",
    TRUE, 'Sales_RAW(BEFORE)'!AY13
  )
)</f>
        <v>Paid</v>
      </c>
      <c r="AB13" s="3" t="s">
        <v>312</v>
      </c>
      <c r="AC13" s="3" t="str">
        <f>PROPER('Sales_RAW(BEFORE)'!AA13)</f>
        <v>Online</v>
      </c>
      <c r="AD13" s="3" t="str">
        <f>SUBSTITUTE(SUBSTITUTE(SUBSTITUTE(SUBSTITUTE('Sales_RAW(BEFORE)'!AB13,"st",""),"q",""),"Q",""),"uarter","")</f>
        <v>3</v>
      </c>
      <c r="AE13" s="3" t="str">
        <f>TEXT(IFERROR(DATEVALUE('Sales_RAW(BEFORE)'!AC13 &amp; " 1"), IFERROR(DATE(2025, 'Sales_RAW(BEFORE)'!AC13, 1), 'Sales_RAW(BEFORE)'!AC13)), "mmmm")</f>
        <v>July</v>
      </c>
      <c r="AF13" s="3">
        <f>_xlfn.LET(
  _xlpm.raw, TRIM(SUBSTITUTE('Sales_RAW(BEFORE)'!AD13, "'", "")),
  _xlpm.num, IFERROR(VALUE(_xlpm.raw), 0),
  IF(_xlpm.num &lt; 100, 2000 + _xlpm.num, _xlpm.num)
)</f>
        <v>2025</v>
      </c>
      <c r="AG13" s="3" t="str">
        <f>PROPER('Sales_RAW(BEFORE)'!AE13)</f>
        <v>15</v>
      </c>
      <c r="AH13" s="3" cm="1">
        <f t="array" ref="AH13">_xlfn.LET(
  _xlpm.val, LOWER(TRIM('Sales_RAW(BEFORE)'!AF13)),
  _xlfn.IFS(
    OR(_xlpm.val="", _xlpm.val="null", _xlpm.val="N/A", _xlpm.val="-", _xlpm.val="#N/A"), 0,
    ISNUMBER('Sales_RAW(BEFORE)'!AF13), 'Sales_RAW(BEFORE)'!AF13,
    TRUE, IFERROR(_xlfn.NUMBERVALUE(_xlpm.val), 0)
  )
)</f>
        <v>3</v>
      </c>
      <c r="AI13" s="5">
        <f>IF(IFERROR(VALUE(SUBSTITUTE(SUBSTITUTE(TRIM('Sales_RAW(BEFORE)'!AG13), "%", ""), ",", ".")), 0) &gt; 1, IFERROR(VALUE(SUBSTITUTE(SUBSTITUTE(TRIM('Sales_RAW(BEFORE)'!AG13), "%", ""), ",", ".")), 0) / 100, IFERROR(VALUE(SUBSTITUTE(SUBSTITUTE(TRIM('Sales_RAW(BEFORE)'!AG13), "%", ""), ",", ".")), 0))</f>
        <v>0.08</v>
      </c>
      <c r="AJ13" s="6">
        <f t="shared" si="1"/>
        <v>243.18880000000001</v>
      </c>
      <c r="AK13" s="6">
        <f t="shared" si="2"/>
        <v>3283.0488</v>
      </c>
      <c r="AL13" s="6">
        <f>IFERROR(VALUE(SUBSTITUTE(SUBSTITUTE(SUBSTITUTE('Sales_RAW(BEFORE)'!AJ13,"$",""),"USD",""),",",".")),0)</f>
        <v>10</v>
      </c>
      <c r="AM13" s="3" t="str">
        <f>SUBSTITUTE(SUBSTITUTE(PROPER('Sales_RAW(BEFORE)'!AK13), "Fed Ex", "FedEx"),"Fedex","FedEx")</f>
        <v>FedEx</v>
      </c>
      <c r="AN13" s="3" t="s">
        <v>316</v>
      </c>
      <c r="AO13" s="3" t="str">
        <f>SUBSTITUTE('Sales_RAW(BEFORE)'!AM13,"kg","")</f>
        <v>25,01</v>
      </c>
      <c r="AP13" s="3" t="str">
        <f>_xlfn.LET(
  _xlpm.raw, UPPER(TRIM('Sales_RAW(BEFORE)'!AN13)),
  _xlpm.clean, RIGHT(_xlpm.raw, 1),
  IF(OR(_xlpm.raw="", _xlpm.raw="null"), "N/A", _xlpm.clean)
)</f>
        <v>B</v>
      </c>
      <c r="AQ13" s="3">
        <v>81</v>
      </c>
      <c r="AR13" s="3" cm="1">
        <f t="array" ref="AR13">_xlfn.LET(
  _xlpm.raw, LOWER(TRIM('Sales_RAW(BEFORE)'!AP13)),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3" s="3"/>
      <c r="AT13" s="3"/>
      <c r="AU13" s="3"/>
      <c r="AV13" s="8">
        <f>IF(IFERROR(VALUE(SUBSTITUTE(SUBSTITUTE(TRIM('Sales_RAW(BEFORE)'!AT13), "%", ""), ",", ".")), 0) &gt; 1, IFERROR(VALUE(SUBSTITUTE(SUBSTITUTE(TRIM('Sales_RAW(BEFORE)'!AT13), "%", ""), ",", ".")), 0) / 100, IFERROR(VALUE(SUBSTITUTE(SUBSTITUTE(TRIM('Sales_RAW(BEFORE)'!AT13), "%", ""), ",", ".")), 0))</f>
        <v>0.3</v>
      </c>
      <c r="AW13" s="6">
        <f>BA13*(_xlfn.XLOOKUP(N13,Employees!$A$2:$A$26,Employees!$E$2:$E$26,2))</f>
        <v>131.32195200000001</v>
      </c>
      <c r="AX13" s="3" t="str">
        <f>PROPER('Sales_RAW(BEFORE)'!AV13)</f>
        <v>Michael Anderson</v>
      </c>
      <c r="AY13" s="3" t="str">
        <f t="shared" si="3"/>
        <v>Michael Anderson</v>
      </c>
      <c r="AZ13" s="3"/>
      <c r="BA13" s="24">
        <f>AK13*(1-(_xlfn.XLOOKUP(G13, Exchange_Rates!$B$8:$F$8, Exchange_Rates!$B$9:$F$9, 0)+J13))</f>
        <v>2626.4390400000002</v>
      </c>
      <c r="BB13" s="7" cm="1">
        <f t="array" ref="BB13">_xlfn.LET(
  _xlpm.raw_dt, SUBSTITUTE(TRIM(C13), ".", "/"),
  _xlpm.dt, IFERROR(DATEVALUE(_xlpm.raw_dt), C13),
  _xlpm.p_code, TRIM(E13),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"Proveri datum")
)</f>
        <v>46597</v>
      </c>
      <c r="BC13" s="25">
        <f t="shared" si="4"/>
        <v>787.93171200000006</v>
      </c>
    </row>
    <row r="14" spans="1:55" ht="15.75" thickBot="1" x14ac:dyDescent="0.3">
      <c r="A14" s="3" t="s">
        <v>322</v>
      </c>
      <c r="B14" s="10">
        <v>45861</v>
      </c>
      <c r="C14" s="4">
        <v>45864</v>
      </c>
      <c r="D14" s="3" t="str">
        <f>"P-" &amp; TEXT(VALUE(SUBSTITUTE(SUBSTITUTE(SUBSTITUTE(UPPER(TRIM('Sales_RAW(BEFORE)'!D14)), "P", ""), "-", ""), "_", "")),"000")</f>
        <v>P-024</v>
      </c>
      <c r="E14" s="3" t="str">
        <f>VLOOKUP(D14,Product_List!$A$2:$B$61,2,FALSE)</f>
        <v>Chair Plus 24</v>
      </c>
      <c r="F14" s="3" t="str">
        <f>_xlfn.XLOOKUP(E14,Product_List!$B$2:$B$61,Product_List!$E$2:$E$61,2)</f>
        <v>TechSupply Co</v>
      </c>
      <c r="G14" s="3" t="str">
        <f>VLOOKUP(E14,Product_List!$B$2:$C$61,2,FALSE)</f>
        <v>Electronics</v>
      </c>
      <c r="H14" s="3" t="str">
        <f>SUBSTITUTE(SUBSTITUTE('Sales_RAW(BEFORE)'!G14,"kom",""),".","")</f>
        <v xml:space="preserve">26 </v>
      </c>
      <c r="I14" s="6">
        <f>VLOOKUP(E14,Product_List!$B$2:$D$61,3,FALSE)</f>
        <v>95.7</v>
      </c>
      <c r="J14" s="5">
        <f>IF(IFERROR(VALUE(SUBSTITUTE(SUBSTITUTE(TRIM('Sales_RAW(BEFORE)'!I14), "%", ""), ",", ".")), 0) &gt; 1, IFERROR(VALUE(SUBSTITUTE(SUBSTITUTE(TRIM('Sales_RAW(BEFORE)'!I14), "%", ""), ",", ".")), 0) / 100, IFERROR(VALUE(SUBSTITUTE(SUBSTITUTE(TRIM('Sales_RAW(BEFORE)'!I14), "%", ""), ",", ".")), 0))</f>
        <v>0.1</v>
      </c>
      <c r="K14" s="6">
        <f>IFERROR(H14*I14/Exchange_Rates!H2,0)</f>
        <v>2664.0256959314775</v>
      </c>
      <c r="L14" s="6" t="str" cm="1">
        <f t="array" ref="L14">_xlfn.LET(
  _xlpm.valuta, UPPER(TRIM('Sales_RAW(BEFORE)'!K14)),
  _xlfn.IFS(
    _xlpm.valuta = "", "",
    OR(_xlpm.valuta = "USD", _xlpm.valuta = "$"), "$",
    OR(_xlpm.valuta = "EUR", _xlpm.valuta = "€"), "€",
    TRUE, _xlpm.valuta
  )
)</f>
        <v>€</v>
      </c>
      <c r="M14" s="3" t="str">
        <f>"E" &amp; TEXT(VALUE(SUBSTITUTE(SUBSTITUTE(SUBSTITUTE(UPPER(TRIM('Sales_RAW(BEFORE)'!L14)), "EMP", ""), "E", ""), "-", "")),"000")</f>
        <v>E002</v>
      </c>
      <c r="N14" s="3" t="str">
        <f>_xlfn.XLOOKUP(M14,Employees!$D$2:$D$26,Employees!$A$2:$A$26)</f>
        <v>Sarah Wilson</v>
      </c>
      <c r="O14" s="3" t="str">
        <f>_xlfn.XLOOKUP(N14,Employees!$A$2:$A$26,Employees!$C$2:$C$26,2)</f>
        <v>Online</v>
      </c>
      <c r="P14" s="3" t="str">
        <f>PROPER('Sales_RAW(BEFORE)'!N14)</f>
        <v>East</v>
      </c>
      <c r="Q14" s="3" t="str">
        <f>VLOOKUP(N14,Employees!$A$2:$B$26,2,FALSE)</f>
        <v>Los Angeles</v>
      </c>
      <c r="R14" s="3" t="str">
        <f>PROPER('Sales_RAW(BEFORE)'!P14)</f>
        <v>Wayne Inc</v>
      </c>
      <c r="S14" s="3" t="str">
        <f>SUBSTITUTE(SUBSTITUTE('Sales_RAW(BEFORE)'!Q14,"EIN",""),":","")</f>
        <v>812640864</v>
      </c>
      <c r="T14" s="3" t="s">
        <v>134</v>
      </c>
      <c r="U14" s="3" t="s">
        <v>335</v>
      </c>
      <c r="V14" s="3" t="s">
        <v>336</v>
      </c>
      <c r="W14" s="3" t="s">
        <v>91</v>
      </c>
      <c r="X14" s="3" t="s">
        <v>173</v>
      </c>
      <c r="Y14" s="3" t="str">
        <f>PROPER('Sales_RAW(BEFORE)'!W14)</f>
        <v>Credit Card</v>
      </c>
      <c r="Z14" s="3" t="str">
        <f>PROPER('Sales_RAW(BEFORE)'!X14)</f>
        <v>Delivered</v>
      </c>
      <c r="AA14" s="3" t="str" cm="1">
        <f t="array" ref="AA14">_xlfn.LET(
  _xlpm.val, TRIM(LOWER('Sales_RAW(BEFORE)'!Y14)),
  _xlfn.IFS(
    OR(_xlpm.val="yes", _xlpm.val="paid"), "Paid",
    OR(_xlpm.val="no", _xlpm.val="unpaid"), "Unpaid",
    OR(_xlpm.val="partial", _xlpm.val="partial paid"), "Partial",
    _xlpm.val="", "",
    TRUE, 'Sales_RAW(BEFORE)'!AY14
  )
)</f>
        <v>Unpaid</v>
      </c>
      <c r="AB14" s="3" t="s">
        <v>338</v>
      </c>
      <c r="AC14" s="3" t="str">
        <f>PROPER('Sales_RAW(BEFORE)'!AA14)</f>
        <v>Online</v>
      </c>
      <c r="AD14" s="3" t="str">
        <f>SUBSTITUTE(SUBSTITUTE(SUBSTITUTE(SUBSTITUTE('Sales_RAW(BEFORE)'!AB14,"st",""),"q",""),"Q",""),"uarter","")</f>
        <v>1</v>
      </c>
      <c r="AE14" s="3" t="str">
        <f>TEXT(IFERROR(DATEVALUE('Sales_RAW(BEFORE)'!AC14 &amp; " 1"), IFERROR(DATE(2025, 'Sales_RAW(BEFORE)'!AC14, 1), 'Sales_RAW(BEFORE)'!AC14)), "mmmm")</f>
        <v>July</v>
      </c>
      <c r="AF14" s="3">
        <f>_xlfn.LET(
  _xlpm.raw, TRIM(SUBSTITUTE('Sales_RAW(BEFORE)'!AD14, "'", "")),
  _xlpm.num, IFERROR(VALUE(_xlpm.raw), 0),
  IF(_xlpm.num &lt; 100, 2000 + _xlpm.num, _xlpm.num)
)</f>
        <v>2025</v>
      </c>
      <c r="AG14" s="3" t="str">
        <f>PROPER('Sales_RAW(BEFORE)'!AE14)</f>
        <v>Net 60</v>
      </c>
      <c r="AH14" s="3" cm="1">
        <f t="array" ref="AH14">_xlfn.LET(
  _xlpm.val, LOWER(TRIM('Sales_RAW(BEFORE)'!AF14)),
  _xlfn.IFS(
    OR(_xlpm.val="", _xlpm.val="null", _xlpm.val="N/A", _xlpm.val="-", _xlpm.val="#N/A"), 0,
    ISNUMBER('Sales_RAW(BEFORE)'!AF14), 'Sales_RAW(BEFORE)'!AF14,
    TRUE, IFERROR(_xlfn.NUMBERVALUE(_xlpm.val), 0)
  )
)</f>
        <v>0</v>
      </c>
      <c r="AI14" s="5">
        <f>IF(IFERROR(VALUE(SUBSTITUTE(SUBSTITUTE(TRIM('Sales_RAW(BEFORE)'!AG14), "%", ""), ",", ".")), 0) &gt; 1, IFERROR(VALUE(SUBSTITUTE(SUBSTITUTE(TRIM('Sales_RAW(BEFORE)'!AG14), "%", ""), ",", ".")), 0) / 100, IFERROR(VALUE(SUBSTITUTE(SUBSTITUTE(TRIM('Sales_RAW(BEFORE)'!AG14), "%", ""), ",", ".")), 0))</f>
        <v>0.08</v>
      </c>
      <c r="AJ14" s="6">
        <f t="shared" si="1"/>
        <v>213.12205567451821</v>
      </c>
      <c r="AK14" s="6">
        <f t="shared" si="2"/>
        <v>2877.1477516059958</v>
      </c>
      <c r="AL14" s="6">
        <f>IFERROR(VALUE(SUBSTITUTE(SUBSTITUTE(SUBSTITUTE('Sales_RAW(BEFORE)'!AJ14,"$",""),"USD",""),",",".")),0)</f>
        <v>7.93</v>
      </c>
      <c r="AM14" s="3" t="str">
        <f>SUBSTITUTE(SUBSTITUTE(PROPER('Sales_RAW(BEFORE)'!AK14), "Fed Ex", "FedEx"),"Fedex","FedEx")</f>
        <v>FedEx</v>
      </c>
      <c r="AN14" s="3" t="s">
        <v>340</v>
      </c>
      <c r="AO14" s="3" t="str">
        <f>SUBSTITUTE('Sales_RAW(BEFORE)'!AM14,"kg","")</f>
        <v>4,43</v>
      </c>
      <c r="AP14" s="3" t="str">
        <f>_xlfn.LET(
  _xlpm.raw, UPPER(TRIM('Sales_RAW(BEFORE)'!AN14)),
  _xlpm.clean, RIGHT(_xlpm.raw, 1),
  IF(OR(_xlpm.raw="", _xlpm.raw="null"), "N/A", _xlpm.clean)
)</f>
        <v>B</v>
      </c>
      <c r="AQ14" s="3">
        <v>205</v>
      </c>
      <c r="AR14" s="3" cm="1">
        <f t="array" ref="AR14">_xlfn.LET(
  _xlpm.raw, LOWER(TRIM('Sales_RAW(BEFORE)'!AP14)),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14" s="3" t="s">
        <v>117</v>
      </c>
      <c r="AT14" s="3" t="s">
        <v>188</v>
      </c>
      <c r="AU14" s="3"/>
      <c r="AV14" s="8">
        <f>IF(IFERROR(VALUE(SUBSTITUTE(SUBSTITUTE(TRIM('Sales_RAW(BEFORE)'!AT14), "%", ""), ",", ".")), 0) &gt; 1, IFERROR(VALUE(SUBSTITUTE(SUBSTITUTE(TRIM('Sales_RAW(BEFORE)'!AT14), "%", ""), ",", ".")), 0) / 100, IFERROR(VALUE(SUBSTITUTE(SUBSTITUTE(TRIM('Sales_RAW(BEFORE)'!AT14), "%", ""), ",", ".")), 0))</f>
        <v>0.3</v>
      </c>
      <c r="AW14" s="6">
        <f>BA14*(_xlfn.XLOOKUP(N14,Employees!$A$2:$A$26,Employees!$E$2:$E$26,2))</f>
        <v>69.05154603854389</v>
      </c>
      <c r="AX14" s="3" t="str">
        <f>PROPER('Sales_RAW(BEFORE)'!AV14)</f>
        <v>Michael Jones</v>
      </c>
      <c r="AY14" s="3" t="str">
        <f t="shared" si="3"/>
        <v>Michael Jones</v>
      </c>
      <c r="AZ14" s="3"/>
      <c r="BA14" s="24">
        <f>AK14*(1-(_xlfn.XLOOKUP(G14, Exchange_Rates!$B$8:$F$8, Exchange_Rates!$B$9:$F$9, 0)+J14))</f>
        <v>2301.7182012847966</v>
      </c>
      <c r="BB14" s="7" cm="1">
        <f t="array" ref="BB14">_xlfn.LET(
  _xlpm.raw_dt, SUBSTITUTE(TRIM(C14), ".", "/"),
  _xlpm.dt, IFERROR(DATEVALUE(_xlpm.raw_dt), C14),
  _xlpm.p_code, TRIM(E14),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"Proveri datum")
)</f>
        <v>46594</v>
      </c>
      <c r="BC14" s="25">
        <f t="shared" si="4"/>
        <v>690.51546038543893</v>
      </c>
    </row>
    <row r="15" spans="1:55" ht="15.75" thickBot="1" x14ac:dyDescent="0.3">
      <c r="A15" s="3" t="s">
        <v>344</v>
      </c>
      <c r="B15" s="10">
        <v>45703</v>
      </c>
      <c r="C15" s="4" t="s">
        <v>142</v>
      </c>
      <c r="D15" s="3" t="str">
        <f>"P-" &amp; TEXT(VALUE(SUBSTITUTE(SUBSTITUTE(SUBSTITUTE(UPPER(TRIM('Sales_RAW(BEFORE)'!D15)), "P", ""), "-", ""), "_", "")),"000")</f>
        <v>P-058</v>
      </c>
      <c r="E15" s="3" t="str">
        <f>VLOOKUP(D15,Product_List!$A$2:$B$61,2,FALSE)</f>
        <v>Laptop Pro 58</v>
      </c>
      <c r="F15" s="3" t="str">
        <f>_xlfn.XLOOKUP(E15,Product_List!$B$2:$B$61,Product_List!$E$2:$E$61,2)</f>
        <v>Global Distrib</v>
      </c>
      <c r="G15" s="3" t="str">
        <f>VLOOKUP(E15,Product_List!$B$2:$C$61,2,FALSE)</f>
        <v>Furniture</v>
      </c>
      <c r="H15" s="3" t="str">
        <f>SUBSTITUTE(SUBSTITUTE('Sales_RAW(BEFORE)'!G15,"kom",""),".","")</f>
        <v>35</v>
      </c>
      <c r="I15" s="6">
        <f>VLOOKUP(E15,Product_List!$B$2:$D$61,3,FALSE)</f>
        <v>711</v>
      </c>
      <c r="J15" s="5">
        <f>IF(IFERROR(VALUE(SUBSTITUTE(SUBSTITUTE(TRIM('Sales_RAW(BEFORE)'!I15), "%", ""), ",", ".")), 0) &gt; 1, IFERROR(VALUE(SUBSTITUTE(SUBSTITUTE(TRIM('Sales_RAW(BEFORE)'!I15), "%", ""), ",", ".")), 0) / 100, IFERROR(VALUE(SUBSTITUTE(SUBSTITUTE(TRIM('Sales_RAW(BEFORE)'!I15), "%", ""), ",", ".")), 0))</f>
        <v>0</v>
      </c>
      <c r="K15" s="6">
        <f>(H15*I15)/(HLOOKUP(AE15,Exchange_Rates!$B$1:$M$2,2,FALSE))</f>
        <v>26931.81818181818</v>
      </c>
      <c r="L15" s="6" t="str" cm="1">
        <f t="array" ref="L15">_xlfn.LET(
  _xlpm.valuta, UPPER(TRIM('Sales_RAW(BEFORE)'!K15)),
  _xlfn.IFS(
    _xlpm.valuta = "", "",
    OR(_xlpm.valuta = "USD", _xlpm.valuta = "$"), "$",
    OR(_xlpm.valuta = "EUR", _xlpm.valuta = "€"), "€",
    TRUE, _xlpm.valuta
  )
)</f>
        <v>€</v>
      </c>
      <c r="M15" s="3" t="str">
        <f>"E" &amp; TEXT(VALUE(SUBSTITUTE(SUBSTITUTE(SUBSTITUTE(UPPER(TRIM('Sales_RAW(BEFORE)'!L15)), "EMP", ""), "E", ""), "-", "")),"000")</f>
        <v>E001</v>
      </c>
      <c r="N15" s="3" t="str">
        <f>_xlfn.XLOOKUP(M15,Employees!$D$2:$D$26,Employees!$A$2:$A$26)</f>
        <v>Sarah Wilson</v>
      </c>
      <c r="O15" s="3" t="str">
        <f>_xlfn.XLOOKUP(N15,Employees!$A$2:$A$26,Employees!$C$2:$C$26,2)</f>
        <v>Online</v>
      </c>
      <c r="P15" s="3" t="str">
        <f>PROPER('Sales_RAW(BEFORE)'!N15)</f>
        <v>South</v>
      </c>
      <c r="Q15" s="3" t="str">
        <f>VLOOKUP(N15,Employees!$A$2:$B$26,2,FALSE)</f>
        <v>Los Angeles</v>
      </c>
      <c r="R15" s="3" t="str">
        <f>PROPER('Sales_RAW(BEFORE)'!P15)</f>
        <v>Globex Inc</v>
      </c>
      <c r="S15" s="3" t="str">
        <f>SUBSTITUTE(SUBSTITUTE('Sales_RAW(BEFORE)'!Q15,"EIN",""),":","")</f>
        <v xml:space="preserve"> 460257622</v>
      </c>
      <c r="T15" s="3" t="s">
        <v>99</v>
      </c>
      <c r="U15" s="3" t="s">
        <v>353</v>
      </c>
      <c r="V15" s="3" t="s">
        <v>354</v>
      </c>
      <c r="W15" s="3" t="s">
        <v>355</v>
      </c>
      <c r="X15" s="3" t="s">
        <v>173</v>
      </c>
      <c r="Y15" s="3" t="str">
        <f>PROPER('Sales_RAW(BEFORE)'!W15)</f>
        <v>Paypal</v>
      </c>
      <c r="Z15" s="3" t="str">
        <f>PROPER('Sales_RAW(BEFORE)'!X15)</f>
        <v>Delivered</v>
      </c>
      <c r="AA15" s="3" t="str" cm="1">
        <f t="array" ref="AA15">_xlfn.LET(
  _xlpm.val, TRIM(LOWER('Sales_RAW(BEFORE)'!Y15)),
  _xlfn.IFS(
    OR(_xlpm.val="yes", _xlpm.val="paid"), "Paid",
    OR(_xlpm.val="no", _xlpm.val="unpaid"), "Unpaid",
    OR(_xlpm.val="partial", _xlpm.val="partial paid"), "Partial",
    _xlpm.val="", "",
    TRUE, 'Sales_RAW(BEFORE)'!AY15
  )
)</f>
        <v>Paid</v>
      </c>
      <c r="AB15" s="3" t="s">
        <v>356</v>
      </c>
      <c r="AC15" s="3" t="str">
        <f>PROPER('Sales_RAW(BEFORE)'!AA15)</f>
        <v>Store</v>
      </c>
      <c r="AD15" s="3" t="str">
        <f>SUBSTITUTE(SUBSTITUTE(SUBSTITUTE(SUBSTITUTE('Sales_RAW(BEFORE)'!AB15,"st",""),"q",""),"Q",""),"uarter","")</f>
        <v>1</v>
      </c>
      <c r="AE15" s="3" t="str">
        <f>TEXT(IFERROR(DATEVALUE('Sales_RAW(BEFORE)'!AC15 &amp; " 1"), IFERROR(DATE(2025, 'Sales_RAW(BEFORE)'!AC15, 1), 'Sales_RAW(BEFORE)'!AC15)), "mmmm")</f>
        <v>February</v>
      </c>
      <c r="AF15" s="3">
        <f>_xlfn.LET(
  _xlpm.raw, TRIM(SUBSTITUTE('Sales_RAW(BEFORE)'!AD15, "'", "")),
  _xlpm.num, IFERROR(VALUE(_xlpm.raw), 0),
  IF(_xlpm.num &lt; 100, 2000 + _xlpm.num, _xlpm.num)
)</f>
        <v>2025</v>
      </c>
      <c r="AG15" s="3" t="str">
        <f>PROPER('Sales_RAW(BEFORE)'!AE15)</f>
        <v>15</v>
      </c>
      <c r="AH15" s="3" cm="1">
        <f t="array" ref="AH15">_xlfn.LET(
  _xlpm.val, LOWER(TRIM('Sales_RAW(BEFORE)'!AF15)),
  _xlfn.IFS(
    OR(_xlpm.val="", _xlpm.val="null", _xlpm.val="N/A", _xlpm.val="-", _xlpm.val="#N/A"), 0,
    ISNUMBER('Sales_RAW(BEFORE)'!AF15), 'Sales_RAW(BEFORE)'!AF15,
    TRUE, IFERROR(_xlfn.NUMBERVALUE(_xlpm.val), 0)
  )
)</f>
        <v>48</v>
      </c>
      <c r="AI15" s="5">
        <f>IF(IFERROR(VALUE(SUBSTITUTE(SUBSTITUTE(TRIM('Sales_RAW(BEFORE)'!AG15), "%", ""), ",", ".")), 0) &gt; 1, IFERROR(VALUE(SUBSTITUTE(SUBSTITUTE(TRIM('Sales_RAW(BEFORE)'!AG15), "%", ""), ",", ".")), 0) / 100, IFERROR(VALUE(SUBSTITUTE(SUBSTITUTE(TRIM('Sales_RAW(BEFORE)'!AG15), "%", ""), ",", ".")), 0))</f>
        <v>0.08</v>
      </c>
      <c r="AJ15" s="6">
        <f t="shared" si="1"/>
        <v>2154.5454545454545</v>
      </c>
      <c r="AK15" s="6">
        <f t="shared" si="2"/>
        <v>29086.363636363636</v>
      </c>
      <c r="AL15" s="6">
        <f>IFERROR(VALUE(SUBSTITUTE(SUBSTITUTE(SUBSTITUTE('Sales_RAW(BEFORE)'!AJ15,"$",""),"USD",""),",",".")),0)</f>
        <v>23.61</v>
      </c>
      <c r="AM15" s="3" t="str">
        <f>SUBSTITUTE(SUBSTITUTE(PROPER('Sales_RAW(BEFORE)'!AK15), "Fed Ex", "FedEx"),"Fedex","FedEx")</f>
        <v>FedEx</v>
      </c>
      <c r="AN15" s="3" t="s">
        <v>359</v>
      </c>
      <c r="AO15" s="3" t="str">
        <f>SUBSTITUTE('Sales_RAW(BEFORE)'!AM15,"kg","")</f>
        <v xml:space="preserve">26.6 </v>
      </c>
      <c r="AP15" s="3" t="str">
        <f>_xlfn.LET(
  _xlpm.raw, UPPER(TRIM('Sales_RAW(BEFORE)'!AN15)),
  _xlpm.clean, RIGHT(_xlpm.raw, 1),
  IF(OR(_xlpm.raw="", _xlpm.raw="null"), "N/A", _xlpm.clean)
)</f>
        <v>C</v>
      </c>
      <c r="AQ15" s="3">
        <v>299</v>
      </c>
      <c r="AR15" s="3" cm="1">
        <f t="array" ref="AR15">_xlfn.LET(
  _xlpm.raw, LOWER(TRIM('Sales_RAW(BEFORE)'!AP15)),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15" s="3"/>
      <c r="AT15" s="3"/>
      <c r="AU15" s="3"/>
      <c r="AV15" s="8">
        <f>IF(IFERROR(VALUE(SUBSTITUTE(SUBSTITUTE(TRIM('Sales_RAW(BEFORE)'!AT15), "%", ""), ",", ".")), 0) &gt; 1, IFERROR(VALUE(SUBSTITUTE(SUBSTITUTE(TRIM('Sales_RAW(BEFORE)'!AT15), "%", ""), ",", ".")), 0) / 100, IFERROR(VALUE(SUBSTITUTE(SUBSTITUTE(TRIM('Sales_RAW(BEFORE)'!AT15), "%", ""), ",", ".")), 0))</f>
        <v>0.25</v>
      </c>
      <c r="AW15" s="6">
        <f>BA15*(_xlfn.XLOOKUP(N15,Employees!$A$2:$A$26,Employees!$E$2:$E$26,2))</f>
        <v>785.33181818181811</v>
      </c>
      <c r="AX15" s="3" t="str">
        <f>PROPER('Sales_RAW(BEFORE)'!AV15)</f>
        <v>John Davis</v>
      </c>
      <c r="AY15" s="3" t="str">
        <f t="shared" si="3"/>
        <v>John Davis</v>
      </c>
      <c r="AZ15" s="3"/>
      <c r="BA15" s="24">
        <f>AK15*(1-(_xlfn.XLOOKUP(G15, Exchange_Rates!$B$8:$F$8, Exchange_Rates!$B$9:$F$9, 0)+J15))</f>
        <v>26177.727272727272</v>
      </c>
      <c r="BB15" s="7" t="str" cm="1">
        <f t="array" ref="BB15">_xlfn.LET(
  _xlpm.raw_dt, SUBSTITUTE(TRIM(C15), ".", "/"),
  _xlpm.dt, IFERROR(DATEVALUE(_xlpm.raw_dt), C15),
  _xlpm.p_code, TRIM(E15),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Empty</v>
      </c>
      <c r="BC15" s="25">
        <f t="shared" si="4"/>
        <v>6544.431818181818</v>
      </c>
    </row>
    <row r="16" spans="1:55" ht="15.75" thickBot="1" x14ac:dyDescent="0.3">
      <c r="A16" s="3" t="s">
        <v>365</v>
      </c>
      <c r="B16" s="10">
        <v>45701</v>
      </c>
      <c r="C16" s="4">
        <v>45705</v>
      </c>
      <c r="D16" s="3" t="str">
        <f>"P-" &amp; TEXT(VALUE(SUBSTITUTE(SUBSTITUTE(SUBSTITUTE(UPPER(TRIM('Sales_RAW(BEFORE)'!D16)), "P", ""), "-", ""), "_", "")),"000")</f>
        <v>P-009</v>
      </c>
      <c r="E16" s="3" t="str">
        <f>VLOOKUP(D16,Product_List!$A$2:$B$61,2,FALSE)</f>
        <v>Chair Plus 9</v>
      </c>
      <c r="F16" s="3" t="str">
        <f>_xlfn.XLOOKUP(E16,Product_List!$B$2:$B$61,Product_List!$E$2:$E$61,2)</f>
        <v>BestParts</v>
      </c>
      <c r="G16" s="3" t="str">
        <f>VLOOKUP(E16,Product_List!$B$2:$C$61,2,FALSE)</f>
        <v>Office</v>
      </c>
      <c r="H16" s="3" t="str">
        <f>SUBSTITUTE(SUBSTITUTE('Sales_RAW(BEFORE)'!G16,"kom",""),".","")</f>
        <v xml:space="preserve">5 </v>
      </c>
      <c r="I16" s="6">
        <f>VLOOKUP(E16,Product_List!$B$2:$D$61,3,FALSE)</f>
        <v>813.33</v>
      </c>
      <c r="J16" s="5">
        <f>IF(IFERROR(VALUE(SUBSTITUTE(SUBSTITUTE(TRIM('Sales_RAW(BEFORE)'!I16), "%", ""), ",", ".")), 0) &gt; 1, IFERROR(VALUE(SUBSTITUTE(SUBSTITUTE(TRIM('Sales_RAW(BEFORE)'!I16), "%", ""), ",", ".")), 0) / 100, IFERROR(VALUE(SUBSTITUTE(SUBSTITUTE(TRIM('Sales_RAW(BEFORE)'!I16), "%", ""), ",", ".")), 0))</f>
        <v>0.05</v>
      </c>
      <c r="K16" s="6">
        <f t="shared" si="0"/>
        <v>4066.65</v>
      </c>
      <c r="L16" s="6" t="str" cm="1">
        <f t="array" ref="L16">_xlfn.LET(
  _xlpm.valuta, UPPER(TRIM('Sales_RAW(BEFORE)'!K16)),
  _xlfn.IFS(
    _xlpm.valuta = "", "",
    OR(_xlpm.valuta = "USD", _xlpm.valuta = "$"), "$",
    OR(_xlpm.valuta = "EUR", _xlpm.valuta = "€"), "€",
    TRUE, _xlpm.valuta
  )
)</f>
        <v>$</v>
      </c>
      <c r="M16" s="3" t="str">
        <f>"E" &amp; TEXT(VALUE(SUBSTITUTE(SUBSTITUTE(SUBSTITUTE(UPPER(TRIM('Sales_RAW(BEFORE)'!L16)), "EMP", ""), "E", ""), "-", "")),"000")</f>
        <v>E023</v>
      </c>
      <c r="N16" s="3" t="str">
        <f>_xlfn.XLOOKUP(M16,Employees!$D$2:$D$26,Employees!$A$2:$A$26)</f>
        <v>Laura Anderson</v>
      </c>
      <c r="O16" s="3" t="str">
        <f>_xlfn.XLOOKUP(N16,Employees!$A$2:$A$26,Employees!$C$2:$C$26,2)</f>
        <v>Sales</v>
      </c>
      <c r="P16" s="3" t="str">
        <f>PROPER('Sales_RAW(BEFORE)'!N16)</f>
        <v>North</v>
      </c>
      <c r="Q16" s="3" t="str">
        <f>VLOOKUP(N16,Employees!$A$2:$B$26,2,FALSE)</f>
        <v>Seattle</v>
      </c>
      <c r="R16" s="3" t="str">
        <f>PROPER('Sales_RAW(BEFORE)'!P16)</f>
        <v>Acme Ltd.</v>
      </c>
      <c r="S16" s="3" t="str">
        <f>SUBSTITUTE(SUBSTITUTE('Sales_RAW(BEFORE)'!Q16,"EIN",""),":","")</f>
        <v xml:space="preserve"> 640883830</v>
      </c>
      <c r="T16" s="3" t="s">
        <v>378</v>
      </c>
      <c r="U16" s="3" t="s">
        <v>379</v>
      </c>
      <c r="V16" s="3" t="s">
        <v>380</v>
      </c>
      <c r="W16" s="3" t="s">
        <v>381</v>
      </c>
      <c r="X16" s="3" t="s">
        <v>173</v>
      </c>
      <c r="Y16" s="3" t="str">
        <f>PROPER('Sales_RAW(BEFORE)'!W16)</f>
        <v>Wire Transfer</v>
      </c>
      <c r="Z16" s="3" t="str">
        <f>PROPER('Sales_RAW(BEFORE)'!X16)</f>
        <v>Delivered</v>
      </c>
      <c r="AA16" s="3" t="str" cm="1">
        <f t="array" ref="AA16">_xlfn.LET(
  _xlpm.val, TRIM(LOWER('Sales_RAW(BEFORE)'!Y16)),
  _xlfn.IFS(
    OR(_xlpm.val="yes", _xlpm.val="paid"), "Paid",
    OR(_xlpm.val="no", _xlpm.val="unpaid"), "Unpaid",
    OR(_xlpm.val="partial", _xlpm.val="partial paid"), "Partial",
    _xlpm.val="", "",
    TRUE, 'Sales_RAW(BEFORE)'!AY16
  )
)</f>
        <v>Paid</v>
      </c>
      <c r="AB16" s="3" t="s">
        <v>382</v>
      </c>
      <c r="AC16" s="3" t="str">
        <f>PROPER('Sales_RAW(BEFORE)'!AA16)</f>
        <v>Web</v>
      </c>
      <c r="AD16" s="3" t="str">
        <f>SUBSTITUTE(SUBSTITUTE(SUBSTITUTE(SUBSTITUTE('Sales_RAW(BEFORE)'!AB16,"st",""),"q",""),"Q",""),"uarter","")</f>
        <v xml:space="preserve">1 </v>
      </c>
      <c r="AE16" s="3" t="str">
        <f>TEXT(IFERROR(DATEVALUE('Sales_RAW(BEFORE)'!AC16 &amp; " 1"), IFERROR(DATE(2025, 'Sales_RAW(BEFORE)'!AC16, 1), 'Sales_RAW(BEFORE)'!AC16)), "mmmm")</f>
        <v>February</v>
      </c>
      <c r="AF16" s="3">
        <f>_xlfn.LET(
  _xlpm.raw, TRIM(SUBSTITUTE('Sales_RAW(BEFORE)'!AD16, "'", "")),
  _xlpm.num, IFERROR(VALUE(_xlpm.raw), 0),
  IF(_xlpm.num &lt; 100, 2000 + _xlpm.num, _xlpm.num)
)</f>
        <v>2025</v>
      </c>
      <c r="AG16" s="3" t="str">
        <f>PROPER('Sales_RAW(BEFORE)'!AE16)</f>
        <v>Net 60</v>
      </c>
      <c r="AH16" s="3" cm="1">
        <f t="array" ref="AH16">_xlfn.LET(
  _xlpm.val, LOWER(TRIM('Sales_RAW(BEFORE)'!AF16)),
  _xlfn.IFS(
    OR(_xlpm.val="", _xlpm.val="null", _xlpm.val="N/A", _xlpm.val="-", _xlpm.val="#N/A"), 0,
    ISNUMBER('Sales_RAW(BEFORE)'!AF16), 'Sales_RAW(BEFORE)'!AF16,
    TRUE, IFERROR(_xlfn.NUMBERVALUE(_xlpm.val), 0)
  )
)</f>
        <v>0</v>
      </c>
      <c r="AI16" s="5">
        <f>IF(IFERROR(VALUE(SUBSTITUTE(SUBSTITUTE(TRIM('Sales_RAW(BEFORE)'!AG16), "%", ""), ",", ".")), 0) &gt; 1, IFERROR(VALUE(SUBSTITUTE(SUBSTITUTE(TRIM('Sales_RAW(BEFORE)'!AG16), "%", ""), ",", ".")), 0) / 100, IFERROR(VALUE(SUBSTITUTE(SUBSTITUTE(TRIM('Sales_RAW(BEFORE)'!AG16), "%", ""), ",", ".")), 0))</f>
        <v>0.08</v>
      </c>
      <c r="AJ16" s="6">
        <f t="shared" si="1"/>
        <v>325.33199999999999</v>
      </c>
      <c r="AK16" s="6">
        <f t="shared" si="2"/>
        <v>4391.982</v>
      </c>
      <c r="AL16" s="6">
        <f>IFERROR(VALUE(SUBSTITUTE(SUBSTITUTE(SUBSTITUTE('Sales_RAW(BEFORE)'!AJ16,"$",""),"USD",""),",",".")),0)</f>
        <v>29.63</v>
      </c>
      <c r="AM16" s="3" t="str">
        <f>SUBSTITUTE(SUBSTITUTE(PROPER('Sales_RAW(BEFORE)'!AK16), "Fed Ex", "FedEx"),"Fedex","FedEx")</f>
        <v>Dhl</v>
      </c>
      <c r="AN16" s="3" t="s">
        <v>384</v>
      </c>
      <c r="AO16" s="3" t="str">
        <f>SUBSTITUTE('Sales_RAW(BEFORE)'!AM16,"kg","")</f>
        <v>24.48</v>
      </c>
      <c r="AP16" s="3" t="str">
        <f>_xlfn.LET(
  _xlpm.raw, UPPER(TRIM('Sales_RAW(BEFORE)'!AN16)),
  _xlpm.clean, RIGHT(_xlpm.raw, 1),
  IF(OR(_xlpm.raw="", _xlpm.raw="null"), "N/A", _xlpm.clean)
)</f>
        <v>A</v>
      </c>
      <c r="AQ16" s="3">
        <v>480</v>
      </c>
      <c r="AR16" s="3" cm="1">
        <f t="array" ref="AR16">_xlfn.LET(
  _xlpm.raw, LOWER(TRIM('Sales_RAW(BEFORE)'!AP16)),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16" s="3" t="s">
        <v>318</v>
      </c>
      <c r="AT16" s="3" t="s">
        <v>188</v>
      </c>
      <c r="AU16" s="3" t="s">
        <v>5326</v>
      </c>
      <c r="AV16" s="8">
        <f>IF(IFERROR(VALUE(SUBSTITUTE(SUBSTITUTE(TRIM('Sales_RAW(BEFORE)'!AT16), "%", ""), ",", ".")), 0) &gt; 1, IFERROR(VALUE(SUBSTITUTE(SUBSTITUTE(TRIM('Sales_RAW(BEFORE)'!AT16), "%", ""), ",", ".")), 0) / 100, IFERROR(VALUE(SUBSTITUTE(SUBSTITUTE(TRIM('Sales_RAW(BEFORE)'!AT16), "%", ""), ",", ".")), 0))</f>
        <v>0.25</v>
      </c>
      <c r="AW16" s="6">
        <f>BA16*(_xlfn.XLOOKUP(N16,Employees!$A$2:$A$26,Employees!$E$2:$E$26,2))</f>
        <v>74.663693999999992</v>
      </c>
      <c r="AX16" s="3" t="str">
        <f>PROPER('Sales_RAW(BEFORE)'!AV16)</f>
        <v>Emma Smith</v>
      </c>
      <c r="AY16" s="3" t="str">
        <f t="shared" si="3"/>
        <v>Emma Smith</v>
      </c>
      <c r="AZ16" s="3"/>
      <c r="BA16" s="24">
        <f>AK16*(1-(_xlfn.XLOOKUP(G16, Exchange_Rates!$B$8:$F$8, Exchange_Rates!$B$9:$F$9, 0)+J16))</f>
        <v>3733.1846999999998</v>
      </c>
      <c r="BB16" s="7" cm="1">
        <f t="array" ref="BB16">_xlfn.LET(
  _xlpm.raw_dt, SUBSTITUTE(TRIM(C16), ".", "/"),
  _xlpm.dt, IFERROR(DATEVALUE(_xlpm.raw_dt), C16),
  _xlpm.p_code, TRIM(E16),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46800</v>
      </c>
      <c r="BC16" s="25">
        <f t="shared" si="4"/>
        <v>933.29617499999995</v>
      </c>
    </row>
    <row r="17" spans="1:55" ht="15.75" thickBot="1" x14ac:dyDescent="0.3">
      <c r="A17" s="3" t="s">
        <v>387</v>
      </c>
      <c r="B17" s="10">
        <v>45683</v>
      </c>
      <c r="C17" s="4">
        <v>45686</v>
      </c>
      <c r="D17" s="3" t="str">
        <f>"P-" &amp; TEXT(VALUE(SUBSTITUTE(SUBSTITUTE(SUBSTITUTE(UPPER(TRIM('Sales_RAW(BEFORE)'!D17)), "P", ""), "-", ""), "_", "")),"000")</f>
        <v>P-057</v>
      </c>
      <c r="E17" s="3" t="str">
        <f>VLOOKUP(D17,Product_List!$A$2:$B$61,2,FALSE)</f>
        <v>Keyboard X 57</v>
      </c>
      <c r="F17" s="3" t="str">
        <f>_xlfn.XLOOKUP(E17,Product_List!$B$2:$B$61,Product_List!$E$2:$E$61,2)</f>
        <v>BestParts</v>
      </c>
      <c r="G17" s="3" t="str">
        <f>VLOOKUP(E17,Product_List!$B$2:$C$61,2,FALSE)</f>
        <v>Equipment</v>
      </c>
      <c r="H17" s="3" t="str">
        <f>SUBSTITUTE(SUBSTITUTE('Sales_RAW(BEFORE)'!G17,"kom",""),".","")</f>
        <v>14</v>
      </c>
      <c r="I17" s="6">
        <f>VLOOKUP(E17,Product_List!$B$2:$D$61,3,FALSE)</f>
        <v>741.71</v>
      </c>
      <c r="J17" s="5">
        <f>IF(IFERROR(VALUE(SUBSTITUTE(SUBSTITUTE(TRIM('Sales_RAW(BEFORE)'!I17), "%", ""), ",", ".")), 0) &gt; 1, IFERROR(VALUE(SUBSTITUTE(SUBSTITUTE(TRIM('Sales_RAW(BEFORE)'!I17), "%", ""), ",", ".")), 0) / 100, IFERROR(VALUE(SUBSTITUTE(SUBSTITUTE(TRIM('Sales_RAW(BEFORE)'!I17), "%", ""), ",", ".")), 0))</f>
        <v>0</v>
      </c>
      <c r="K17" s="6">
        <f t="shared" si="0"/>
        <v>10383.94</v>
      </c>
      <c r="L17" s="6" t="str" cm="1">
        <f t="array" ref="L17">_xlfn.LET(
  _xlpm.valuta, UPPER(TRIM('Sales_RAW(BEFORE)'!K17)),
  _xlfn.IFS(
    _xlpm.valuta = "", "",
    OR(_xlpm.valuta = "USD", _xlpm.valuta = "$"), "$",
    OR(_xlpm.valuta = "EUR", _xlpm.valuta = "€"), "€",
    TRUE, _xlpm.valuta
  )
)</f>
        <v>$</v>
      </c>
      <c r="M17" s="3" t="str">
        <f>"E" &amp; TEXT(VALUE(SUBSTITUTE(SUBSTITUTE(SUBSTITUTE(UPPER(TRIM('Sales_RAW(BEFORE)'!L17)), "EMP", ""), "E", ""), "-", "")),"000")</f>
        <v>E021</v>
      </c>
      <c r="N17" s="3" t="str">
        <f>_xlfn.XLOOKUP(M17,Employees!$D$2:$D$26,Employees!$A$2:$A$26)</f>
        <v>Chris Williams</v>
      </c>
      <c r="O17" s="3" t="str">
        <f>_xlfn.XLOOKUP(N17,Employees!$A$2:$A$26,Employees!$C$2:$C$26,2)</f>
        <v>Sales</v>
      </c>
      <c r="P17" s="3" t="str">
        <f>PROPER('Sales_RAW(BEFORE)'!N17)</f>
        <v>West</v>
      </c>
      <c r="Q17" s="3" t="str">
        <f>VLOOKUP(N17,Employees!$A$2:$B$26,2,FALSE)</f>
        <v>Boston</v>
      </c>
      <c r="R17" s="3" t="str">
        <f>PROPER('Sales_RAW(BEFORE)'!P17)</f>
        <v>Umbrella Ltd.</v>
      </c>
      <c r="S17" s="3" t="str">
        <f>SUBSTITUTE(SUBSTITUTE('Sales_RAW(BEFORE)'!Q17,"EIN",""),":","")</f>
        <v>987473445</v>
      </c>
      <c r="T17" s="3" t="s">
        <v>400</v>
      </c>
      <c r="U17" s="3" t="s">
        <v>401</v>
      </c>
      <c r="V17" s="3" t="s">
        <v>402</v>
      </c>
      <c r="W17" s="3" t="s">
        <v>403</v>
      </c>
      <c r="X17" s="3" t="s">
        <v>173</v>
      </c>
      <c r="Y17" s="3" t="str">
        <f>PROPER('Sales_RAW(BEFORE)'!W17)</f>
        <v>Credit Card</v>
      </c>
      <c r="Z17" s="3" t="str">
        <f>PROPER('Sales_RAW(BEFORE)'!X17)</f>
        <v>Delivered</v>
      </c>
      <c r="AA17" s="3" t="str" cm="1">
        <f t="array" ref="AA17">_xlfn.LET(
  _xlpm.val, TRIM(LOWER('Sales_RAW(BEFORE)'!Y17)),
  _xlfn.IFS(
    OR(_xlpm.val="yes", _xlpm.val="paid"), "Paid",
    OR(_xlpm.val="no", _xlpm.val="unpaid"), "Unpaid",
    OR(_xlpm.val="partial", _xlpm.val="partial paid"), "Partial",
    _xlpm.val="", "",
    TRUE, 'Sales_RAW(BEFORE)'!AY17
  )
)</f>
        <v>Unpaid</v>
      </c>
      <c r="AB17" s="3" t="s">
        <v>404</v>
      </c>
      <c r="AC17" s="3" t="str">
        <f>PROPER('Sales_RAW(BEFORE)'!AA17)</f>
        <v>Store</v>
      </c>
      <c r="AD17" s="3" t="str">
        <f>SUBSTITUTE(SUBSTITUTE(SUBSTITUTE(SUBSTITUTE('Sales_RAW(BEFORE)'!AB17,"st",""),"q",""),"Q",""),"uarter","")</f>
        <v>2</v>
      </c>
      <c r="AE17" s="3" t="str">
        <f>TEXT(IFERROR(DATEVALUE('Sales_RAW(BEFORE)'!AC17 &amp; " 1"), IFERROR(DATE(2025, 'Sales_RAW(BEFORE)'!AC17, 1), 'Sales_RAW(BEFORE)'!AC17)), "mmmm")</f>
        <v>January</v>
      </c>
      <c r="AF17" s="3">
        <f>_xlfn.LET(
  _xlpm.raw, TRIM(SUBSTITUTE('Sales_RAW(BEFORE)'!AD17, "'", "")),
  _xlpm.num, IFERROR(VALUE(_xlpm.raw), 0),
  IF(_xlpm.num &lt; 100, 2000 + _xlpm.num, _xlpm.num)
)</f>
        <v>2025</v>
      </c>
      <c r="AG17" s="3" t="str">
        <f>PROPER('Sales_RAW(BEFORE)'!AE17)</f>
        <v>Net 30</v>
      </c>
      <c r="AH17" s="3" cm="1">
        <f t="array" ref="AH17">_xlfn.LET(
  _xlpm.val, LOWER(TRIM('Sales_RAW(BEFORE)'!AF17)),
  _xlfn.IFS(
    OR(_xlpm.val="", _xlpm.val="null", _xlpm.val="N/A", _xlpm.val="-", _xlpm.val="#N/A"), 0,
    ISNUMBER('Sales_RAW(BEFORE)'!AF17), 'Sales_RAW(BEFORE)'!AF17,
    TRUE, IFERROR(_xlfn.NUMBERVALUE(_xlpm.val), 0)
  )
)</f>
        <v>81</v>
      </c>
      <c r="AI17" s="5">
        <f>IF(IFERROR(VALUE(SUBSTITUTE(SUBSTITUTE(TRIM('Sales_RAW(BEFORE)'!AG17), "%", ""), ",", ".")), 0) &gt; 1, IFERROR(VALUE(SUBSTITUTE(SUBSTITUTE(TRIM('Sales_RAW(BEFORE)'!AG17), "%", ""), ",", ".")), 0) / 100, IFERROR(VALUE(SUBSTITUTE(SUBSTITUTE(TRIM('Sales_RAW(BEFORE)'!AG17), "%", ""), ",", ".")), 0))</f>
        <v>0.08</v>
      </c>
      <c r="AJ17" s="6">
        <f t="shared" si="1"/>
        <v>830.7152000000001</v>
      </c>
      <c r="AK17" s="6">
        <f t="shared" si="2"/>
        <v>11214.655200000001</v>
      </c>
      <c r="AL17" s="6">
        <f>IFERROR(VALUE(SUBSTITUTE(SUBSTITUTE(SUBSTITUTE('Sales_RAW(BEFORE)'!AJ17,"$",""),"USD",""),",",".")),0)</f>
        <v>10</v>
      </c>
      <c r="AM17" s="3" t="str">
        <f>SUBSTITUTE(SUBSTITUTE(PROPER('Sales_RAW(BEFORE)'!AK17), "Fed Ex", "FedEx"),"Fedex","FedEx")</f>
        <v>FedEx</v>
      </c>
      <c r="AN17" s="3" t="s">
        <v>407</v>
      </c>
      <c r="AO17" s="3" t="str">
        <f>SUBSTITUTE('Sales_RAW(BEFORE)'!AM17,"kg","")</f>
        <v xml:space="preserve">6.8 </v>
      </c>
      <c r="AP17" s="3" t="str">
        <f>_xlfn.LET(
  _xlpm.raw, UPPER(TRIM('Sales_RAW(BEFORE)'!AN17)),
  _xlpm.clean, RIGHT(_xlpm.raw, 1),
  IF(OR(_xlpm.raw="", _xlpm.raw="null"), "N/A", _xlpm.clean)
)</f>
        <v>B</v>
      </c>
      <c r="AQ17" s="3">
        <v>11</v>
      </c>
      <c r="AR17" s="3" cm="1">
        <f t="array" ref="AR17">_xlfn.LET(
  _xlpm.raw, LOWER(TRIM('Sales_RAW(BEFORE)'!AP17)),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7" s="3"/>
      <c r="AT17" s="3"/>
      <c r="AU17" s="3"/>
      <c r="AV17" s="8">
        <f>IF(IFERROR(VALUE(SUBSTITUTE(SUBSTITUTE(TRIM('Sales_RAW(BEFORE)'!AT17), "%", ""), ",", ".")), 0) &gt; 1, IFERROR(VALUE(SUBSTITUTE(SUBSTITUTE(TRIM('Sales_RAW(BEFORE)'!AT17), "%", ""), ",", ".")), 0) / 100, IFERROR(VALUE(SUBSTITUTE(SUBSTITUTE(TRIM('Sales_RAW(BEFORE)'!AT17), "%", ""), ",", ".")), 0))</f>
        <v>0</v>
      </c>
      <c r="AW17" s="6">
        <f>BA17*(_xlfn.XLOOKUP(N17,Employees!$A$2:$A$26,Employees!$E$2:$E$26,2))</f>
        <v>302.79569040000001</v>
      </c>
      <c r="AX17" s="3" t="str">
        <f>PROPER('Sales_RAW(BEFORE)'!AV17)</f>
        <v xml:space="preserve">David Jones   </v>
      </c>
      <c r="AY17" s="3" t="str">
        <f t="shared" si="3"/>
        <v xml:space="preserve">David Jones   </v>
      </c>
      <c r="AZ17" s="3"/>
      <c r="BA17" s="24">
        <f>AK17*(1-(_xlfn.XLOOKUP(G17, Exchange_Rates!$B$8:$F$8, Exchange_Rates!$B$9:$F$9, 0)+J17))</f>
        <v>10093.189680000001</v>
      </c>
      <c r="BB17" s="7" cm="1">
        <f t="array" ref="BB17">_xlfn.LET(
  _xlpm.raw_dt, SUBSTITUTE(TRIM(C17), ".", "/"),
  _xlpm.dt, IFERROR(DATEVALUE(_xlpm.raw_dt), C17),
  _xlpm.p_code, TRIM(E17),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46781</v>
      </c>
      <c r="BC17" s="25">
        <f t="shared" si="4"/>
        <v>0</v>
      </c>
    </row>
    <row r="18" spans="1:55" ht="15.75" thickBot="1" x14ac:dyDescent="0.3">
      <c r="A18" s="3" t="s">
        <v>410</v>
      </c>
      <c r="B18" s="10">
        <v>46122</v>
      </c>
      <c r="C18" s="4">
        <f>DATE(2026,4,22)</f>
        <v>46134</v>
      </c>
      <c r="D18" s="3" t="str">
        <f>"P-" &amp; TEXT(VALUE(SUBSTITUTE(SUBSTITUTE(SUBSTITUTE(UPPER(TRIM('Sales_RAW(BEFORE)'!D18)), "P", ""), "-", ""), "_", "")),"000")</f>
        <v>P-042</v>
      </c>
      <c r="E18" s="3" t="str">
        <f>VLOOKUP(D18,Product_List!$A$2:$B$61,2,FALSE)</f>
        <v>Desk Max 42</v>
      </c>
      <c r="F18" s="3" t="str">
        <f>_xlfn.XLOOKUP(E18,Product_List!$B$2:$B$61,Product_List!$E$2:$E$61,2)</f>
        <v>TechSupply Co</v>
      </c>
      <c r="G18" s="3" t="str">
        <f>VLOOKUP(E18,Product_List!$B$2:$C$61,2,FALSE)</f>
        <v>Electronics</v>
      </c>
      <c r="H18" s="3" t="str">
        <f>SUBSTITUTE(SUBSTITUTE('Sales_RAW(BEFORE)'!G18,"kom",""),".","")</f>
        <v>21</v>
      </c>
      <c r="I18" s="6">
        <f>VLOOKUP(E18,Product_List!$B$2:$D$61,3,FALSE)</f>
        <v>158.06</v>
      </c>
      <c r="J18" s="5">
        <f>IF(IFERROR(VALUE(SUBSTITUTE(SUBSTITUTE(TRIM('Sales_RAW(BEFORE)'!I18), "%", ""), ",", ".")), 0) &gt; 1, IFERROR(VALUE(SUBSTITUTE(SUBSTITUTE(TRIM('Sales_RAW(BEFORE)'!I18), "%", ""), ",", ".")), 0) / 100, IFERROR(VALUE(SUBSTITUTE(SUBSTITUTE(TRIM('Sales_RAW(BEFORE)'!I18), "%", ""), ",", ".")), 0))</f>
        <v>0.1</v>
      </c>
      <c r="K18" s="6">
        <f t="shared" si="0"/>
        <v>3319.26</v>
      </c>
      <c r="L18" s="6" t="str" cm="1">
        <f t="array" ref="L18">_xlfn.LET(
  _xlpm.valuta, UPPER(TRIM('Sales_RAW(BEFORE)'!K18)),
  _xlfn.IFS(
    _xlpm.valuta = "", "",
    OR(_xlpm.valuta = "USD", _xlpm.valuta = "$"), "$",
    OR(_xlpm.valuta = "EUR", _xlpm.valuta = "€"), "€",
    TRUE, _xlpm.valuta
  )
)</f>
        <v>$</v>
      </c>
      <c r="M18" s="3" t="str">
        <f>"E" &amp; TEXT(VALUE(SUBSTITUTE(SUBSTITUTE(SUBSTITUTE(UPPER(TRIM('Sales_RAW(BEFORE)'!L18)), "EMP", ""), "E", ""), "-", "")),"000")</f>
        <v>E004</v>
      </c>
      <c r="N18" s="3" t="str">
        <f>_xlfn.XLOOKUP(M18,Employees!$D$2:$D$26,Employees!$A$2:$A$26)</f>
        <v>Sophia Johnson</v>
      </c>
      <c r="O18" s="3" t="str">
        <f>_xlfn.XLOOKUP(N18,Employees!$A$2:$A$26,Employees!$C$2:$C$26,2)</f>
        <v>Wholesale</v>
      </c>
      <c r="P18" s="3" t="str">
        <f>PROPER('Sales_RAW(BEFORE)'!N18)</f>
        <v>North</v>
      </c>
      <c r="Q18" s="3" t="str">
        <f>VLOOKUP(N18,Employees!$A$2:$B$26,2,FALSE)</f>
        <v>Houston</v>
      </c>
      <c r="R18" s="3" t="str">
        <f>PROPER('Sales_RAW(BEFORE)'!P18)</f>
        <v>Umbrella Inc</v>
      </c>
      <c r="S18" s="3" t="str">
        <f>SUBSTITUTE(SUBSTITUTE('Sales_RAW(BEFORE)'!Q18,"EIN",""),":","")</f>
        <v xml:space="preserve"> 896834466</v>
      </c>
      <c r="T18" s="3" t="s">
        <v>420</v>
      </c>
      <c r="U18" s="3" t="s">
        <v>421</v>
      </c>
      <c r="V18" s="3" t="s">
        <v>422</v>
      </c>
      <c r="W18" s="3" t="s">
        <v>423</v>
      </c>
      <c r="X18" s="3" t="s">
        <v>173</v>
      </c>
      <c r="Y18" s="3" t="str">
        <f>PROPER('Sales_RAW(BEFORE)'!W18)</f>
        <v>Paypal</v>
      </c>
      <c r="Z18" s="3" t="str">
        <f>PROPER('Sales_RAW(BEFORE)'!X18)</f>
        <v>Pending</v>
      </c>
      <c r="AA18" s="3" t="str" cm="1">
        <f t="array" ref="AA18">_xlfn.LET(
  _xlpm.val, TRIM(LOWER('Sales_RAW(BEFORE)'!Y18)),
  _xlfn.IFS(
    OR(_xlpm.val="yes", _xlpm.val="paid"), "Paid",
    OR(_xlpm.val="no", _xlpm.val="unpaid"), "Unpaid",
    OR(_xlpm.val="partial", _xlpm.val="partial paid"), "Partial",
    _xlpm.val="", "",
    TRUE, 'Sales_RAW(BEFORE)'!AY18
  )
)</f>
        <v>Unpaid</v>
      </c>
      <c r="AB18" s="3" t="s">
        <v>425</v>
      </c>
      <c r="AC18" s="3" t="str">
        <f>PROPER('Sales_RAW(BEFORE)'!AA18)</f>
        <v>Store</v>
      </c>
      <c r="AD18" s="3" t="str">
        <f>SUBSTITUTE(SUBSTITUTE(SUBSTITUTE(SUBSTITUTE('Sales_RAW(BEFORE)'!AB18,"st",""),"q",""),"Q",""),"uarter","")</f>
        <v>3</v>
      </c>
      <c r="AE18" s="3" t="str">
        <f>TEXT(IFERROR(DATEVALUE('Sales_RAW(BEFORE)'!AC18 &amp; " 1"), IFERROR(DATE(2025, 'Sales_RAW(BEFORE)'!AC18, 1), 'Sales_RAW(BEFORE)'!AC18)), "mmmm")</f>
        <v>April</v>
      </c>
      <c r="AF18" s="3">
        <f>_xlfn.LET(
  _xlpm.raw, TRIM(SUBSTITUTE('Sales_RAW(BEFORE)'!AD18, "'", "")),
  _xlpm.num, IFERROR(VALUE(_xlpm.raw), 0),
  IF(_xlpm.num &lt; 100, 2000 + _xlpm.num, _xlpm.num)
)</f>
        <v>2026</v>
      </c>
      <c r="AG18" s="3" t="str">
        <f>PROPER('Sales_RAW(BEFORE)'!AE18)</f>
        <v>15</v>
      </c>
      <c r="AH18" s="3" cm="1">
        <f t="array" ref="AH18">_xlfn.LET(
  _xlpm.val, LOWER(TRIM('Sales_RAW(BEFORE)'!AF18)),
  _xlfn.IFS(
    OR(_xlpm.val="", _xlpm.val="null", _xlpm.val="N/A", _xlpm.val="-", _xlpm.val="#N/A"), 0,
    ISNUMBER('Sales_RAW(BEFORE)'!AF18), 'Sales_RAW(BEFORE)'!AF18,
    TRUE, IFERROR(_xlfn.NUMBERVALUE(_xlpm.val), 0)
  )
)</f>
        <v>38</v>
      </c>
      <c r="AI18" s="5">
        <f>IF(IFERROR(VALUE(SUBSTITUTE(SUBSTITUTE(TRIM('Sales_RAW(BEFORE)'!AG18), "%", ""), ",", ".")), 0) &gt; 1, IFERROR(VALUE(SUBSTITUTE(SUBSTITUTE(TRIM('Sales_RAW(BEFORE)'!AG18), "%", ""), ",", ".")), 0) / 100, IFERROR(VALUE(SUBSTITUTE(SUBSTITUTE(TRIM('Sales_RAW(BEFORE)'!AG18), "%", ""), ",", ".")), 0))</f>
        <v>0.08</v>
      </c>
      <c r="AJ18" s="6">
        <f t="shared" si="1"/>
        <v>265.54080000000005</v>
      </c>
      <c r="AK18" s="6">
        <f t="shared" si="2"/>
        <v>3584.8008000000004</v>
      </c>
      <c r="AL18" s="6">
        <f>IFERROR(VALUE(SUBSTITUTE(SUBSTITUTE(SUBSTITUTE('Sales_RAW(BEFORE)'!AJ18,"$",""),"USD",""),",",".")),0)</f>
        <v>50</v>
      </c>
      <c r="AM18" s="3" t="str">
        <f>SUBSTITUTE(SUBSTITUTE(PROPER('Sales_RAW(BEFORE)'!AK18), "Fed Ex", "FedEx"),"Fedex","FedEx")</f>
        <v>FedEx</v>
      </c>
      <c r="AN18" s="3" t="s">
        <v>427</v>
      </c>
      <c r="AO18" s="3" t="str">
        <f>SUBSTITUTE('Sales_RAW(BEFORE)'!AM18,"kg","")</f>
        <v>5,88</v>
      </c>
      <c r="AP18" s="3" t="str">
        <f>_xlfn.LET(
  _xlpm.raw, UPPER(TRIM('Sales_RAW(BEFORE)'!AN18)),
  _xlpm.clean, RIGHT(_xlpm.raw, 1),
  IF(OR(_xlpm.raw="", _xlpm.raw="null"), "N/A", _xlpm.clean)
)</f>
        <v>C</v>
      </c>
      <c r="AQ18" s="3">
        <v>369</v>
      </c>
      <c r="AR18" s="3" cm="1">
        <f t="array" ref="AR18">_xlfn.LET(
  _xlpm.raw, LOWER(TRIM('Sales_RAW(BEFORE)'!AP18)),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18" s="3"/>
      <c r="AT18" s="3"/>
      <c r="AU18" s="3"/>
      <c r="AV18" s="8">
        <f>IF(IFERROR(VALUE(SUBSTITUTE(SUBSTITUTE(TRIM('Sales_RAW(BEFORE)'!AT18), "%", ""), ",", ".")), 0) &gt; 1, IFERROR(VALUE(SUBSTITUTE(SUBSTITUTE(TRIM('Sales_RAW(BEFORE)'!AT18), "%", ""), ",", ".")), 0) / 100, IFERROR(VALUE(SUBSTITUTE(SUBSTITUTE(TRIM('Sales_RAW(BEFORE)'!AT18), "%", ""), ",", ".")), 0))</f>
        <v>0</v>
      </c>
      <c r="AW18" s="6">
        <f>BA18*(_xlfn.XLOOKUP(N18,Employees!$A$2:$A$26,Employees!$E$2:$E$26,2))</f>
        <v>143.39203200000003</v>
      </c>
      <c r="AX18" s="3" t="str">
        <f>PROPER('Sales_RAW(BEFORE)'!AV18)</f>
        <v>David Johnson</v>
      </c>
      <c r="AY18" s="3" t="str">
        <f t="shared" si="3"/>
        <v>David Johnson</v>
      </c>
      <c r="AZ18" s="3"/>
      <c r="BA18" s="24">
        <f>AK18*(1-(_xlfn.XLOOKUP(G18, Exchange_Rates!$B$8:$F$8, Exchange_Rates!$B$9:$F$9, 0)+J18))</f>
        <v>2867.8406400000003</v>
      </c>
      <c r="BB18" s="7" cm="1">
        <f t="array" ref="BB18">_xlfn.LET(
  _xlpm.raw_dt, SUBSTITUTE(TRIM(C18), ".", "/"),
  _xlpm.dt, IFERROR(DATEVALUE(_xlpm.raw_dt), C18),
  _xlpm.p_code, TRIM(E18),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47230</v>
      </c>
      <c r="BC18" s="25">
        <f t="shared" si="4"/>
        <v>0</v>
      </c>
    </row>
    <row r="19" spans="1:55" ht="15.75" thickBot="1" x14ac:dyDescent="0.3">
      <c r="A19" s="3" t="s">
        <v>432</v>
      </c>
      <c r="B19" s="10">
        <v>45917</v>
      </c>
      <c r="C19" s="4">
        <f>DATE(2025,9,21)</f>
        <v>45921</v>
      </c>
      <c r="D19" s="3" t="str">
        <f>"P-" &amp; TEXT(VALUE(SUBSTITUTE(SUBSTITUTE(SUBSTITUTE(UPPER(TRIM('Sales_RAW(BEFORE)'!D19)), "P", ""), "-", ""), "_", "")),"000")</f>
        <v>P-046</v>
      </c>
      <c r="E19" s="3" t="str">
        <f>VLOOKUP(D19,Product_List!$A$2:$B$61,2,FALSE)</f>
        <v>Chair Basic 46</v>
      </c>
      <c r="F19" s="3" t="str">
        <f>_xlfn.XLOOKUP(E19,Product_List!$B$2:$B$61,Product_List!$E$2:$E$61,2)</f>
        <v>Global Distrib</v>
      </c>
      <c r="G19" s="3" t="str">
        <f>VLOOKUP(E19,Product_List!$B$2:$C$61,2,FALSE)</f>
        <v>Equipment</v>
      </c>
      <c r="H19" s="3" t="str">
        <f>SUBSTITUTE(SUBSTITUTE('Sales_RAW(BEFORE)'!G19,"kom",""),".","")</f>
        <v>12</v>
      </c>
      <c r="I19" s="6">
        <f>VLOOKUP(E19,Product_List!$B$2:$D$61,3,FALSE)</f>
        <v>549.41999999999996</v>
      </c>
      <c r="J19" s="5">
        <f>IF(IFERROR(VALUE(SUBSTITUTE(SUBSTITUTE(TRIM('Sales_RAW(BEFORE)'!I19), "%", ""), ",", ".")), 0) &gt; 1, IFERROR(VALUE(SUBSTITUTE(SUBSTITUTE(TRIM('Sales_RAW(BEFORE)'!I19), "%", ""), ",", ".")), 0) / 100, IFERROR(VALUE(SUBSTITUTE(SUBSTITUTE(TRIM('Sales_RAW(BEFORE)'!I19), "%", ""), ",", ".")), 0))</f>
        <v>0</v>
      </c>
      <c r="K19" s="6">
        <f t="shared" si="0"/>
        <v>6593.0399999999991</v>
      </c>
      <c r="L19" s="6" t="str" cm="1">
        <f t="array" ref="L19">_xlfn.LET(
  _xlpm.valuta, UPPER(TRIM('Sales_RAW(BEFORE)'!K19)),
  _xlfn.IFS(
    _xlpm.valuta = "", "",
    OR(_xlpm.valuta = "USD", _xlpm.valuta = "$"), "$",
    OR(_xlpm.valuta = "EUR", _xlpm.valuta = "€"), "€",
    TRUE, _xlpm.valuta
  )
)</f>
        <v>$</v>
      </c>
      <c r="M19" s="3" t="str">
        <f>"E" &amp; TEXT(VALUE(SUBSTITUTE(SUBSTITUTE(SUBSTITUTE(UPPER(TRIM('Sales_RAW(BEFORE)'!L19)), "EMP", ""), "E", ""), "-", "")),"000")</f>
        <v>E013</v>
      </c>
      <c r="N19" s="3" t="str">
        <f>_xlfn.XLOOKUP(M19,Employees!$D$2:$D$26,Employees!$A$2:$A$26)</f>
        <v>Robert Williams</v>
      </c>
      <c r="O19" s="3" t="str">
        <f>_xlfn.XLOOKUP(N19,Employees!$A$2:$A$26,Employees!$C$2:$C$26,2)</f>
        <v>Wholesale</v>
      </c>
      <c r="P19" s="3" t="str">
        <f>PROPER('Sales_RAW(BEFORE)'!N19)</f>
        <v>South</v>
      </c>
      <c r="Q19" s="3" t="str">
        <f>VLOOKUP(N19,Employees!$A$2:$B$26,2,FALSE)</f>
        <v>Houston</v>
      </c>
      <c r="R19" s="3" t="str">
        <f>PROPER('Sales_RAW(BEFORE)'!P19)</f>
        <v xml:space="preserve">  Vortex Inc</v>
      </c>
      <c r="S19" s="3" t="str">
        <f>SUBSTITUTE(SUBSTITUTE('Sales_RAW(BEFORE)'!Q19,"EIN",""),":","")</f>
        <v>280294956</v>
      </c>
      <c r="T19" s="3" t="s">
        <v>201</v>
      </c>
      <c r="U19" s="3" t="s">
        <v>443</v>
      </c>
      <c r="V19" s="3" t="s">
        <v>444</v>
      </c>
      <c r="W19" s="3" t="s">
        <v>445</v>
      </c>
      <c r="X19" s="3" t="s">
        <v>173</v>
      </c>
      <c r="Y19" s="3" t="str">
        <f>PROPER('Sales_RAW(BEFORE)'!W19)</f>
        <v>Wire Transfer</v>
      </c>
      <c r="Z19" s="3" t="str">
        <f>PROPER('Sales_RAW(BEFORE)'!X19)</f>
        <v>Cancelled</v>
      </c>
      <c r="AA19" s="3" t="str" cm="1">
        <f t="array" ref="AA19">_xlfn.LET(
  _xlpm.val, TRIM(LOWER('Sales_RAW(BEFORE)'!Y19)),
  _xlfn.IFS(
    OR(_xlpm.val="yes", _xlpm.val="paid"), "Paid",
    OR(_xlpm.val="no", _xlpm.val="unpaid"), "Unpaid",
    OR(_xlpm.val="partial", _xlpm.val="partial paid"), "Partial",
    _xlpm.val="", "",
    TRUE, 'Sales_RAW(BEFORE)'!AY19
  )
)</f>
        <v>Paid</v>
      </c>
      <c r="AB19" s="3" t="s">
        <v>446</v>
      </c>
      <c r="AC19" s="3" t="str">
        <f>PROPER('Sales_RAW(BEFORE)'!AA19)</f>
        <v>Online</v>
      </c>
      <c r="AD19" s="3" t="str">
        <f>SUBSTITUTE(SUBSTITUTE(SUBSTITUTE(SUBSTITUTE('Sales_RAW(BEFORE)'!AB19,"st",""),"q",""),"Q",""),"uarter","")</f>
        <v>2</v>
      </c>
      <c r="AE19" s="3" t="str">
        <f>TEXT(IFERROR(DATEVALUE('Sales_RAW(BEFORE)'!AC19 &amp; " 1"), IFERROR(DATE(2025, 'Sales_RAW(BEFORE)'!AC19, 1), 'Sales_RAW(BEFORE)'!AC19)), "mmmm")</f>
        <v>September</v>
      </c>
      <c r="AF19" s="3">
        <f>_xlfn.LET(
  _xlpm.raw, TRIM(SUBSTITUTE('Sales_RAW(BEFORE)'!AD19, "'", "")),
  _xlpm.num, IFERROR(VALUE(_xlpm.raw), 0),
  IF(_xlpm.num &lt; 100, 2000 + _xlpm.num, _xlpm.num)
)</f>
        <v>2025</v>
      </c>
      <c r="AG19" s="3" t="str">
        <f>PROPER('Sales_RAW(BEFORE)'!AE19)</f>
        <v>Immediate</v>
      </c>
      <c r="AH19" s="3" cm="1">
        <f t="array" ref="AH19">_xlfn.LET(
  _xlpm.val, LOWER(TRIM('Sales_RAW(BEFORE)'!AF19)),
  _xlfn.IFS(
    OR(_xlpm.val="", _xlpm.val="null", _xlpm.val="N/A", _xlpm.val="-", _xlpm.val="#N/A"), 0,
    ISNUMBER('Sales_RAW(BEFORE)'!AF19), 'Sales_RAW(BEFORE)'!AF19,
    TRUE, IFERROR(_xlfn.NUMBERVALUE(_xlpm.val), 0)
  )
)</f>
        <v>31</v>
      </c>
      <c r="AI19" s="5">
        <f>IF(IFERROR(VALUE(SUBSTITUTE(SUBSTITUTE(TRIM('Sales_RAW(BEFORE)'!AG19), "%", ""), ",", ".")), 0) &gt; 1, IFERROR(VALUE(SUBSTITUTE(SUBSTITUTE(TRIM('Sales_RAW(BEFORE)'!AG19), "%", ""), ",", ".")), 0) / 100, IFERROR(VALUE(SUBSTITUTE(SUBSTITUTE(TRIM('Sales_RAW(BEFORE)'!AG19), "%", ""), ",", ".")), 0))</f>
        <v>0.08</v>
      </c>
      <c r="AJ19" s="6">
        <f t="shared" si="1"/>
        <v>527.44319999999993</v>
      </c>
      <c r="AK19" s="6">
        <f t="shared" si="2"/>
        <v>7120.4831999999988</v>
      </c>
      <c r="AL19" s="6">
        <f>IFERROR(VALUE(SUBSTITUTE(SUBSTITUTE(SUBSTITUTE('Sales_RAW(BEFORE)'!AJ19,"$",""),"USD",""),",",".")),0)</f>
        <v>8.02</v>
      </c>
      <c r="AM19" s="3" t="str">
        <f>SUBSTITUTE(SUBSTITUTE(PROPER('Sales_RAW(BEFORE)'!AK19), "Fed Ex", "FedEx"),"Fedex","FedEx")</f>
        <v>Dhl</v>
      </c>
      <c r="AN19" s="3" t="s">
        <v>449</v>
      </c>
      <c r="AO19" s="3" t="str">
        <f>SUBSTITUTE('Sales_RAW(BEFORE)'!AM19,"kg","")</f>
        <v>12,83</v>
      </c>
      <c r="AP19" s="3" t="str">
        <f>_xlfn.LET(
  _xlpm.raw, UPPER(TRIM('Sales_RAW(BEFORE)'!AN19)),
  _xlpm.clean, RIGHT(_xlpm.raw, 1),
  IF(OR(_xlpm.raw="", _xlpm.raw="null"), "N/A", _xlpm.clean)
)</f>
        <v>A</v>
      </c>
      <c r="AQ19" s="3">
        <v>92</v>
      </c>
      <c r="AR19" s="3" cm="1">
        <f t="array" ref="AR19">_xlfn.LET(
  _xlpm.raw, LOWER(TRIM('Sales_RAW(BEFORE)'!AP19)),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19" s="3" t="s">
        <v>318</v>
      </c>
      <c r="AT19" s="3" t="s">
        <v>188</v>
      </c>
      <c r="AU19" s="3" t="s">
        <v>5334</v>
      </c>
      <c r="AV19" s="8">
        <f>IF(IFERROR(VALUE(SUBSTITUTE(SUBSTITUTE(TRIM('Sales_RAW(BEFORE)'!AT19), "%", ""), ",", ".")), 0) &gt; 1, IFERROR(VALUE(SUBSTITUTE(SUBSTITUTE(TRIM('Sales_RAW(BEFORE)'!AT19), "%", ""), ",", ".")), 0) / 100, IFERROR(VALUE(SUBSTITUTE(SUBSTITUTE(TRIM('Sales_RAW(BEFORE)'!AT19), "%", ""), ",", ".")), 0))</f>
        <v>0.3</v>
      </c>
      <c r="AW19" s="6">
        <f>BA19*(_xlfn.XLOOKUP(N19,Employees!$A$2:$A$26,Employees!$E$2:$E$26,2))</f>
        <v>320.42174399999999</v>
      </c>
      <c r="AX19" s="3" t="str">
        <f>PROPER('Sales_RAW(BEFORE)'!AV19)</f>
        <v>Laura Smith</v>
      </c>
      <c r="AY19" s="3" t="str">
        <f t="shared" si="3"/>
        <v>Laura Smith</v>
      </c>
      <c r="AZ19" s="3"/>
      <c r="BA19" s="24">
        <f>AK19*(1-(_xlfn.XLOOKUP(G19, Exchange_Rates!$B$8:$F$8, Exchange_Rates!$B$9:$F$9, 0)+J19))</f>
        <v>6408.4348799999989</v>
      </c>
      <c r="BB19" s="7" cm="1">
        <f t="array" ref="BB19">_xlfn.LET(
  _xlpm.raw_dt, SUBSTITUTE(TRIM(C19), ".", "/"),
  _xlpm.dt, IFERROR(DATEVALUE(_xlpm.raw_dt), C19),
  _xlpm.p_code, TRIM(E19),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47017</v>
      </c>
      <c r="BC19" s="25">
        <f t="shared" si="4"/>
        <v>1922.5304639999995</v>
      </c>
    </row>
    <row r="20" spans="1:55" ht="15.75" thickBot="1" x14ac:dyDescent="0.3">
      <c r="A20" s="3" t="s">
        <v>453</v>
      </c>
      <c r="B20" s="10">
        <v>45787</v>
      </c>
      <c r="C20" s="4">
        <v>45796</v>
      </c>
      <c r="D20" s="3" t="str">
        <f>"P-" &amp; TEXT(VALUE(SUBSTITUTE(SUBSTITUTE(SUBSTITUTE(UPPER(TRIM('Sales_RAW(BEFORE)'!D20)), "P", ""), "-", ""), "_", "")),"000")</f>
        <v>P-046</v>
      </c>
      <c r="E20" s="3" t="str">
        <f>VLOOKUP(D20,Product_List!$A$2:$B$61,2,FALSE)</f>
        <v>Chair Basic 46</v>
      </c>
      <c r="F20" s="3" t="str">
        <f>_xlfn.XLOOKUP(E20,Product_List!$B$2:$B$61,Product_List!$E$2:$E$61,2)</f>
        <v>Global Distrib</v>
      </c>
      <c r="G20" s="3" t="str">
        <f>VLOOKUP(E20,Product_List!$B$2:$C$61,2,FALSE)</f>
        <v>Equipment</v>
      </c>
      <c r="H20" s="3" t="str">
        <f>SUBSTITUTE(SUBSTITUTE('Sales_RAW(BEFORE)'!G20,"kom",""),".","")</f>
        <v xml:space="preserve">7 </v>
      </c>
      <c r="I20" s="6">
        <f>VLOOKUP(E20,Product_List!$B$2:$D$61,3,FALSE)</f>
        <v>549.41999999999996</v>
      </c>
      <c r="J20" s="5">
        <f>IF(IFERROR(VALUE(SUBSTITUTE(SUBSTITUTE(TRIM('Sales_RAW(BEFORE)'!I20), "%", ""), ",", ".")), 0) &gt; 1, IFERROR(VALUE(SUBSTITUTE(SUBSTITUTE(TRIM('Sales_RAW(BEFORE)'!I20), "%", ""), ",", ".")), 0) / 100, IFERROR(VALUE(SUBSTITUTE(SUBSTITUTE(TRIM('Sales_RAW(BEFORE)'!I20), "%", ""), ",", ".")), 0))</f>
        <v>0.05</v>
      </c>
      <c r="K20" s="6">
        <f t="shared" si="0"/>
        <v>3845.9399999999996</v>
      </c>
      <c r="L20" s="6" t="str" cm="1">
        <f t="array" ref="L20">_xlfn.LET(
  _xlpm.valuta, UPPER(TRIM('Sales_RAW(BEFORE)'!K20)),
  _xlfn.IFS(
    _xlpm.valuta = "", "",
    OR(_xlpm.valuta = "USD", _xlpm.valuta = "$"), "$",
    OR(_xlpm.valuta = "EUR", _xlpm.valuta = "€"), "€",
    TRUE, _xlpm.valuta
  )
)</f>
        <v>$</v>
      </c>
      <c r="M20" s="3" t="str">
        <f>"E" &amp; TEXT(VALUE(SUBSTITUTE(SUBSTITUTE(SUBSTITUTE(UPPER(TRIM('Sales_RAW(BEFORE)'!L20)), "EMP", ""), "E", ""), "-", "")),"000")</f>
        <v>E014</v>
      </c>
      <c r="N20" s="3" t="str">
        <f>_xlfn.XLOOKUP(M20,Employees!$D$2:$D$26,Employees!$A$2:$A$26)</f>
        <v>Sophia Brown</v>
      </c>
      <c r="O20" s="3" t="str">
        <f>_xlfn.XLOOKUP(N20,Employees!$A$2:$A$26,Employees!$C$2:$C$26,2)</f>
        <v>Online</v>
      </c>
      <c r="P20" s="3" t="str">
        <f>PROPER('Sales_RAW(BEFORE)'!N20)</f>
        <v>West</v>
      </c>
      <c r="Q20" s="3" t="str">
        <f>VLOOKUP(N20,Employees!$A$2:$B$26,2,FALSE)</f>
        <v>New York</v>
      </c>
      <c r="R20" s="3" t="str">
        <f>PROPER('Sales_RAW(BEFORE)'!P20)</f>
        <v xml:space="preserve"> Initech Llc  </v>
      </c>
      <c r="S20" s="3" t="str">
        <f>SUBSTITUTE(SUBSTITUTE('Sales_RAW(BEFORE)'!Q20,"EIN",""),":","")</f>
        <v>753571200</v>
      </c>
      <c r="T20" s="3" t="s">
        <v>464</v>
      </c>
      <c r="U20" s="3" t="s">
        <v>465</v>
      </c>
      <c r="V20" s="3" t="s">
        <v>466</v>
      </c>
      <c r="W20" s="3" t="s">
        <v>467</v>
      </c>
      <c r="X20" s="3" t="s">
        <v>173</v>
      </c>
      <c r="Y20" s="3" t="str">
        <f>PROPER('Sales_RAW(BEFORE)'!W20)</f>
        <v>Wire Transfer</v>
      </c>
      <c r="Z20" s="3" t="str">
        <f>PROPER('Sales_RAW(BEFORE)'!X20)</f>
        <v>Delivered</v>
      </c>
      <c r="AA20" s="3" t="str" cm="1">
        <f t="array" ref="AA20">_xlfn.LET(
  _xlpm.val, TRIM(LOWER('Sales_RAW(BEFORE)'!Y20)),
  _xlfn.IFS(
    OR(_xlpm.val="yes", _xlpm.val="paid"), "Paid",
    OR(_xlpm.val="no", _xlpm.val="unpaid"), "Unpaid",
    OR(_xlpm.val="partial", _xlpm.val="partial paid"), "Partial",
    _xlpm.val="", "",
    TRUE, 'Sales_RAW(BEFORE)'!AY20
  )
)</f>
        <v>Unpaid</v>
      </c>
      <c r="AB20" s="3" t="s">
        <v>468</v>
      </c>
      <c r="AC20" s="3" t="str">
        <f>PROPER('Sales_RAW(BEFORE)'!AA20)</f>
        <v>Online</v>
      </c>
      <c r="AD20" s="3" t="str">
        <f>SUBSTITUTE(SUBSTITUTE(SUBSTITUTE(SUBSTITUTE('Sales_RAW(BEFORE)'!AB20,"st",""),"q",""),"Q",""),"uarter","")</f>
        <v xml:space="preserve">1 </v>
      </c>
      <c r="AE20" s="3" t="str">
        <f>TEXT(IFERROR(DATEVALUE('Sales_RAW(BEFORE)'!AC20 &amp; " 1"), IFERROR(DATE(2025, 'Sales_RAW(BEFORE)'!AC20, 1), 'Sales_RAW(BEFORE)'!AC20)), "mmmm")</f>
        <v>May</v>
      </c>
      <c r="AF20" s="3">
        <f>_xlfn.LET(
  _xlpm.raw, TRIM(SUBSTITUTE('Sales_RAW(BEFORE)'!AD20, "'", "")),
  _xlpm.num, IFERROR(VALUE(_xlpm.raw), 0),
  IF(_xlpm.num &lt; 100, 2000 + _xlpm.num, _xlpm.num)
)</f>
        <v>2025</v>
      </c>
      <c r="AG20" s="3" t="str">
        <f>PROPER('Sales_RAW(BEFORE)'!AE20)</f>
        <v>Net 60</v>
      </c>
      <c r="AH20" s="3" cm="1">
        <f t="array" ref="AH20">_xlfn.LET(
  _xlpm.val, LOWER(TRIM('Sales_RAW(BEFORE)'!AF20)),
  _xlfn.IFS(
    OR(_xlpm.val="", _xlpm.val="null", _xlpm.val="N/A", _xlpm.val="-", _xlpm.val="#N/A"), 0,
    ISNUMBER('Sales_RAW(BEFORE)'!AF20), 'Sales_RAW(BEFORE)'!AF20,
    TRUE, IFERROR(_xlfn.NUMBERVALUE(_xlpm.val), 0)
  )
)</f>
        <v>0</v>
      </c>
      <c r="AI20" s="5">
        <f>IF(IFERROR(VALUE(SUBSTITUTE(SUBSTITUTE(TRIM('Sales_RAW(BEFORE)'!AG20), "%", ""), ",", ".")), 0) &gt; 1, IFERROR(VALUE(SUBSTITUTE(SUBSTITUTE(TRIM('Sales_RAW(BEFORE)'!AG20), "%", ""), ",", ".")), 0) / 100, IFERROR(VALUE(SUBSTITUTE(SUBSTITUTE(TRIM('Sales_RAW(BEFORE)'!AG20), "%", ""), ",", ".")), 0))</f>
        <v>0.08</v>
      </c>
      <c r="AJ20" s="6">
        <f t="shared" si="1"/>
        <v>307.67519999999996</v>
      </c>
      <c r="AK20" s="6">
        <f t="shared" si="2"/>
        <v>4153.6151999999993</v>
      </c>
      <c r="AL20" s="6">
        <f>IFERROR(VALUE(SUBSTITUTE(SUBSTITUTE(SUBSTITUTE('Sales_RAW(BEFORE)'!AJ20,"$",""),"USD",""),",",".")),0)</f>
        <v>1.02</v>
      </c>
      <c r="AM20" s="3" t="str">
        <f>SUBSTITUTE(SUBSTITUTE(PROPER('Sales_RAW(BEFORE)'!AK20), "Fed Ex", "FedEx"),"Fedex","FedEx")</f>
        <v>FedEx</v>
      </c>
      <c r="AN20" s="3" t="s">
        <v>470</v>
      </c>
      <c r="AO20" s="3" t="str">
        <f>SUBSTITUTE('Sales_RAW(BEFORE)'!AM20,"kg","")</f>
        <v xml:space="preserve">24.8 </v>
      </c>
      <c r="AP20" s="3" t="str">
        <f>_xlfn.LET(
  _xlpm.raw, UPPER(TRIM('Sales_RAW(BEFORE)'!AN20)),
  _xlpm.clean, RIGHT(_xlpm.raw, 1),
  IF(OR(_xlpm.raw="", _xlpm.raw="null"), "N/A", _xlpm.clean)
)</f>
        <v>C</v>
      </c>
      <c r="AQ20" s="3">
        <v>356</v>
      </c>
      <c r="AR20" s="3"/>
      <c r="AS20" s="3"/>
      <c r="AT20" s="3"/>
      <c r="AU20" s="3"/>
      <c r="AV20" s="8">
        <f>IF(IFERROR(VALUE(SUBSTITUTE(SUBSTITUTE(TRIM('Sales_RAW(BEFORE)'!AT20), "%", ""), ",", ".")), 0) &gt; 1, IFERROR(VALUE(SUBSTITUTE(SUBSTITUTE(TRIM('Sales_RAW(BEFORE)'!AT20), "%", ""), ",", ".")), 0) / 100, IFERROR(VALUE(SUBSTITUTE(SUBSTITUTE(TRIM('Sales_RAW(BEFORE)'!AT20), "%", ""), ",", ".")), 0))</f>
        <v>0.15</v>
      </c>
      <c r="AW20" s="6">
        <f>BA20*(_xlfn.XLOOKUP(N20,Employees!$A$2:$A$26,Employees!$E$2:$E$26,2))</f>
        <v>105.91718759999998</v>
      </c>
      <c r="AX20" s="3" t="str">
        <f>PROPER('Sales_RAW(BEFORE)'!AV20)</f>
        <v xml:space="preserve">  Sophia Miller</v>
      </c>
      <c r="AY20" s="3" t="str">
        <f t="shared" si="3"/>
        <v xml:space="preserve">  Sophia Miller</v>
      </c>
      <c r="AZ20" s="3"/>
      <c r="BA20" s="24">
        <f>AK20*(1-(_xlfn.XLOOKUP(G20, Exchange_Rates!$B$8:$F$8, Exchange_Rates!$B$9:$F$9, 0)+J20))</f>
        <v>3530.5729199999992</v>
      </c>
      <c r="BB20" s="7" cm="1">
        <f t="array" ref="BB20">_xlfn.LET(
  _xlpm.raw_dt, SUBSTITUTE(TRIM(C20), ".", "/"),
  _xlpm.dt, IFERROR(DATEVALUE(_xlpm.raw_dt), C20),
  _xlpm.p_code, TRIM(E20),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46892</v>
      </c>
      <c r="BC20" s="25">
        <f t="shared" si="4"/>
        <v>529.58593799999983</v>
      </c>
    </row>
    <row r="21" spans="1:55" ht="15.75" thickBot="1" x14ac:dyDescent="0.3">
      <c r="A21" s="3" t="s">
        <v>475</v>
      </c>
      <c r="B21" s="10">
        <v>45673</v>
      </c>
      <c r="C21" s="4">
        <v>45687</v>
      </c>
      <c r="D21" s="3" t="str">
        <f>"P-" &amp; TEXT(VALUE(SUBSTITUTE(SUBSTITUTE(SUBSTITUTE(UPPER(TRIM('Sales_RAW(BEFORE)'!D21)), "P", ""), "-", ""), "_", "")),"000")</f>
        <v>P-014</v>
      </c>
      <c r="E21" s="3" t="str">
        <f>VLOOKUP(D21,Product_List!$A$2:$B$61,2,FALSE)</f>
        <v>License Max 14</v>
      </c>
      <c r="F21" s="3" t="str">
        <f>_xlfn.XLOOKUP(E21,Product_List!$B$2:$B$61,Product_List!$E$2:$E$61,2)</f>
        <v>OfficeHub</v>
      </c>
      <c r="G21" s="3" t="str">
        <f>VLOOKUP(E21,Product_List!$B$2:$C$61,2,FALSE)</f>
        <v>Software</v>
      </c>
      <c r="H21" s="3" t="str">
        <f>SUBSTITUTE(SUBSTITUTE('Sales_RAW(BEFORE)'!G21,"kom",""),".","")</f>
        <v>1</v>
      </c>
      <c r="I21" s="6">
        <f>VLOOKUP(E21,Product_List!$B$2:$D$61,3,FALSE)</f>
        <v>1166.96</v>
      </c>
      <c r="J21" s="5">
        <f>IF(IFERROR(VALUE(SUBSTITUTE(SUBSTITUTE(TRIM('Sales_RAW(BEFORE)'!I21), "%", ""), ",", ".")), 0) &gt; 1, IFERROR(VALUE(SUBSTITUTE(SUBSTITUTE(TRIM('Sales_RAW(BEFORE)'!I21), "%", ""), ",", ".")), 0) / 100, IFERROR(VALUE(SUBSTITUTE(SUBSTITUTE(TRIM('Sales_RAW(BEFORE)'!I21), "%", ""), ",", ".")), 0))</f>
        <v>0.1</v>
      </c>
      <c r="K21" s="6">
        <f t="shared" si="0"/>
        <v>1166.96</v>
      </c>
      <c r="L21" s="6" t="str" cm="1">
        <f t="array" ref="L21">_xlfn.LET(
  _xlpm.valuta, UPPER(TRIM('Sales_RAW(BEFORE)'!K21)),
  _xlfn.IFS(
    _xlpm.valuta = "", "",
    OR(_xlpm.valuta = "USD", _xlpm.valuta = "$"), "$",
    OR(_xlpm.valuta = "EUR", _xlpm.valuta = "€"), "€",
    TRUE, _xlpm.valuta
  )
)</f>
        <v>$</v>
      </c>
      <c r="M21" s="3" t="str">
        <f>"E" &amp; TEXT(VALUE(SUBSTITUTE(SUBSTITUTE(SUBSTITUTE(UPPER(TRIM('Sales_RAW(BEFORE)'!L21)), "EMP", ""), "E", ""), "-", "")),"000")</f>
        <v>E005</v>
      </c>
      <c r="N21" s="3" t="str">
        <f>_xlfn.XLOOKUP(M21,Employees!$D$2:$D$26,Employees!$A$2:$A$26)</f>
        <v>Laura Williams</v>
      </c>
      <c r="O21" s="3" t="str">
        <f>_xlfn.XLOOKUP(N21,Employees!$A$2:$A$26,Employees!$C$2:$C$26,2)</f>
        <v>Online</v>
      </c>
      <c r="P21" s="3" t="str">
        <f>PROPER('Sales_RAW(BEFORE)'!N21)</f>
        <v>North</v>
      </c>
      <c r="Q21" s="3" t="str">
        <f>VLOOKUP(N21,Employees!$A$2:$B$26,2,FALSE)</f>
        <v>Houston</v>
      </c>
      <c r="R21" s="3" t="str">
        <f>PROPER('Sales_RAW(BEFORE)'!P21)</f>
        <v>Vortex Inc.</v>
      </c>
      <c r="S21" s="3" t="str">
        <f>SUBSTITUTE(SUBSTITUTE('Sales_RAW(BEFORE)'!Q21,"EIN",""),":","")</f>
        <v xml:space="preserve"> 517630478</v>
      </c>
      <c r="T21" s="3" t="s">
        <v>484</v>
      </c>
      <c r="U21" s="3" t="s">
        <v>485</v>
      </c>
      <c r="V21" s="3" t="s">
        <v>486</v>
      </c>
      <c r="W21" s="3" t="s">
        <v>487</v>
      </c>
      <c r="X21" s="3" t="s">
        <v>173</v>
      </c>
      <c r="Y21" s="3" t="str">
        <f>PROPER('Sales_RAW(BEFORE)'!W21)</f>
        <v>Wire Transfer</v>
      </c>
      <c r="Z21" s="3" t="str">
        <f>PROPER('Sales_RAW(BEFORE)'!X21)</f>
        <v>Cancelled</v>
      </c>
      <c r="AA21" s="3" t="str" cm="1">
        <f t="array" ref="AA21">_xlfn.LET(
  _xlpm.val, TRIM(LOWER('Sales_RAW(BEFORE)'!Y21)),
  _xlfn.IFS(
    OR(_xlpm.val="yes", _xlpm.val="paid"), "Paid",
    OR(_xlpm.val="no", _xlpm.val="unpaid"), "Unpaid",
    OR(_xlpm.val="partial", _xlpm.val="partial paid"), "Partial",
    _xlpm.val="", "",
    TRUE, 'Sales_RAW(BEFORE)'!AY21
  )
)</f>
        <v>Partial</v>
      </c>
      <c r="AB21" s="3" t="s">
        <v>488</v>
      </c>
      <c r="AC21" s="3" t="str">
        <f>PROPER('Sales_RAW(BEFORE)'!AA21)</f>
        <v>Store</v>
      </c>
      <c r="AD21" s="3" t="str">
        <f>SUBSTITUTE(SUBSTITUTE(SUBSTITUTE(SUBSTITUTE('Sales_RAW(BEFORE)'!AB21,"st",""),"q",""),"Q",""),"uarter","")</f>
        <v>3</v>
      </c>
      <c r="AE21" s="3" t="str">
        <f>TEXT(IFERROR(DATEVALUE('Sales_RAW(BEFORE)'!AC21 &amp; " 1"), IFERROR(DATE(2025, 'Sales_RAW(BEFORE)'!AC21, 1), 'Sales_RAW(BEFORE)'!AC21)), "mmmm")</f>
        <v>January</v>
      </c>
      <c r="AF21" s="3">
        <f>_xlfn.LET(
  _xlpm.raw, TRIM(SUBSTITUTE('Sales_RAW(BEFORE)'!AD21, "'", "")),
  _xlpm.num, IFERROR(VALUE(_xlpm.raw), 0),
  IF(_xlpm.num &lt; 100, 2000 + _xlpm.num, _xlpm.num)
)</f>
        <v>2025</v>
      </c>
      <c r="AG21" s="3" t="str">
        <f>PROPER('Sales_RAW(BEFORE)'!AE21)</f>
        <v>Net 60</v>
      </c>
      <c r="AH21" s="3" cm="1">
        <f t="array" ref="AH21">_xlfn.LET(
  _xlpm.val, LOWER(TRIM('Sales_RAW(BEFORE)'!AF21)),
  _xlfn.IFS(
    OR(_xlpm.val="", _xlpm.val="null", _xlpm.val="N/A", _xlpm.val="-", _xlpm.val="#N/A"), 0,
    ISNUMBER('Sales_RAW(BEFORE)'!AF21), 'Sales_RAW(BEFORE)'!AF21,
    TRUE, IFERROR(_xlfn.NUMBERVALUE(_xlpm.val), 0)
  )
)</f>
        <v>7</v>
      </c>
      <c r="AI21" s="5">
        <f>IF(IFERROR(VALUE(SUBSTITUTE(SUBSTITUTE(TRIM('Sales_RAW(BEFORE)'!AG21), "%", ""), ",", ".")), 0) &gt; 1, IFERROR(VALUE(SUBSTITUTE(SUBSTITUTE(TRIM('Sales_RAW(BEFORE)'!AG21), "%", ""), ",", ".")), 0) / 100, IFERROR(VALUE(SUBSTITUTE(SUBSTITUTE(TRIM('Sales_RAW(BEFORE)'!AG21), "%", ""), ",", ".")), 0))</f>
        <v>0.08</v>
      </c>
      <c r="AJ21" s="6">
        <f t="shared" si="1"/>
        <v>93.356800000000007</v>
      </c>
      <c r="AK21" s="6">
        <f t="shared" si="2"/>
        <v>1260.3168000000001</v>
      </c>
      <c r="AL21" s="6">
        <f>IFERROR(VALUE(SUBSTITUTE(SUBSTITUTE(SUBSTITUTE('Sales_RAW(BEFORE)'!AJ21,"$",""),"USD",""),",",".")),0)</f>
        <v>43.48</v>
      </c>
      <c r="AM21" s="3" t="str">
        <f>SUBSTITUTE(SUBSTITUTE(PROPER('Sales_RAW(BEFORE)'!AK21), "Fed Ex", "FedEx"),"Fedex","FedEx")</f>
        <v>FedEx</v>
      </c>
      <c r="AN21" s="3" t="s">
        <v>489</v>
      </c>
      <c r="AO21" s="3" t="str">
        <f>SUBSTITUTE('Sales_RAW(BEFORE)'!AM21,"kg","")</f>
        <v xml:space="preserve">12.9 </v>
      </c>
      <c r="AP21" s="3" t="str">
        <f>_xlfn.LET(
  _xlpm.raw, UPPER(TRIM('Sales_RAW(BEFORE)'!AN21)),
  _xlpm.clean, RIGHT(_xlpm.raw, 1),
  IF(OR(_xlpm.raw="", _xlpm.raw="null"), "N/A", _xlpm.clean)
)</f>
        <v>B</v>
      </c>
      <c r="AQ21" s="3">
        <v>350</v>
      </c>
      <c r="AR21" s="3" cm="1">
        <f t="array" ref="AR21">_xlfn.LET(
  _xlpm.raw, LOWER(TRIM('Sales_RAW(BEFORE)'!AP21)),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21" s="3"/>
      <c r="AT21" s="3"/>
      <c r="AU21" s="3"/>
      <c r="AV21" s="8">
        <f>IF(IFERROR(VALUE(SUBSTITUTE(SUBSTITUTE(TRIM('Sales_RAW(BEFORE)'!AT21), "%", ""), ",", ".")), 0) &gt; 1, IFERROR(VALUE(SUBSTITUTE(SUBSTITUTE(TRIM('Sales_RAW(BEFORE)'!AT21), "%", ""), ",", ".")), 0) / 100, IFERROR(VALUE(SUBSTITUTE(SUBSTITUTE(TRIM('Sales_RAW(BEFORE)'!AT21), "%", ""), ",", ".")), 0))</f>
        <v>0.25</v>
      </c>
      <c r="AW21" s="6">
        <f>BA21*(_xlfn.XLOOKUP(N21,Employees!$A$2:$A$26,Employees!$E$2:$E$26,2))</f>
        <v>28.357127999999999</v>
      </c>
      <c r="AX21" s="3" t="str">
        <f>PROPER('Sales_RAW(BEFORE)'!AV21)</f>
        <v>John Johnson</v>
      </c>
      <c r="AY21" s="3" t="str">
        <f t="shared" si="3"/>
        <v>John Johnson</v>
      </c>
      <c r="AZ21" s="3"/>
      <c r="BA21" s="24">
        <f>AK21*(1-(_xlfn.XLOOKUP(G21, Exchange_Rates!$B$8:$F$8, Exchange_Rates!$B$9:$F$9, 0)+J21))</f>
        <v>945.23760000000004</v>
      </c>
      <c r="BB21" s="7" cm="1">
        <f t="array" ref="BB21">_xlfn.LET(
  _xlpm.raw_dt, SUBSTITUTE(TRIM(C21), ".", "/"),
  _xlpm.dt, IFERROR(DATEVALUE(_xlpm.raw_dt), C21),
  _xlpm.p_code, TRIM(E21),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46782</v>
      </c>
      <c r="BC21" s="25">
        <f t="shared" si="4"/>
        <v>236.30940000000001</v>
      </c>
    </row>
    <row r="22" spans="1:55" ht="15.75" thickBot="1" x14ac:dyDescent="0.3">
      <c r="A22" s="3" t="s">
        <v>493</v>
      </c>
      <c r="B22" s="10">
        <v>46273</v>
      </c>
      <c r="C22" s="4">
        <v>46252</v>
      </c>
      <c r="D22" s="3" t="str">
        <f>"P-" &amp; TEXT(VALUE(SUBSTITUTE(SUBSTITUTE(SUBSTITUTE(UPPER(TRIM('Sales_RAW(BEFORE)'!D22)), "P", ""), "-", ""), "_", "")),"000")</f>
        <v>P-054</v>
      </c>
      <c r="E22" s="3" t="str">
        <f>VLOOKUP(D22,Product_List!$A$2:$B$61,2,FALSE)</f>
        <v>Mouse Basic 54</v>
      </c>
      <c r="F22" s="3" t="str">
        <f>_xlfn.XLOOKUP(E22,Product_List!$B$2:$B$61,Product_List!$E$2:$E$61,2)</f>
        <v>OfficeHub</v>
      </c>
      <c r="G22" s="3" t="str">
        <f>VLOOKUP(E22,Product_List!$B$2:$C$61,2,FALSE)</f>
        <v>Office</v>
      </c>
      <c r="H22" s="3" t="str">
        <f>SUBSTITUTE(SUBSTITUTE('Sales_RAW(BEFORE)'!G22,"kom",""),".","")</f>
        <v xml:space="preserve">18 </v>
      </c>
      <c r="I22" s="6">
        <f>VLOOKUP(E22,Product_List!$B$2:$D$61,3,FALSE)</f>
        <v>801.23</v>
      </c>
      <c r="J22" s="5">
        <f>IF(IFERROR(VALUE(SUBSTITUTE(SUBSTITUTE(TRIM('Sales_RAW(BEFORE)'!I22), "%", ""), ",", ".")), 0) &gt; 1, IFERROR(VALUE(SUBSTITUTE(SUBSTITUTE(TRIM('Sales_RAW(BEFORE)'!I22), "%", ""), ",", ".")), 0) / 100, IFERROR(VALUE(SUBSTITUTE(SUBSTITUTE(TRIM('Sales_RAW(BEFORE)'!I22), "%", ""), ",", ".")), 0))</f>
        <v>0.05</v>
      </c>
      <c r="K22" s="6">
        <f t="shared" si="0"/>
        <v>14422.14</v>
      </c>
      <c r="L22" s="6" t="str" cm="1">
        <f t="array" ref="L22">_xlfn.LET(
  _xlpm.valuta, UPPER(TRIM('Sales_RAW(BEFORE)'!K22)),
  _xlfn.IFS(
    _xlpm.valuta = "", "",
    OR(_xlpm.valuta = "USD", _xlpm.valuta = "$"), "$",
    OR(_xlpm.valuta = "EUR", _xlpm.valuta = "€"), "€",
    TRUE, _xlpm.valuta
  )
)</f>
        <v>$</v>
      </c>
      <c r="M22" s="3" t="str">
        <f>"E" &amp; TEXT(VALUE(SUBSTITUTE(SUBSTITUTE(SUBSTITUTE(UPPER(TRIM('Sales_RAW(BEFORE)'!L22)), "EMP", ""), "E", ""), "-", "")),"000")</f>
        <v>E005</v>
      </c>
      <c r="N22" s="3" t="str">
        <f>_xlfn.XLOOKUP(M22,Employees!$D$2:$D$26,Employees!$A$2:$A$26)</f>
        <v>Laura Williams</v>
      </c>
      <c r="O22" s="3" t="str">
        <f>_xlfn.XLOOKUP(N22,Employees!$A$2:$A$26,Employees!$C$2:$C$26,2)</f>
        <v>Online</v>
      </c>
      <c r="P22" s="3" t="str">
        <f>PROPER('Sales_RAW(BEFORE)'!N22)</f>
        <v>East</v>
      </c>
      <c r="Q22" s="3" t="str">
        <f>VLOOKUP(N22,Employees!$A$2:$B$26,2,FALSE)</f>
        <v>Houston</v>
      </c>
      <c r="R22" s="3" t="str">
        <f>PROPER('Sales_RAW(BEFORE)'!P22)</f>
        <v xml:space="preserve"> Wayne Llc </v>
      </c>
      <c r="S22" s="3" t="str">
        <f>SUBSTITUTE(SUBSTITUTE('Sales_RAW(BEFORE)'!Q22,"EIN",""),":","")</f>
        <v xml:space="preserve"> 852761906</v>
      </c>
      <c r="T22" s="3" t="s">
        <v>505</v>
      </c>
      <c r="U22" s="3" t="s">
        <v>506</v>
      </c>
      <c r="V22" s="3" t="s">
        <v>507</v>
      </c>
      <c r="W22" s="3" t="s">
        <v>508</v>
      </c>
      <c r="X22" s="3" t="s">
        <v>173</v>
      </c>
      <c r="Y22" s="3" t="str">
        <f>PROPER('Sales_RAW(BEFORE)'!W22)</f>
        <v>Cash</v>
      </c>
      <c r="Z22" s="3" t="str">
        <f>PROPER('Sales_RAW(BEFORE)'!X22)</f>
        <v>Processing</v>
      </c>
      <c r="AA22" s="3" t="str" cm="1">
        <f t="array" ref="AA22">_xlfn.LET(
  _xlpm.val, TRIM(LOWER('Sales_RAW(BEFORE)'!Y22)),
  _xlfn.IFS(
    OR(_xlpm.val="yes", _xlpm.val="paid"), "Paid",
    OR(_xlpm.val="no", _xlpm.val="unpaid"), "Unpaid",
    OR(_xlpm.val="partial", _xlpm.val="partial paid"), "Partial",
    _xlpm.val="", "",
    TRUE, 'Sales_RAW(BEFORE)'!AY22
  )
)</f>
        <v>Paid</v>
      </c>
      <c r="AB22" s="3" t="s">
        <v>509</v>
      </c>
      <c r="AC22" s="3" t="str">
        <f>PROPER('Sales_RAW(BEFORE)'!AA22)</f>
        <v>Online</v>
      </c>
      <c r="AD22" s="3" t="str">
        <f>SUBSTITUTE(SUBSTITUTE(SUBSTITUTE(SUBSTITUTE('Sales_RAW(BEFORE)'!AB22,"st",""),"q",""),"Q",""),"uarter","")</f>
        <v>1</v>
      </c>
      <c r="AE22" s="3" t="str">
        <f>TEXT(IFERROR(DATEVALUE('Sales_RAW(BEFORE)'!AC22 &amp; " 1"), IFERROR(DATE(2025, 'Sales_RAW(BEFORE)'!AC22, 1), 'Sales_RAW(BEFORE)'!AC22)), "mmmm")</f>
        <v>August</v>
      </c>
      <c r="AF22" s="3">
        <f>_xlfn.LET(
  _xlpm.raw, TRIM(SUBSTITUTE('Sales_RAW(BEFORE)'!AD22, "'", "")),
  _xlpm.num, IFERROR(VALUE(_xlpm.raw), 0),
  IF(_xlpm.num &lt; 100, 2000 + _xlpm.num, _xlpm.num)
)</f>
        <v>2026</v>
      </c>
      <c r="AG22" s="3" t="str">
        <f>PROPER('Sales_RAW(BEFORE)'!AE22)</f>
        <v>15</v>
      </c>
      <c r="AH22" s="3" cm="1">
        <f t="array" ref="AH22">_xlfn.LET(
  _xlpm.val, LOWER(TRIM('Sales_RAW(BEFORE)'!AF22)),
  _xlfn.IFS(
    OR(_xlpm.val="", _xlpm.val="null", _xlpm.val="N/A", _xlpm.val="-", _xlpm.val="#N/A"), 0,
    ISNUMBER('Sales_RAW(BEFORE)'!AF22), 'Sales_RAW(BEFORE)'!AF22,
    TRUE, IFERROR(_xlfn.NUMBERVALUE(_xlpm.val), 0)
  )
)</f>
        <v>72</v>
      </c>
      <c r="AI22" s="5">
        <f>IF(IFERROR(VALUE(SUBSTITUTE(SUBSTITUTE(TRIM('Sales_RAW(BEFORE)'!AG22), "%", ""), ",", ".")), 0) &gt; 1, IFERROR(VALUE(SUBSTITUTE(SUBSTITUTE(TRIM('Sales_RAW(BEFORE)'!AG22), "%", ""), ",", ".")), 0) / 100, IFERROR(VALUE(SUBSTITUTE(SUBSTITUTE(TRIM('Sales_RAW(BEFORE)'!AG22), "%", ""), ",", ".")), 0))</f>
        <v>0.08</v>
      </c>
      <c r="AJ22" s="6">
        <f t="shared" si="1"/>
        <v>1153.7711999999999</v>
      </c>
      <c r="AK22" s="6">
        <f t="shared" si="2"/>
        <v>15575.911199999999</v>
      </c>
      <c r="AL22" s="6">
        <f>IFERROR(VALUE(SUBSTITUTE(SUBSTITUTE(SUBSTITUTE('Sales_RAW(BEFORE)'!AJ22,"$",""),"USD",""),",",".")),0)</f>
        <v>13.08</v>
      </c>
      <c r="AM22" s="3" t="str">
        <f>SUBSTITUTE(SUBSTITUTE(PROPER('Sales_RAW(BEFORE)'!AK22), "Fed Ex", "FedEx"),"Fedex","FedEx")</f>
        <v>FedEx</v>
      </c>
      <c r="AN22" s="3" t="s">
        <v>511</v>
      </c>
      <c r="AO22" s="3" t="str">
        <f>SUBSTITUTE('Sales_RAW(BEFORE)'!AM22,"kg","")</f>
        <v>17.83</v>
      </c>
      <c r="AP22" s="3" t="str">
        <f>_xlfn.LET(
  _xlpm.raw, UPPER(TRIM('Sales_RAW(BEFORE)'!AN22)),
  _xlpm.clean, RIGHT(_xlpm.raw, 1),
  IF(OR(_xlpm.raw="", _xlpm.raw="null"), "N/A", _xlpm.clean)
)</f>
        <v>B</v>
      </c>
      <c r="AQ22" s="3">
        <v>102</v>
      </c>
      <c r="AR22" s="3" cm="1">
        <f t="array" ref="AR22">_xlfn.LET(
  _xlpm.raw, LOWER(TRIM('Sales_RAW(BEFORE)'!AP22)),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22" s="3"/>
      <c r="AT22" s="3"/>
      <c r="AU22" s="3"/>
      <c r="AV22" s="8">
        <f>IF(IFERROR(VALUE(SUBSTITUTE(SUBSTITUTE(TRIM('Sales_RAW(BEFORE)'!AT22), "%", ""), ",", ".")), 0) &gt; 1, IFERROR(VALUE(SUBSTITUTE(SUBSTITUTE(TRIM('Sales_RAW(BEFORE)'!AT22), "%", ""), ",", ".")), 0) / 100, IFERROR(VALUE(SUBSTITUTE(SUBSTITUTE(TRIM('Sales_RAW(BEFORE)'!AT22), "%", ""), ",", ".")), 0))</f>
        <v>0.25</v>
      </c>
      <c r="AW22" s="6">
        <f>BA22*(_xlfn.XLOOKUP(N22,Employees!$A$2:$A$26,Employees!$E$2:$E$26,2))</f>
        <v>397.18573559999993</v>
      </c>
      <c r="AX22" s="3" t="str">
        <f>PROPER('Sales_RAW(BEFORE)'!AV22)</f>
        <v>Sophia Taylor</v>
      </c>
      <c r="AY22" s="3" t="str">
        <f t="shared" si="3"/>
        <v>Sophia Taylor</v>
      </c>
      <c r="AZ22" s="3"/>
      <c r="BA22" s="24">
        <f>AK22*(1-(_xlfn.XLOOKUP(G22, Exchange_Rates!$B$8:$F$8, Exchange_Rates!$B$9:$F$9, 0)+J22))</f>
        <v>13239.524519999999</v>
      </c>
      <c r="BB22" s="7" cm="1">
        <f t="array" ref="BB22">_xlfn.LET(
  _xlpm.raw_dt, SUBSTITUTE(TRIM(C22), ".", "/"),
  _xlpm.dt, IFERROR(DATEVALUE(_xlpm.raw_dt), C22),
  _xlpm.p_code, TRIM(E22),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46983</v>
      </c>
      <c r="BC22" s="25">
        <f t="shared" si="4"/>
        <v>3309.8811299999998</v>
      </c>
    </row>
    <row r="23" spans="1:55" ht="15.75" thickBot="1" x14ac:dyDescent="0.3">
      <c r="A23" s="3" t="s">
        <v>514</v>
      </c>
      <c r="B23" s="10">
        <f>DATE(2025,5,3)</f>
        <v>45780</v>
      </c>
      <c r="C23" s="4">
        <f>DATE(2025,5,5)</f>
        <v>45782</v>
      </c>
      <c r="D23" s="3" t="str">
        <f>"P-" &amp; TEXT(VALUE(SUBSTITUTE(SUBSTITUTE(SUBSTITUTE(UPPER(TRIM('Sales_RAW(BEFORE)'!D23)), "P", ""), "-", ""), "_", "")),"000")</f>
        <v>P-041</v>
      </c>
      <c r="E23" s="3" t="str">
        <f>VLOOKUP(D23,Product_List!$A$2:$B$61,2,FALSE)</f>
        <v>Monitor X 41</v>
      </c>
      <c r="F23" s="3" t="str">
        <f>_xlfn.XLOOKUP(E23,Product_List!$B$2:$B$61,Product_List!$E$2:$E$61,2)</f>
        <v>TechSupply Co</v>
      </c>
      <c r="G23" s="3" t="str">
        <f>VLOOKUP(E23,Product_List!$B$2:$C$61,2,FALSE)</f>
        <v>Software</v>
      </c>
      <c r="H23" s="3" t="str">
        <f>SUBSTITUTE(SUBSTITUTE('Sales_RAW(BEFORE)'!G23,"kom",""),".","")</f>
        <v>6</v>
      </c>
      <c r="I23" s="6">
        <f>VLOOKUP(E23,Product_List!$B$2:$D$61,3,FALSE)</f>
        <v>247.64</v>
      </c>
      <c r="J23" s="5">
        <f>IF(IFERROR(VALUE(SUBSTITUTE(SUBSTITUTE(TRIM('Sales_RAW(BEFORE)'!I23), "%", ""), ",", ".")), 0) &gt; 1, IFERROR(VALUE(SUBSTITUTE(SUBSTITUTE(TRIM('Sales_RAW(BEFORE)'!I23), "%", ""), ",", ".")), 0) / 100, IFERROR(VALUE(SUBSTITUTE(SUBSTITUTE(TRIM('Sales_RAW(BEFORE)'!I23), "%", ""), ",", ".")), 0))</f>
        <v>0.1</v>
      </c>
      <c r="K23" s="6">
        <f t="shared" si="0"/>
        <v>1485.84</v>
      </c>
      <c r="L23" s="6" t="str" cm="1">
        <f t="array" ref="L23">_xlfn.LET(
  _xlpm.valuta, UPPER(TRIM('Sales_RAW(BEFORE)'!K23)),
  _xlfn.IFS(
    _xlpm.valuta = "", "",
    OR(_xlpm.valuta = "USD", _xlpm.valuta = "$"), "$",
    OR(_xlpm.valuta = "EUR", _xlpm.valuta = "€"), "€",
    TRUE, _xlpm.valuta
  )
)</f>
        <v>$</v>
      </c>
      <c r="M23" s="3" t="str">
        <f>"E" &amp; TEXT(VALUE(SUBSTITUTE(SUBSTITUTE(SUBSTITUTE(UPPER(TRIM('Sales_RAW(BEFORE)'!L23)), "EMP", ""), "E", ""), "-", "")),"000")</f>
        <v>E013</v>
      </c>
      <c r="N23" s="3" t="str">
        <f>_xlfn.XLOOKUP(M23,Employees!$D$2:$D$26,Employees!$A$2:$A$26)</f>
        <v>Robert Williams</v>
      </c>
      <c r="O23" s="3" t="str">
        <f>_xlfn.XLOOKUP(N23,Employees!$A$2:$A$26,Employees!$C$2:$C$26,2)</f>
        <v>Wholesale</v>
      </c>
      <c r="P23" s="3" t="str">
        <f>PROPER('Sales_RAW(BEFORE)'!N23)</f>
        <v>East</v>
      </c>
      <c r="Q23" s="3" t="str">
        <f>VLOOKUP(N23,Employees!$A$2:$B$26,2,FALSE)</f>
        <v>Houston</v>
      </c>
      <c r="R23" s="3" t="str">
        <f>PROPER('Sales_RAW(BEFORE)'!P23)</f>
        <v xml:space="preserve">Stark Inc  </v>
      </c>
      <c r="S23" s="3" t="str">
        <f>SUBSTITUTE(SUBSTITUTE('Sales_RAW(BEFORE)'!Q23,"EIN",""),":","")</f>
        <v xml:space="preserve"> 375962955</v>
      </c>
      <c r="T23" s="3" t="s">
        <v>420</v>
      </c>
      <c r="U23" s="3" t="s">
        <v>524</v>
      </c>
      <c r="V23" s="3" t="s">
        <v>525</v>
      </c>
      <c r="W23" s="3" t="s">
        <v>526</v>
      </c>
      <c r="X23" s="3" t="s">
        <v>173</v>
      </c>
      <c r="Y23" s="3" t="str">
        <f>PROPER('Sales_RAW(BEFORE)'!W23)</f>
        <v>Wire Transfer</v>
      </c>
      <c r="Z23" s="3" t="str">
        <f>PROPER('Sales_RAW(BEFORE)'!X23)</f>
        <v>Delivered</v>
      </c>
      <c r="AA23" s="3" t="str" cm="1">
        <f t="array" ref="AA23">_xlfn.LET(
  _xlpm.val, TRIM(LOWER('Sales_RAW(BEFORE)'!Y23)),
  _xlfn.IFS(
    OR(_xlpm.val="yes", _xlpm.val="paid"), "Paid",
    OR(_xlpm.val="no", _xlpm.val="unpaid"), "Unpaid",
    OR(_xlpm.val="partial", _xlpm.val="partial paid"), "Partial",
    _xlpm.val="", "",
    TRUE, 'Sales_RAW(BEFORE)'!AY23
  )
)</f>
        <v>Partial</v>
      </c>
      <c r="AB23" s="3" t="s">
        <v>527</v>
      </c>
      <c r="AC23" s="3" t="str">
        <f>PROPER('Sales_RAW(BEFORE)'!AA23)</f>
        <v>Online</v>
      </c>
      <c r="AD23" s="3" t="str">
        <f>SUBSTITUTE(SUBSTITUTE(SUBSTITUTE(SUBSTITUTE('Sales_RAW(BEFORE)'!AB23,"st",""),"q",""),"Q",""),"uarter","")</f>
        <v>4</v>
      </c>
      <c r="AE23" s="3" t="str">
        <f>TEXT(IFERROR(DATEVALUE('Sales_RAW(BEFORE)'!AC23 &amp; " 1"), IFERROR(DATE(2025, 'Sales_RAW(BEFORE)'!AC23, 1), 'Sales_RAW(BEFORE)'!AC23)), "mmmm")</f>
        <v>May</v>
      </c>
      <c r="AF23" s="3">
        <f>_xlfn.LET(
  _xlpm.raw, TRIM(SUBSTITUTE('Sales_RAW(BEFORE)'!AD23, "'", "")),
  _xlpm.num, IFERROR(VALUE(_xlpm.raw), 0),
  IF(_xlpm.num &lt; 100, 2000 + _xlpm.num, _xlpm.num)
)</f>
        <v>2025</v>
      </c>
      <c r="AG23" s="3" t="str">
        <f>PROPER('Sales_RAW(BEFORE)'!AE23)</f>
        <v>Net 60</v>
      </c>
      <c r="AH23" s="3" cm="1">
        <f t="array" ref="AH23">_xlfn.LET(
  _xlpm.val, LOWER(TRIM('Sales_RAW(BEFORE)'!AF23)),
  _xlfn.IFS(
    OR(_xlpm.val="", _xlpm.val="null", _xlpm.val="N/A", _xlpm.val="-", _xlpm.val="#N/A"), 0,
    ISNUMBER('Sales_RAW(BEFORE)'!AF23), 'Sales_RAW(BEFORE)'!AF23,
    TRUE, IFERROR(_xlfn.NUMBERVALUE(_xlpm.val), 0)
  )
)</f>
        <v>41</v>
      </c>
      <c r="AI23" s="5">
        <f>IF(IFERROR(VALUE(SUBSTITUTE(SUBSTITUTE(TRIM('Sales_RAW(BEFORE)'!AG23), "%", ""), ",", ".")), 0) &gt; 1, IFERROR(VALUE(SUBSTITUTE(SUBSTITUTE(TRIM('Sales_RAW(BEFORE)'!AG23), "%", ""), ",", ".")), 0) / 100, IFERROR(VALUE(SUBSTITUTE(SUBSTITUTE(TRIM('Sales_RAW(BEFORE)'!AG23), "%", ""), ",", ".")), 0))</f>
        <v>0.08</v>
      </c>
      <c r="AJ23" s="6">
        <f t="shared" si="1"/>
        <v>118.8672</v>
      </c>
      <c r="AK23" s="6">
        <f t="shared" si="2"/>
        <v>1604.7071999999998</v>
      </c>
      <c r="AL23" s="6">
        <f>IFERROR(VALUE(SUBSTITUTE(SUBSTITUTE(SUBSTITUTE('Sales_RAW(BEFORE)'!AJ23,"$",""),"USD",""),",",".")),0)</f>
        <v>5.78</v>
      </c>
      <c r="AM23" s="3" t="str">
        <f>SUBSTITUTE(SUBSTITUTE(PROPER('Sales_RAW(BEFORE)'!AK23), "Fed Ex", "FedEx"),"Fedex","FedEx")</f>
        <v>FedEx</v>
      </c>
      <c r="AN23" s="3" t="s">
        <v>530</v>
      </c>
      <c r="AO23" s="3" t="str">
        <f>SUBSTITUTE('Sales_RAW(BEFORE)'!AM23,"kg","")</f>
        <v xml:space="preserve">13.6 </v>
      </c>
      <c r="AP23" s="3" t="str">
        <f>_xlfn.LET(
  _xlpm.raw, UPPER(TRIM('Sales_RAW(BEFORE)'!AN23)),
  _xlpm.clean, RIGHT(_xlpm.raw, 1),
  IF(OR(_xlpm.raw="", _xlpm.raw="null"), "N/A", _xlpm.clean)
)</f>
        <v>A</v>
      </c>
      <c r="AQ23" s="3">
        <v>136</v>
      </c>
      <c r="AR23" s="3" cm="1">
        <f t="array" ref="AR23">_xlfn.LET(
  _xlpm.raw, LOWER(TRIM('Sales_RAW(BEFORE)'!AP23)),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23" s="3"/>
      <c r="AT23" s="3"/>
      <c r="AU23" s="3"/>
      <c r="AV23" s="8">
        <f>IF(IFERROR(VALUE(SUBSTITUTE(SUBSTITUTE(TRIM('Sales_RAW(BEFORE)'!AT23), "%", ""), ",", ".")), 0) &gt; 1, IFERROR(VALUE(SUBSTITUTE(SUBSTITUTE(TRIM('Sales_RAW(BEFORE)'!AT23), "%", ""), ",", ".")), 0) / 100, IFERROR(VALUE(SUBSTITUTE(SUBSTITUTE(TRIM('Sales_RAW(BEFORE)'!AT23), "%", ""), ",", ".")), 0))</f>
        <v>0.15</v>
      </c>
      <c r="AW23" s="6">
        <f>BA23*(_xlfn.XLOOKUP(N23,Employees!$A$2:$A$26,Employees!$E$2:$E$26,2))</f>
        <v>60.176519999999996</v>
      </c>
      <c r="AX23" s="3" t="str">
        <f>PROPER('Sales_RAW(BEFORE)'!AV23)</f>
        <v xml:space="preserve">  David Miller</v>
      </c>
      <c r="AY23" s="3" t="str">
        <f t="shared" si="3"/>
        <v xml:space="preserve">  David Miller</v>
      </c>
      <c r="AZ23" s="3"/>
      <c r="BA23" s="24">
        <f>AK23*(1-(_xlfn.XLOOKUP(G23, Exchange_Rates!$B$8:$F$8, Exchange_Rates!$B$9:$F$9, 0)+J23))</f>
        <v>1203.5303999999999</v>
      </c>
      <c r="BB23" s="7" cm="1">
        <f t="array" ref="BB23">_xlfn.LET(
  _xlpm.raw_dt, SUBSTITUTE(TRIM(C23), ".", "/"),
  _xlpm.dt, IFERROR(DATEVALUE(_xlpm.raw_dt), C23),
  _xlpm.p_code, TRIM(E23),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46512</v>
      </c>
      <c r="BC23" s="25">
        <f t="shared" si="4"/>
        <v>180.52955999999998</v>
      </c>
    </row>
    <row r="24" spans="1:55" ht="15.75" thickBot="1" x14ac:dyDescent="0.3">
      <c r="A24" s="3" t="s">
        <v>534</v>
      </c>
      <c r="B24" s="10">
        <v>45874</v>
      </c>
      <c r="C24" s="4">
        <v>45969</v>
      </c>
      <c r="D24" s="3" t="str">
        <f>"P-" &amp; TEXT(VALUE(SUBSTITUTE(SUBSTITUTE(SUBSTITUTE(UPPER(TRIM('Sales_RAW(BEFORE)'!D24)), "P", ""), "-", ""), "_", "")),"000")</f>
        <v>P-033</v>
      </c>
      <c r="E24" s="3" t="str">
        <f>VLOOKUP(D24,Product_List!$A$2:$B$61,2,FALSE)</f>
        <v>Printer X 33</v>
      </c>
      <c r="F24" s="3" t="str">
        <f>_xlfn.XLOOKUP(E24,Product_List!$B$2:$B$61,Product_List!$E$2:$E$61,2)</f>
        <v>Global Distrib</v>
      </c>
      <c r="G24" s="3" t="str">
        <f>VLOOKUP(E24,Product_List!$B$2:$C$61,2,FALSE)</f>
        <v>Office</v>
      </c>
      <c r="H24" s="3" t="str">
        <f>SUBSTITUTE(SUBSTITUTE('Sales_RAW(BEFORE)'!G24,"kom",""),".","")</f>
        <v>31</v>
      </c>
      <c r="I24" s="6">
        <f>VLOOKUP(E24,Product_List!$B$2:$D$61,3,FALSE)</f>
        <v>129.06</v>
      </c>
      <c r="J24" s="5">
        <f>IF(IFERROR(VALUE(SUBSTITUTE(SUBSTITUTE(TRIM('Sales_RAW(BEFORE)'!I24), "%", ""), ",", ".")), 0) &gt; 1, IFERROR(VALUE(SUBSTITUTE(SUBSTITUTE(TRIM('Sales_RAW(BEFORE)'!I24), "%", ""), ",", ".")), 0) / 100, IFERROR(VALUE(SUBSTITUTE(SUBSTITUTE(TRIM('Sales_RAW(BEFORE)'!I24), "%", ""), ",", ".")), 0))</f>
        <v>0.1</v>
      </c>
      <c r="K24" s="6">
        <f t="shared" si="0"/>
        <v>4000.86</v>
      </c>
      <c r="L24" s="6" t="str" cm="1">
        <f t="array" ref="L24">_xlfn.LET(
  _xlpm.valuta, UPPER(TRIM('Sales_RAW(BEFORE)'!K24)),
  _xlfn.IFS(
    _xlpm.valuta = "", "",
    OR(_xlpm.valuta = "USD", _xlpm.valuta = "$"), "$",
    OR(_xlpm.valuta = "EUR", _xlpm.valuta = "€"), "€",
    TRUE, _xlpm.valuta
  )
)</f>
        <v>$</v>
      </c>
      <c r="M24" s="3" t="str">
        <f>"E" &amp; TEXT(VALUE(SUBSTITUTE(SUBSTITUTE(SUBSTITUTE(UPPER(TRIM('Sales_RAW(BEFORE)'!L24)), "EMP", ""), "E", ""), "-", "")),"000")</f>
        <v>E002</v>
      </c>
      <c r="N24" s="3" t="str">
        <f>_xlfn.XLOOKUP(M24,Employees!$D$2:$D$26,Employees!$A$2:$A$26)</f>
        <v>Sarah Wilson</v>
      </c>
      <c r="O24" s="3" t="str">
        <f>_xlfn.XLOOKUP(N24,Employees!$A$2:$A$26,Employees!$C$2:$C$26,2)</f>
        <v>Online</v>
      </c>
      <c r="P24" s="3" t="str">
        <f>PROPER('Sales_RAW(BEFORE)'!N24)</f>
        <v>South</v>
      </c>
      <c r="Q24" s="3" t="str">
        <f>VLOOKUP(N24,Employees!$A$2:$B$26,2,FALSE)</f>
        <v>Los Angeles</v>
      </c>
      <c r="R24" s="3" t="str">
        <f>PROPER('Sales_RAW(BEFORE)'!P24)</f>
        <v>Acme Inc</v>
      </c>
      <c r="S24" s="3" t="str">
        <f>SUBSTITUTE(SUBSTITUTE('Sales_RAW(BEFORE)'!Q24,"EIN",""),":","")</f>
        <v xml:space="preserve"> 884743535</v>
      </c>
      <c r="T24" s="3" t="s">
        <v>505</v>
      </c>
      <c r="U24" s="3" t="s">
        <v>546</v>
      </c>
      <c r="V24" s="3" t="s">
        <v>547</v>
      </c>
      <c r="W24" s="3" t="s">
        <v>548</v>
      </c>
      <c r="X24" s="3" t="s">
        <v>173</v>
      </c>
      <c r="Y24" s="3" t="str">
        <f>PROPER('Sales_RAW(BEFORE)'!W24)</f>
        <v>Credit Card</v>
      </c>
      <c r="Z24" s="3" t="str">
        <f>PROPER('Sales_RAW(BEFORE)'!X24)</f>
        <v>Delivered</v>
      </c>
      <c r="AA24" s="3" t="str" cm="1">
        <f t="array" ref="AA24">_xlfn.LET(
  _xlpm.val, TRIM(LOWER('Sales_RAW(BEFORE)'!Y24)),
  _xlfn.IFS(
    OR(_xlpm.val="yes", _xlpm.val="paid"), "Paid",
    OR(_xlpm.val="no", _xlpm.val="unpaid"), "Unpaid",
    OR(_xlpm.val="partial", _xlpm.val="partial paid"), "Partial",
    _xlpm.val="", "",
    TRUE, 'Sales_RAW(BEFORE)'!AY24
  )
)</f>
        <v>Partial</v>
      </c>
      <c r="AB24" s="3" t="s">
        <v>549</v>
      </c>
      <c r="AC24" s="3" t="str">
        <f>PROPER('Sales_RAW(BEFORE)'!AA24)</f>
        <v>Phone</v>
      </c>
      <c r="AD24" s="3" t="str">
        <f>SUBSTITUTE(SUBSTITUTE(SUBSTITUTE(SUBSTITUTE('Sales_RAW(BEFORE)'!AB24,"st",""),"q",""),"Q",""),"uarter","")</f>
        <v>1</v>
      </c>
      <c r="AE24" s="3" t="str">
        <f>TEXT(IFERROR(DATEVALUE('Sales_RAW(BEFORE)'!AC24 &amp; " 1"), IFERROR(DATE(2025, 'Sales_RAW(BEFORE)'!AC24, 1), 'Sales_RAW(BEFORE)'!AC24)), "mmmm")</f>
        <v>August</v>
      </c>
      <c r="AF24" s="3">
        <f>_xlfn.LET(
  _xlpm.raw, TRIM(SUBSTITUTE('Sales_RAW(BEFORE)'!AD24, "'", "")),
  _xlpm.num, IFERROR(VALUE(_xlpm.raw), 0),
  IF(_xlpm.num &lt; 100, 2000 + _xlpm.num, _xlpm.num)
)</f>
        <v>2025</v>
      </c>
      <c r="AG24" s="3" t="str">
        <f>PROPER('Sales_RAW(BEFORE)'!AE24)</f>
        <v>15</v>
      </c>
      <c r="AH24" s="3" cm="1">
        <f t="array" ref="AH24">_xlfn.LET(
  _xlpm.val, LOWER(TRIM('Sales_RAW(BEFORE)'!AF24)),
  _xlfn.IFS(
    OR(_xlpm.val="", _xlpm.val="null", _xlpm.val="N/A", _xlpm.val="-", _xlpm.val="#N/A"), 0,
    ISNUMBER('Sales_RAW(BEFORE)'!AF24), 'Sales_RAW(BEFORE)'!AF24,
    TRUE, IFERROR(_xlfn.NUMBERVALUE(_xlpm.val), 0)
  )
)</f>
        <v>23</v>
      </c>
      <c r="AI24" s="5">
        <f>IF(IFERROR(VALUE(SUBSTITUTE(SUBSTITUTE(TRIM('Sales_RAW(BEFORE)'!AG24), "%", ""), ",", ".")), 0) &gt; 1, IFERROR(VALUE(SUBSTITUTE(SUBSTITUTE(TRIM('Sales_RAW(BEFORE)'!AG24), "%", ""), ",", ".")), 0) / 100, IFERROR(VALUE(SUBSTITUTE(SUBSTITUTE(TRIM('Sales_RAW(BEFORE)'!AG24), "%", ""), ",", ".")), 0))</f>
        <v>0.08</v>
      </c>
      <c r="AJ24" s="6">
        <f t="shared" si="1"/>
        <v>320.06880000000001</v>
      </c>
      <c r="AK24" s="6">
        <f t="shared" si="2"/>
        <v>4320.9287999999997</v>
      </c>
      <c r="AL24" s="6">
        <f>IFERROR(VALUE(SUBSTITUTE(SUBSTITUTE(SUBSTITUTE('Sales_RAW(BEFORE)'!AJ24,"$",""),"USD",""),",",".")),0)</f>
        <v>1.83</v>
      </c>
      <c r="AM24" s="3" t="str">
        <f>SUBSTITUTE(SUBSTITUTE(PROPER('Sales_RAW(BEFORE)'!AK24), "Fed Ex", "FedEx"),"Fedex","FedEx")</f>
        <v>Dhl</v>
      </c>
      <c r="AN24" s="3" t="s">
        <v>550</v>
      </c>
      <c r="AO24" s="3" t="str">
        <f>SUBSTITUTE('Sales_RAW(BEFORE)'!AM24,"kg","")</f>
        <v>15.64</v>
      </c>
      <c r="AP24" s="3" t="str">
        <f>_xlfn.LET(
  _xlpm.raw, UPPER(TRIM('Sales_RAW(BEFORE)'!AN24)),
  _xlpm.clean, RIGHT(_xlpm.raw, 1),
  IF(OR(_xlpm.raw="", _xlpm.raw="null"), "N/A", _xlpm.clean)
)</f>
        <v>B</v>
      </c>
      <c r="AQ24" s="3">
        <v>365</v>
      </c>
      <c r="AR24" s="3" cm="1">
        <f t="array" ref="AR24">_xlfn.LET(
  _xlpm.raw, LOWER(TRIM('Sales_RAW(BEFORE)'!AP24)),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24" s="3"/>
      <c r="AT24" s="3"/>
      <c r="AU24" s="3"/>
      <c r="AV24" s="8">
        <f>IF(IFERROR(VALUE(SUBSTITUTE(SUBSTITUTE(TRIM('Sales_RAW(BEFORE)'!AT24), "%", ""), ",", ".")), 0) &gt; 1, IFERROR(VALUE(SUBSTITUTE(SUBSTITUTE(TRIM('Sales_RAW(BEFORE)'!AT24), "%", ""), ",", ".")), 0) / 100, IFERROR(VALUE(SUBSTITUTE(SUBSTITUTE(TRIM('Sales_RAW(BEFORE)'!AT24), "%", ""), ",", ".")), 0))</f>
        <v>0.15</v>
      </c>
      <c r="AW24" s="6">
        <f>BA24*(_xlfn.XLOOKUP(N24,Employees!$A$2:$A$26,Employees!$E$2:$E$26,2))</f>
        <v>103.70229119999999</v>
      </c>
      <c r="AX24" s="3" t="str">
        <f>PROPER('Sales_RAW(BEFORE)'!AV24)</f>
        <v xml:space="preserve">   Sophia Jones</v>
      </c>
      <c r="AY24" s="3" t="str">
        <f t="shared" si="3"/>
        <v xml:space="preserve">   Sophia Jones</v>
      </c>
      <c r="AZ24" s="3"/>
      <c r="BA24" s="24">
        <f>AK24*(1-(_xlfn.XLOOKUP(G24, Exchange_Rates!$B$8:$F$8, Exchange_Rates!$B$9:$F$9, 0)+J24))</f>
        <v>3456.7430399999998</v>
      </c>
      <c r="BB24" s="7" cm="1">
        <f t="array" ref="BB24">_xlfn.LET(
  _xlpm.raw_dt, SUBSTITUTE(TRIM(C24), ".", "/"),
  _xlpm.dt, IFERROR(DATEVALUE(_xlpm.raw_dt), C24),
  _xlpm.p_code, TRIM(E24),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46699</v>
      </c>
      <c r="BC24" s="25">
        <f t="shared" si="4"/>
        <v>518.51145599999995</v>
      </c>
    </row>
    <row r="25" spans="1:55" ht="15.75" thickBot="1" x14ac:dyDescent="0.3">
      <c r="A25" s="3" t="s">
        <v>554</v>
      </c>
      <c r="B25" s="10">
        <v>45795</v>
      </c>
      <c r="C25" s="4">
        <v>45797</v>
      </c>
      <c r="D25" s="3" t="str">
        <f>"P-" &amp; TEXT(VALUE(SUBSTITUTE(SUBSTITUTE(SUBSTITUTE(UPPER(TRIM('Sales_RAW(BEFORE)'!D26)), "P", ""), "-", ""), "_", "")),"000")</f>
        <v>P-052</v>
      </c>
      <c r="E25" s="3" t="str">
        <f>VLOOKUP(D25,Product_List!$A$2:$B$61,2,FALSE)</f>
        <v>Laptop Max 52</v>
      </c>
      <c r="F25" s="3" t="str">
        <f>_xlfn.XLOOKUP(E25,Product_List!$B$2:$B$61,Product_List!$E$2:$E$61,2)</f>
        <v>TechSupply Co</v>
      </c>
      <c r="G25" s="3" t="str">
        <f>VLOOKUP(E25,Product_List!$B$2:$C$61,2,FALSE)</f>
        <v>Furniture</v>
      </c>
      <c r="H25" s="3" t="str">
        <f>SUBSTITUTE(SUBSTITUTE('Sales_RAW(BEFORE)'!G26,"kom",""),".","")</f>
        <v xml:space="preserve">16 </v>
      </c>
      <c r="I25" s="6">
        <f>VLOOKUP(E25,Product_List!$B$2:$D$61,3,FALSE)</f>
        <v>1467.86</v>
      </c>
      <c r="J25" s="5">
        <f>IF(IFERROR(VALUE(SUBSTITUTE(SUBSTITUTE(TRIM('Sales_RAW(BEFORE)'!I26), "%", ""), ",", ".")), 0) &gt; 1, IFERROR(VALUE(SUBSTITUTE(SUBSTITUTE(TRIM('Sales_RAW(BEFORE)'!I26), "%", ""), ",", ".")), 0) / 100, IFERROR(VALUE(SUBSTITUTE(SUBSTITUTE(TRIM('Sales_RAW(BEFORE)'!I26), "%", ""), ",", ".")), 0))</f>
        <v>0.1</v>
      </c>
      <c r="K25" s="6">
        <f t="shared" si="0"/>
        <v>23485.759999999998</v>
      </c>
      <c r="L25" s="6" t="str" cm="1">
        <f t="array" ref="L25">_xlfn.LET(
  _xlpm.valuta, UPPER(TRIM('Sales_RAW(BEFORE)'!K26)),
  _xlfn.IFS(
    _xlpm.valuta = "", "",
    OR(_xlpm.valuta = "USD", _xlpm.valuta = "$"), "$",
    OR(_xlpm.valuta = "EUR", _xlpm.valuta = "€"), "€",
    TRUE, _xlpm.valuta
  )
)</f>
        <v>$</v>
      </c>
      <c r="M25" s="3" t="str">
        <f>"E" &amp; TEXT(VALUE(SUBSTITUTE(SUBSTITUTE(SUBSTITUTE(UPPER(TRIM('Sales_RAW(BEFORE)'!L26)), "EMP", ""), "E", ""), "-", "")),"000")</f>
        <v>E018</v>
      </c>
      <c r="N25" s="3" t="str">
        <f>_xlfn.XLOOKUP(M25,Employees!$D$2:$D$26,Employees!$A$2:$A$26)</f>
        <v>John Miller</v>
      </c>
      <c r="O25" s="3" t="str">
        <f>_xlfn.XLOOKUP(N25,Employees!$A$2:$A$26,Employees!$C$2:$C$26,2)</f>
        <v>Retail</v>
      </c>
      <c r="P25" s="3" t="str">
        <f>PROPER('Sales_RAW(BEFORE)'!N26)</f>
        <v>South</v>
      </c>
      <c r="Q25" s="3" t="str">
        <f>VLOOKUP(N25,Employees!$A$2:$B$26,2,FALSE)</f>
        <v>Houston</v>
      </c>
      <c r="R25" s="3" t="str">
        <f>PROPER('Sales_RAW(BEFORE)'!P26)</f>
        <v xml:space="preserve">Stark Inc   </v>
      </c>
      <c r="S25" s="3" t="str">
        <f>SUBSTITUTE(SUBSTITUTE('Sales_RAW(BEFORE)'!Q26,"EIN",""),":","")</f>
        <v xml:space="preserve"> 901632584</v>
      </c>
      <c r="T25" s="3" t="s">
        <v>564</v>
      </c>
      <c r="U25" s="3" t="s">
        <v>565</v>
      </c>
      <c r="V25" s="3" t="s">
        <v>566</v>
      </c>
      <c r="W25" s="3" t="s">
        <v>567</v>
      </c>
      <c r="X25" s="3" t="s">
        <v>173</v>
      </c>
      <c r="Y25" s="3" t="str">
        <f>PROPER('Sales_RAW(BEFORE)'!W26)</f>
        <v>Cash</v>
      </c>
      <c r="Z25" s="3" t="str">
        <f>PROPER('Sales_RAW(BEFORE)'!X26)</f>
        <v>Cancelled</v>
      </c>
      <c r="AA25" s="3" t="str" cm="1">
        <f t="array" ref="AA25">_xlfn.LET(
  _xlpm.val, TRIM(LOWER('Sales_RAW(BEFORE)'!Y26)),
  _xlfn.IFS(
    OR(_xlpm.val="yes", _xlpm.val="paid"), "Paid",
    OR(_xlpm.val="no", _xlpm.val="unpaid"), "Unpaid",
    OR(_xlpm.val="partial", _xlpm.val="partial paid"), "Partial",
    _xlpm.val="", "",
    TRUE, 'Sales_RAW(BEFORE)'!AY26
  )
)</f>
        <v>Paid</v>
      </c>
      <c r="AB25" s="3" t="s">
        <v>568</v>
      </c>
      <c r="AC25" s="3" t="str">
        <f>PROPER('Sales_RAW(BEFORE)'!AA26)</f>
        <v>Online</v>
      </c>
      <c r="AD25" s="3" t="str">
        <f>SUBSTITUTE(SUBSTITUTE(SUBSTITUTE(SUBSTITUTE('Sales_RAW(BEFORE)'!AB26,"st",""),"q",""),"Q",""),"uarter","")</f>
        <v xml:space="preserve">1 </v>
      </c>
      <c r="AE25" s="3" t="str">
        <f>TEXT(IFERROR(DATEVALUE('Sales_RAW(BEFORE)'!AC26 &amp; " 1"), IFERROR(DATE(2025, 'Sales_RAW(BEFORE)'!AC26, 1), 'Sales_RAW(BEFORE)'!AC26)), "mmmm")</f>
        <v>May</v>
      </c>
      <c r="AF25" s="3">
        <f>_xlfn.LET(
  _xlpm.raw, TRIM(SUBSTITUTE('Sales_RAW(BEFORE)'!AD26, "'", "")),
  _xlpm.num, IFERROR(VALUE(_xlpm.raw), 0),
  IF(_xlpm.num &lt; 100, 2000 + _xlpm.num, _xlpm.num)
)</f>
        <v>2025</v>
      </c>
      <c r="AG25" s="3" t="str">
        <f>PROPER('Sales_RAW(BEFORE)'!AE26)</f>
        <v>Net 60</v>
      </c>
      <c r="AH25" s="3" cm="1">
        <f t="array" ref="AH25">_xlfn.LET(
  _xlpm.val, LOWER(TRIM('Sales_RAW(BEFORE)'!AF26)),
  _xlfn.IFS(
    OR(_xlpm.val="", _xlpm.val="null", _xlpm.val="N/A", _xlpm.val="-", _xlpm.val="#N/A"), 0,
    ISNUMBER('Sales_RAW(BEFORE)'!AF26), 'Sales_RAW(BEFORE)'!AF26,
    TRUE, IFERROR(_xlfn.NUMBERVALUE(_xlpm.val), 0)
  )
)</f>
        <v>31</v>
      </c>
      <c r="AI25" s="5">
        <f>IF(IFERROR(VALUE(SUBSTITUTE(SUBSTITUTE(TRIM('Sales_RAW(BEFORE)'!AG26), "%", ""), ",", ".")), 0) &gt; 1, IFERROR(VALUE(SUBSTITUTE(SUBSTITUTE(TRIM('Sales_RAW(BEFORE)'!AG26), "%", ""), ",", ".")), 0) / 100, IFERROR(VALUE(SUBSTITUTE(SUBSTITUTE(TRIM('Sales_RAW(BEFORE)'!AG26), "%", ""), ",", ".")), 0))</f>
        <v>0.08</v>
      </c>
      <c r="AJ25" s="6">
        <f t="shared" si="1"/>
        <v>1878.8607999999999</v>
      </c>
      <c r="AK25" s="6">
        <f t="shared" si="2"/>
        <v>25364.620799999997</v>
      </c>
      <c r="AL25" s="6">
        <f>IFERROR(VALUE(SUBSTITUTE(SUBSTITUTE(SUBSTITUTE('Sales_RAW(BEFORE)'!AJ26,"$",""),"USD",""),",",".")),0)</f>
        <v>18.22</v>
      </c>
      <c r="AM25" s="3" t="str">
        <f>SUBSTITUTE(SUBSTITUTE(PROPER('Sales_RAW(BEFORE)'!AK26), "Fed Ex", "FedEx"),"Fedex","FedEx")</f>
        <v>Ups</v>
      </c>
      <c r="AN25" s="3" t="s">
        <v>572</v>
      </c>
      <c r="AO25" s="3" t="str">
        <f>SUBSTITUTE('Sales_RAW(BEFORE)'!AM26,"kg","")</f>
        <v xml:space="preserve">0.7 </v>
      </c>
      <c r="AP25" s="3" t="str">
        <f>_xlfn.LET(
  _xlpm.raw, UPPER(TRIM('Sales_RAW(BEFORE)'!AN26)),
  _xlpm.clean, RIGHT(_xlpm.raw, 1),
  IF(OR(_xlpm.raw="", _xlpm.raw="null"), "N/A", _xlpm.clean)
)</f>
        <v>B</v>
      </c>
      <c r="AQ25" s="3"/>
      <c r="AR25" s="3" cm="1">
        <f t="array" ref="AR25">_xlfn.LET(
  _xlpm.raw, LOWER(TRIM('Sales_RAW(BEFORE)'!AP26)),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25" s="3" t="s">
        <v>318</v>
      </c>
      <c r="AT25" s="3" t="s">
        <v>188</v>
      </c>
      <c r="AU25" s="3" t="s">
        <v>5335</v>
      </c>
      <c r="AV25" s="8">
        <f>IF(IFERROR(VALUE(SUBSTITUTE(SUBSTITUTE(TRIM('Sales_RAW(BEFORE)'!AT26), "%", ""), ",", ".")), 0) &gt; 1, IFERROR(VALUE(SUBSTITUTE(SUBSTITUTE(TRIM('Sales_RAW(BEFORE)'!AT26), "%", ""), ",", ".")), 0) / 100, IFERROR(VALUE(SUBSTITUTE(SUBSTITUTE(TRIM('Sales_RAW(BEFORE)'!AT26), "%", ""), ",", ".")), 0))</f>
        <v>0.3</v>
      </c>
      <c r="AW25" s="6">
        <f>BA25*(_xlfn.XLOOKUP(N25,Employees!$A$2:$A$26,Employees!$E$2:$E$26,2))</f>
        <v>405.83393279999996</v>
      </c>
      <c r="AX25" s="3" t="str">
        <f>PROPER('Sales_RAW(BEFORE)'!AV26)</f>
        <v xml:space="preserve">Emily Brown </v>
      </c>
      <c r="AY25" s="3" t="str">
        <f t="shared" si="3"/>
        <v xml:space="preserve">Emily Brown </v>
      </c>
      <c r="AZ25" s="3"/>
      <c r="BA25" s="24">
        <f>AK25*(1-(_xlfn.XLOOKUP(G25, Exchange_Rates!$B$8:$F$8, Exchange_Rates!$B$9:$F$9, 0)+J25))</f>
        <v>20291.696639999998</v>
      </c>
      <c r="BB25" s="7" cm="1">
        <f t="array" ref="BB25">_xlfn.LET(
  _xlpm.raw_dt, SUBSTITUTE(TRIM(C25), ".", "/"),
  _xlpm.dt, IFERROR(DATEVALUE(_xlpm.raw_dt), C25),
  _xlpm.p_code, TRIM(E25),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46893</v>
      </c>
      <c r="BC25" s="25">
        <f t="shared" si="4"/>
        <v>6087.5089919999991</v>
      </c>
    </row>
    <row r="26" spans="1:55" ht="15.75" thickBot="1" x14ac:dyDescent="0.3">
      <c r="A26" s="3" t="s">
        <v>575</v>
      </c>
      <c r="B26" s="10">
        <f>DATE(2026,3,21)</f>
        <v>46102</v>
      </c>
      <c r="C26" s="4">
        <v>46105</v>
      </c>
      <c r="D26" s="3" t="str">
        <f>"P-" &amp; TEXT(VALUE(SUBSTITUTE(SUBSTITUTE(SUBSTITUTE(UPPER(TRIM('Sales_RAW(BEFORE)'!D27)), "P", ""), "-", ""), "_", "")),"000")</f>
        <v>P-034</v>
      </c>
      <c r="E26" s="3" t="str">
        <f>VLOOKUP(D26,Product_List!$A$2:$B$61,2,FALSE)</f>
        <v>Mouse X 34</v>
      </c>
      <c r="F26" s="3" t="str">
        <f>_xlfn.XLOOKUP(E26,Product_List!$B$2:$B$61,Product_List!$E$2:$E$61,2)</f>
        <v>Global Distrib</v>
      </c>
      <c r="G26" s="3" t="str">
        <f>VLOOKUP(E26,Product_List!$B$2:$C$61,2,FALSE)</f>
        <v>Office</v>
      </c>
      <c r="H26" s="3" t="str">
        <f>SUBSTITUTE(SUBSTITUTE('Sales_RAW(BEFORE)'!G27,"kom",""),".","")</f>
        <v xml:space="preserve">3 </v>
      </c>
      <c r="I26" s="6">
        <f>VLOOKUP(E26,Product_List!$B$2:$D$61,3,FALSE)</f>
        <v>23.03</v>
      </c>
      <c r="J26" s="5">
        <f>IF(IFERROR(VALUE(SUBSTITUTE(SUBSTITUTE(TRIM('Sales_RAW(BEFORE)'!I27), "%", ""), ",", ".")), 0) &gt; 1, IFERROR(VALUE(SUBSTITUTE(SUBSTITUTE(TRIM('Sales_RAW(BEFORE)'!I27), "%", ""), ",", ".")), 0) / 100, IFERROR(VALUE(SUBSTITUTE(SUBSTITUTE(TRIM('Sales_RAW(BEFORE)'!I27), "%", ""), ",", ".")), 0))</f>
        <v>0</v>
      </c>
      <c r="K26" s="6">
        <f>(H26*I26)/(HLOOKUP(AE26,Exchange_Rates!$B$1:$M$2,2,FALSE))</f>
        <v>74.290322580645167</v>
      </c>
      <c r="L26" s="6" t="str" cm="1">
        <f t="array" ref="L26">_xlfn.LET(
  _xlpm.valuta, UPPER(TRIM('Sales_RAW(BEFORE)'!K27)),
  _xlfn.IFS(
    _xlpm.valuta = "", "",
    OR(_xlpm.valuta = "USD", _xlpm.valuta = "$"), "$",
    OR(_xlpm.valuta = "EUR", _xlpm.valuta = "€"), "€",
    TRUE, _xlpm.valuta
  )
)</f>
        <v>€</v>
      </c>
      <c r="M26" s="3" t="str">
        <f>"E" &amp; TEXT(VALUE(SUBSTITUTE(SUBSTITUTE(SUBSTITUTE(UPPER(TRIM('Sales_RAW(BEFORE)'!L27)), "EMP", ""), "E", ""), "-", "")),"000")</f>
        <v>E001</v>
      </c>
      <c r="N26" s="3" t="str">
        <f>_xlfn.XLOOKUP(M26,Employees!$D$2:$D$26,Employees!$A$2:$A$26)</f>
        <v>Sarah Wilson</v>
      </c>
      <c r="O26" s="3" t="str">
        <f>_xlfn.XLOOKUP(N26,Employees!$A$2:$A$26,Employees!$C$2:$C$26,2)</f>
        <v>Online</v>
      </c>
      <c r="P26" s="3" t="str">
        <f>PROPER('Sales_RAW(BEFORE)'!N27)</f>
        <v>East</v>
      </c>
      <c r="Q26" s="3" t="str">
        <f>VLOOKUP(N26,Employees!$A$2:$B$26,2,FALSE)</f>
        <v>Los Angeles</v>
      </c>
      <c r="R26" s="3" t="str">
        <f>PROPER('Sales_RAW(BEFORE)'!P27)</f>
        <v xml:space="preserve">Initech Inc </v>
      </c>
      <c r="S26" s="3" t="str">
        <f>SUBSTITUTE(SUBSTITUTE('Sales_RAW(BEFORE)'!Q27,"EIN",""),":","")</f>
        <v xml:space="preserve"> 650238460</v>
      </c>
      <c r="T26" s="3" t="s">
        <v>400</v>
      </c>
      <c r="U26" s="3" t="s">
        <v>585</v>
      </c>
      <c r="V26" s="3" t="s">
        <v>586</v>
      </c>
      <c r="W26" s="3" t="s">
        <v>587</v>
      </c>
      <c r="X26" s="3" t="s">
        <v>173</v>
      </c>
      <c r="Y26" s="3" t="str">
        <f>PROPER('Sales_RAW(BEFORE)'!W27)</f>
        <v>Cash</v>
      </c>
      <c r="Z26" s="3" t="str">
        <f>PROPER('Sales_RAW(BEFORE)'!X27)</f>
        <v>Cancelled</v>
      </c>
      <c r="AA26" s="3" t="str" cm="1">
        <f t="array" ref="AA26">_xlfn.LET(
  _xlpm.val, TRIM(LOWER('Sales_RAW(BEFORE)'!Y27)),
  _xlfn.IFS(
    OR(_xlpm.val="yes", _xlpm.val="paid"), "Paid",
    OR(_xlpm.val="no", _xlpm.val="unpaid"), "Unpaid",
    OR(_xlpm.val="partial", _xlpm.val="partial paid"), "Partial",
    _xlpm.val="", "",
    TRUE, 'Sales_RAW(BEFORE)'!AY27
  )
)</f>
        <v>Unpaid</v>
      </c>
      <c r="AB26" s="3" t="s">
        <v>588</v>
      </c>
      <c r="AC26" s="3" t="str">
        <f>PROPER('Sales_RAW(BEFORE)'!AA27)</f>
        <v>Online</v>
      </c>
      <c r="AD26" s="3" t="str">
        <f>SUBSTITUTE(SUBSTITUTE(SUBSTITUTE(SUBSTITUTE('Sales_RAW(BEFORE)'!AB27,"st",""),"q",""),"Q",""),"uarter","")</f>
        <v>3</v>
      </c>
      <c r="AE26" s="3" t="str">
        <f>TEXT(IFERROR(DATEVALUE('Sales_RAW(BEFORE)'!AC27 &amp; " 1"), IFERROR(DATE(2025, 'Sales_RAW(BEFORE)'!AC27, 1), 'Sales_RAW(BEFORE)'!AC27)), "mmmm")</f>
        <v>March</v>
      </c>
      <c r="AF26" s="3">
        <f>_xlfn.LET(
  _xlpm.raw, TRIM(SUBSTITUTE('Sales_RAW(BEFORE)'!AD27, "'", "")),
  _xlpm.num, IFERROR(VALUE(_xlpm.raw), 0),
  IF(_xlpm.num &lt; 100, 2000 + _xlpm.num, _xlpm.num)
)</f>
        <v>2026</v>
      </c>
      <c r="AG26" s="3" t="str">
        <f>PROPER('Sales_RAW(BEFORE)'!AE27)</f>
        <v>Net 60</v>
      </c>
      <c r="AH26" s="3" cm="1">
        <f t="array" ref="AH26">_xlfn.LET(
  _xlpm.val, LOWER(TRIM('Sales_RAW(BEFORE)'!AF27)),
  _xlfn.IFS(
    OR(_xlpm.val="", _xlpm.val="null", _xlpm.val="N/A", _xlpm.val="-", _xlpm.val="#N/A"), 0,
    ISNUMBER('Sales_RAW(BEFORE)'!AF27), 'Sales_RAW(BEFORE)'!AF27,
    TRUE, IFERROR(_xlfn.NUMBERVALUE(_xlpm.val), 0)
  )
)</f>
        <v>13</v>
      </c>
      <c r="AI26" s="5">
        <f>IF(IFERROR(VALUE(SUBSTITUTE(SUBSTITUTE(TRIM('Sales_RAW(BEFORE)'!AG27), "%", ""), ",", ".")), 0) &gt; 1, IFERROR(VALUE(SUBSTITUTE(SUBSTITUTE(TRIM('Sales_RAW(BEFORE)'!AG27), "%", ""), ",", ".")), 0) / 100, IFERROR(VALUE(SUBSTITUTE(SUBSTITUTE(TRIM('Sales_RAW(BEFORE)'!AG27), "%", ""), ",", ".")), 0))</f>
        <v>0.08</v>
      </c>
      <c r="AJ26" s="6">
        <f t="shared" si="1"/>
        <v>5.9432258064516139</v>
      </c>
      <c r="AK26" s="6">
        <f t="shared" si="2"/>
        <v>80.233548387096775</v>
      </c>
      <c r="AL26" s="6">
        <f>IFERROR(VALUE(SUBSTITUTE(SUBSTITUTE(SUBSTITUTE('Sales_RAW(BEFORE)'!AJ27,"$",""),"USD",""),",",".")),0)</f>
        <v>20.84</v>
      </c>
      <c r="AM26" s="3" t="str">
        <f>SUBSTITUTE(SUBSTITUTE(PROPER('Sales_RAW(BEFORE)'!AK27), "Fed Ex", "FedEx"),"Fedex","FedEx")</f>
        <v>Usps</v>
      </c>
      <c r="AN26" s="3" t="s">
        <v>590</v>
      </c>
      <c r="AO26" s="3" t="str">
        <f>SUBSTITUTE('Sales_RAW(BEFORE)'!AM27,"kg","")</f>
        <v>18.36</v>
      </c>
      <c r="AP26" s="3" t="str">
        <f>_xlfn.LET(
  _xlpm.raw, UPPER(TRIM('Sales_RAW(BEFORE)'!AN27)),
  _xlpm.clean, RIGHT(_xlpm.raw, 1),
  IF(OR(_xlpm.raw="", _xlpm.raw="null"), "N/A", _xlpm.clean)
)</f>
        <v>B</v>
      </c>
      <c r="AQ26" s="3">
        <v>137</v>
      </c>
      <c r="AR26" s="3" cm="1">
        <f t="array" ref="AR26">_xlfn.LET(
  _xlpm.raw, LOWER(TRIM('Sales_RAW(BEFORE)'!AP27)),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26" s="3"/>
      <c r="AT26" s="3"/>
      <c r="AU26" s="3"/>
      <c r="AV26" s="8">
        <f>IF(IFERROR(VALUE(SUBSTITUTE(SUBSTITUTE(TRIM('Sales_RAW(BEFORE)'!AT27), "%", ""), ",", ".")), 0) &gt; 1, IFERROR(VALUE(SUBSTITUTE(SUBSTITUTE(TRIM('Sales_RAW(BEFORE)'!AT27), "%", ""), ",", ".")), 0) / 100, IFERROR(VALUE(SUBSTITUTE(SUBSTITUTE(TRIM('Sales_RAW(BEFORE)'!AT27), "%", ""), ",", ".")), 0))</f>
        <v>0.25</v>
      </c>
      <c r="AW26" s="6">
        <f>BA26*(_xlfn.XLOOKUP(N26,Employees!$A$2:$A$26,Employees!$E$2:$E$26,2))</f>
        <v>2.166305806451613</v>
      </c>
      <c r="AX26" s="3" t="str">
        <f>PROPER('Sales_RAW(BEFORE)'!AV27)</f>
        <v>David Johnson</v>
      </c>
      <c r="AY26" s="3" t="str">
        <f t="shared" si="3"/>
        <v>David Johnson</v>
      </c>
      <c r="AZ26" s="3"/>
      <c r="BA26" s="24">
        <f>AK26*(1-(_xlfn.XLOOKUP(G26, Exchange_Rates!$B$8:$F$8, Exchange_Rates!$B$9:$F$9, 0)+J26))</f>
        <v>72.210193548387096</v>
      </c>
      <c r="BB26" s="7" cm="1">
        <f t="array" ref="BB26">_xlfn.LET(
  _xlpm.raw_dt, SUBSTITUTE(TRIM(C26), ".", "/"),
  _xlpm.dt, IFERROR(DATEVALUE(_xlpm.raw_dt), C26),
  _xlpm.p_code, TRIM(E26),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46836</v>
      </c>
      <c r="BC26" s="25">
        <f t="shared" si="4"/>
        <v>18.052548387096774</v>
      </c>
    </row>
    <row r="27" spans="1:55" ht="15.75" thickBot="1" x14ac:dyDescent="0.3">
      <c r="A27" s="3" t="s">
        <v>591</v>
      </c>
      <c r="B27" s="10">
        <v>45771</v>
      </c>
      <c r="C27" s="4">
        <v>45777</v>
      </c>
      <c r="D27" s="3" t="str">
        <f>"P-" &amp; TEXT(VALUE(SUBSTITUTE(SUBSTITUTE(SUBSTITUTE(UPPER(TRIM('Sales_RAW(BEFORE)'!D28)), "P", ""), "-", ""), "_", "")),"000")</f>
        <v>P-055</v>
      </c>
      <c r="E27" s="3" t="str">
        <f>VLOOKUP(D27,Product_List!$A$2:$B$61,2,FALSE)</f>
        <v>Cable Basic 55</v>
      </c>
      <c r="F27" s="3" t="str">
        <f>_xlfn.XLOOKUP(E27,Product_List!$B$2:$B$61,Product_List!$E$2:$E$61,2)</f>
        <v>BestParts</v>
      </c>
      <c r="G27" s="3" t="str">
        <f>VLOOKUP(E27,Product_List!$B$2:$C$61,2,FALSE)</f>
        <v>Office</v>
      </c>
      <c r="H27" s="3" t="str">
        <f>SUBSTITUTE(SUBSTITUTE('Sales_RAW(BEFORE)'!G28,"kom",""),".","")</f>
        <v xml:space="preserve">29 </v>
      </c>
      <c r="I27" s="6">
        <f>VLOOKUP(E27,Product_List!$B$2:$D$61,3,FALSE)</f>
        <v>921.78</v>
      </c>
      <c r="J27" s="5">
        <f>IF(IFERROR(VALUE(SUBSTITUTE(SUBSTITUTE(TRIM('Sales_RAW(BEFORE)'!I28), "%", ""), ",", ".")), 0) &gt; 1, IFERROR(VALUE(SUBSTITUTE(SUBSTITUTE(TRIM('Sales_RAW(BEFORE)'!I28), "%", ""), ",", ".")), 0) / 100, IFERROR(VALUE(SUBSTITUTE(SUBSTITUTE(TRIM('Sales_RAW(BEFORE)'!I28), "%", ""), ",", ".")), 0))</f>
        <v>0.1</v>
      </c>
      <c r="K27" s="6">
        <f t="shared" si="0"/>
        <v>26731.62</v>
      </c>
      <c r="L27" s="6" t="str" cm="1">
        <f t="array" ref="L27">_xlfn.LET(
  _xlpm.valuta, UPPER(TRIM('Sales_RAW(BEFORE)'!K28)),
  _xlfn.IFS(
    _xlpm.valuta = "", "",
    OR(_xlpm.valuta = "USD", _xlpm.valuta = "$"), "$",
    OR(_xlpm.valuta = "EUR", _xlpm.valuta = "€"), "€",
    TRUE, _xlpm.valuta
  )
)</f>
        <v>$</v>
      </c>
      <c r="M27" s="3" t="str">
        <f>"E" &amp; TEXT(VALUE(SUBSTITUTE(SUBSTITUTE(SUBSTITUTE(UPPER(TRIM('Sales_RAW(BEFORE)'!L28)), "EMP", ""), "E", ""), "-", "")),"000")</f>
        <v>E009</v>
      </c>
      <c r="N27" s="3" t="str">
        <f>_xlfn.XLOOKUP(M27,Employees!$D$2:$D$26,Employees!$A$2:$A$26)</f>
        <v>Olivia Wilson</v>
      </c>
      <c r="O27" s="3" t="str">
        <f>_xlfn.XLOOKUP(N27,Employees!$A$2:$A$26,Employees!$C$2:$C$26,2)</f>
        <v>Wholesale</v>
      </c>
      <c r="P27" s="3" t="str">
        <f>PROPER('Sales_RAW(BEFORE)'!N28)</f>
        <v>North</v>
      </c>
      <c r="Q27" s="3" t="str">
        <f>VLOOKUP(N27,Employees!$A$2:$B$26,2,FALSE)</f>
        <v>Miami</v>
      </c>
      <c r="R27" s="3" t="str">
        <f>PROPER('Sales_RAW(BEFORE)'!P28)</f>
        <v>Initech Inc</v>
      </c>
      <c r="S27" s="3" t="str">
        <f>SUBSTITUTE(SUBSTITUTE('Sales_RAW(BEFORE)'!Q28,"EIN",""),":","")</f>
        <v xml:space="preserve"> 930519543</v>
      </c>
      <c r="T27" s="3" t="s">
        <v>139</v>
      </c>
      <c r="U27" s="3" t="s">
        <v>603</v>
      </c>
      <c r="V27" s="3" t="s">
        <v>604</v>
      </c>
      <c r="W27" s="3" t="s">
        <v>605</v>
      </c>
      <c r="X27" s="3" t="s">
        <v>173</v>
      </c>
      <c r="Y27" s="3" t="str">
        <f>PROPER('Sales_RAW(BEFORE)'!W28)</f>
        <v>Credit Card</v>
      </c>
      <c r="Z27" s="3" t="str">
        <f>PROPER('Sales_RAW(BEFORE)'!X28)</f>
        <v>Delivered</v>
      </c>
      <c r="AA27" s="3" t="str" cm="1">
        <f t="array" ref="AA27">_xlfn.LET(
  _xlpm.val, TRIM(LOWER('Sales_RAW(BEFORE)'!Y28)),
  _xlfn.IFS(
    OR(_xlpm.val="yes", _xlpm.val="paid"), "Paid",
    OR(_xlpm.val="no", _xlpm.val="unpaid"), "Unpaid",
    OR(_xlpm.val="partial", _xlpm.val="partial paid"), "Partial",
    _xlpm.val="", "",
    TRUE, 'Sales_RAW(BEFORE)'!AY28
  )
)</f>
        <v>Partial</v>
      </c>
      <c r="AB27" s="3" t="s">
        <v>606</v>
      </c>
      <c r="AC27" s="3" t="str">
        <f>PROPER('Sales_RAW(BEFORE)'!AA28)</f>
        <v>Store</v>
      </c>
      <c r="AD27" s="3" t="str">
        <f>SUBSTITUTE(SUBSTITUTE(SUBSTITUTE(SUBSTITUTE('Sales_RAW(BEFORE)'!AB28,"st",""),"q",""),"Q",""),"uarter","")</f>
        <v>3</v>
      </c>
      <c r="AE27" s="3" t="str">
        <f>TEXT(IFERROR(DATEVALUE('Sales_RAW(BEFORE)'!AC28 &amp; " 1"), IFERROR(DATE(2025, 'Sales_RAW(BEFORE)'!AC28, 1), 'Sales_RAW(BEFORE)'!AC28)), "mmmm")</f>
        <v>April</v>
      </c>
      <c r="AF27" s="3">
        <f>_xlfn.LET(
  _xlpm.raw, TRIM(SUBSTITUTE('Sales_RAW(BEFORE)'!AD28, "'", "")),
  _xlpm.num, IFERROR(VALUE(_xlpm.raw), 0),
  IF(_xlpm.num &lt; 100, 2000 + _xlpm.num, _xlpm.num)
)</f>
        <v>2025</v>
      </c>
      <c r="AG27" s="3" t="str">
        <f>PROPER('Sales_RAW(BEFORE)'!AE28)</f>
        <v>15</v>
      </c>
      <c r="AH27" s="3" cm="1">
        <f t="array" ref="AH27">_xlfn.LET(
  _xlpm.val, LOWER(TRIM('Sales_RAW(BEFORE)'!AF28)),
  _xlfn.IFS(
    OR(_xlpm.val="", _xlpm.val="null", _xlpm.val="N/A", _xlpm.val="-", _xlpm.val="#N/A"), 0,
    ISNUMBER('Sales_RAW(BEFORE)'!AF28), 'Sales_RAW(BEFORE)'!AF28,
    TRUE, IFERROR(_xlfn.NUMBERVALUE(_xlpm.val), 0)
  )
)</f>
        <v>24</v>
      </c>
      <c r="AI27" s="5">
        <f>IF(IFERROR(VALUE(SUBSTITUTE(SUBSTITUTE(TRIM('Sales_RAW(BEFORE)'!AG28), "%", ""), ",", ".")), 0) &gt; 1, IFERROR(VALUE(SUBSTITUTE(SUBSTITUTE(TRIM('Sales_RAW(BEFORE)'!AG28), "%", ""), ",", ".")), 0) / 100, IFERROR(VALUE(SUBSTITUTE(SUBSTITUTE(TRIM('Sales_RAW(BEFORE)'!AG28), "%", ""), ",", ".")), 0))</f>
        <v>0.08</v>
      </c>
      <c r="AJ27" s="6">
        <f t="shared" si="1"/>
        <v>2138.5295999999998</v>
      </c>
      <c r="AK27" s="6">
        <f t="shared" si="2"/>
        <v>28870.149599999997</v>
      </c>
      <c r="AL27" s="6">
        <f>IFERROR(VALUE(SUBSTITUTE(SUBSTITUTE(SUBSTITUTE('Sales_RAW(BEFORE)'!AJ28,"$",""),"USD",""),",",".")),0)</f>
        <v>20.079999999999998</v>
      </c>
      <c r="AM27" s="3" t="str">
        <f>SUBSTITUTE(SUBSTITUTE(PROPER('Sales_RAW(BEFORE)'!AK28), "Fed Ex", "FedEx"),"Fedex","FedEx")</f>
        <v>Dhl</v>
      </c>
      <c r="AN27" s="3" t="s">
        <v>608</v>
      </c>
      <c r="AO27" s="3" t="str">
        <f>SUBSTITUTE('Sales_RAW(BEFORE)'!AM28,"kg","")</f>
        <v xml:space="preserve">24.5 </v>
      </c>
      <c r="AP27" s="3" t="str">
        <f>_xlfn.LET(
  _xlpm.raw, UPPER(TRIM('Sales_RAW(BEFORE)'!AN28)),
  _xlpm.clean, RIGHT(_xlpm.raw, 1),
  IF(OR(_xlpm.raw="", _xlpm.raw="null"), "N/A", _xlpm.clean)
)</f>
        <v>B</v>
      </c>
      <c r="AQ27" s="3">
        <v>500</v>
      </c>
      <c r="AR27" s="3" cm="1">
        <f t="array" ref="AR27">_xlfn.LET(
  _xlpm.raw, LOWER(TRIM('Sales_RAW(BEFORE)'!AP28)),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27" s="3"/>
      <c r="AT27" s="3"/>
      <c r="AU27" s="3"/>
      <c r="AV27" s="8">
        <f>IF(IFERROR(VALUE(SUBSTITUTE(SUBSTITUTE(TRIM('Sales_RAW(BEFORE)'!AT28), "%", ""), ",", ".")), 0) &gt; 1, IFERROR(VALUE(SUBSTITUTE(SUBSTITUTE(TRIM('Sales_RAW(BEFORE)'!AT28), "%", ""), ",", ".")), 0) / 100, IFERROR(VALUE(SUBSTITUTE(SUBSTITUTE(TRIM('Sales_RAW(BEFORE)'!AT28), "%", ""), ",", ".")), 0))</f>
        <v>0.3</v>
      </c>
      <c r="AW27" s="6">
        <f>BA27*(_xlfn.XLOOKUP(N27,Employees!$A$2:$A$26,Employees!$E$2:$E$26,2))</f>
        <v>692.8835904</v>
      </c>
      <c r="AX27" s="3" t="str">
        <f>PROPER('Sales_RAW(BEFORE)'!AV28)</f>
        <v>Emma Wilson</v>
      </c>
      <c r="AY27" s="3" t="str">
        <f t="shared" si="3"/>
        <v>Emma Wilson</v>
      </c>
      <c r="AZ27" s="3"/>
      <c r="BA27" s="24">
        <f>AK27*(1-(_xlfn.XLOOKUP(G27, Exchange_Rates!$B$8:$F$8, Exchange_Rates!$B$9:$F$9, 0)+J27))</f>
        <v>23096.11968</v>
      </c>
      <c r="BB27" s="7" cm="1">
        <f t="array" ref="BB27">_xlfn.LET(
  _xlpm.raw_dt, SUBSTITUTE(TRIM(C27), ".", "/"),
  _xlpm.dt, IFERROR(DATEVALUE(_xlpm.raw_dt), C27),
  _xlpm.p_code, TRIM(E27),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46507</v>
      </c>
      <c r="BC27" s="25">
        <f t="shared" si="4"/>
        <v>6928.8359039999996</v>
      </c>
    </row>
    <row r="28" spans="1:55" ht="15.75" thickBot="1" x14ac:dyDescent="0.3">
      <c r="A28" s="3" t="s">
        <v>612</v>
      </c>
      <c r="B28" s="10">
        <v>45870</v>
      </c>
      <c r="C28" s="4">
        <v>45724</v>
      </c>
      <c r="D28" s="3" t="str">
        <f>"P-" &amp; TEXT(VALUE(SUBSTITUTE(SUBSTITUTE(SUBSTITUTE(UPPER(TRIM('Sales_RAW(BEFORE)'!D29)), "P", ""), "-", ""), "_", "")),"000")</f>
        <v>P-019</v>
      </c>
      <c r="E28" s="3" t="str">
        <f>VLOOKUP(D28,Product_List!$A$2:$B$61,2,FALSE)</f>
        <v>Monitor Max 19</v>
      </c>
      <c r="F28" s="3" t="str">
        <f>_xlfn.XLOOKUP(E28,Product_List!$B$2:$B$61,Product_List!$E$2:$E$61,2)</f>
        <v>BestParts</v>
      </c>
      <c r="G28" s="3" t="str">
        <f>VLOOKUP(E28,Product_List!$B$2:$C$61,2,FALSE)</f>
        <v>Software</v>
      </c>
      <c r="H28" s="3" t="str">
        <f>SUBSTITUTE(SUBSTITUTE('Sales_RAW(BEFORE)'!G29,"kom",""),".","")</f>
        <v>13</v>
      </c>
      <c r="I28" s="6">
        <f>VLOOKUP(E28,Product_List!$B$2:$D$61,3,FALSE)</f>
        <v>251.62</v>
      </c>
      <c r="J28" s="5">
        <f>IF(IFERROR(VALUE(SUBSTITUTE(SUBSTITUTE(TRIM('Sales_RAW(BEFORE)'!I29), "%", ""), ",", ".")), 0) &gt; 1, IFERROR(VALUE(SUBSTITUTE(SUBSTITUTE(TRIM('Sales_RAW(BEFORE)'!I29), "%", ""), ",", ".")), 0) / 100, IFERROR(VALUE(SUBSTITUTE(SUBSTITUTE(TRIM('Sales_RAW(BEFORE)'!I29), "%", ""), ",", ".")), 0))</f>
        <v>0.05</v>
      </c>
      <c r="K28" s="6">
        <f>(H28*I28)/(HLOOKUP(AE28,Exchange_Rates!$B$1:$M$2,2,FALSE))</f>
        <v>3547.7874186550976</v>
      </c>
      <c r="L28" s="6" t="str" cm="1">
        <f t="array" ref="L28">_xlfn.LET(
  _xlpm.valuta, UPPER(TRIM('Sales_RAW(BEFORE)'!K29)),
  _xlfn.IFS(
    _xlpm.valuta = "", "",
    OR(_xlpm.valuta = "USD", _xlpm.valuta = "$"), "$",
    OR(_xlpm.valuta = "EUR", _xlpm.valuta = "€"), "€",
    TRUE, _xlpm.valuta
  )
)</f>
        <v>€</v>
      </c>
      <c r="M28" s="3" t="str">
        <f>"E" &amp; TEXT(VALUE(SUBSTITUTE(SUBSTITUTE(SUBSTITUTE(UPPER(TRIM('Sales_RAW(BEFORE)'!L29)), "EMP", ""), "E", ""), "-", "")),"000")</f>
        <v>E017</v>
      </c>
      <c r="N28" s="3" t="str">
        <f>_xlfn.XLOOKUP(M28,Employees!$D$2:$D$26,Employees!$A$2:$A$26)</f>
        <v>Robert Davis</v>
      </c>
      <c r="O28" s="3" t="str">
        <f>_xlfn.XLOOKUP(N28,Employees!$A$2:$A$26,Employees!$C$2:$C$26,2)</f>
        <v>Wholesale</v>
      </c>
      <c r="P28" s="3" t="str">
        <f>PROPER('Sales_RAW(BEFORE)'!N29)</f>
        <v>North</v>
      </c>
      <c r="Q28" s="3" t="str">
        <f>VLOOKUP(N28,Employees!$A$2:$B$26,2,FALSE)</f>
        <v>Miami</v>
      </c>
      <c r="R28" s="3" t="str">
        <f>PROPER('Sales_RAW(BEFORE)'!P29)</f>
        <v xml:space="preserve">   Acme Ltd.</v>
      </c>
      <c r="S28" s="3" t="str">
        <f>SUBSTITUTE(SUBSTITUTE('Sales_RAW(BEFORE)'!Q29,"EIN",""),":","")</f>
        <v xml:space="preserve"> 758208298</v>
      </c>
      <c r="T28" s="3" t="s">
        <v>624</v>
      </c>
      <c r="U28" s="3" t="s">
        <v>625</v>
      </c>
      <c r="V28" s="3" t="s">
        <v>626</v>
      </c>
      <c r="W28" s="3" t="s">
        <v>627</v>
      </c>
      <c r="X28" s="3" t="s">
        <v>173</v>
      </c>
      <c r="Y28" s="3" t="str">
        <f>PROPER('Sales_RAW(BEFORE)'!W29)</f>
        <v>Wire Transfer</v>
      </c>
      <c r="Z28" s="3" t="str">
        <f>PROPER('Sales_RAW(BEFORE)'!X29)</f>
        <v>Delivered</v>
      </c>
      <c r="AA28" s="3" t="str" cm="1">
        <f t="array" ref="AA28">_xlfn.LET(
  _xlpm.val, TRIM(LOWER('Sales_RAW(BEFORE)'!Y29)),
  _xlfn.IFS(
    OR(_xlpm.val="yes", _xlpm.val="paid"), "Paid",
    OR(_xlpm.val="no", _xlpm.val="unpaid"), "Unpaid",
    OR(_xlpm.val="partial", _xlpm.val="partial paid"), "Partial",
    _xlpm.val="", "",
    TRUE, 'Sales_RAW(BEFORE)'!AY29
  )
)</f>
        <v>Paid</v>
      </c>
      <c r="AB28" s="3" t="s">
        <v>628</v>
      </c>
      <c r="AC28" s="3" t="str">
        <f>PROPER('Sales_RAW(BEFORE)'!AA29)</f>
        <v>Web</v>
      </c>
      <c r="AD28" s="3" t="str">
        <f>SUBSTITUTE(SUBSTITUTE(SUBSTITUTE(SUBSTITUTE('Sales_RAW(BEFORE)'!AB29,"st",""),"q",""),"Q",""),"uarter","")</f>
        <v>2</v>
      </c>
      <c r="AE28" s="3" t="str">
        <f>TEXT(IFERROR(DATEVALUE('Sales_RAW(BEFORE)'!AC29 &amp; " 1"), IFERROR(DATE(2025, 'Sales_RAW(BEFORE)'!AC29, 1), 'Sales_RAW(BEFORE)'!AC29)), "mmmm")</f>
        <v>August</v>
      </c>
      <c r="AF28" s="3">
        <f>_xlfn.LET(
  _xlpm.raw, TRIM(SUBSTITUTE('Sales_RAW(BEFORE)'!AD29, "'", "")),
  _xlpm.num, IFERROR(VALUE(_xlpm.raw), 0),
  IF(_xlpm.num &lt; 100, 2000 + _xlpm.num, _xlpm.num)
)</f>
        <v>2025</v>
      </c>
      <c r="AG28" s="3" t="str">
        <f>PROPER('Sales_RAW(BEFORE)'!AE29)</f>
        <v>Immediate</v>
      </c>
      <c r="AH28" s="3" cm="1">
        <f t="array" ref="AH28">_xlfn.LET(
  _xlpm.val, LOWER(TRIM('Sales_RAW(BEFORE)'!AF29)),
  _xlfn.IFS(
    OR(_xlpm.val="", _xlpm.val="null", _xlpm.val="N/A", _xlpm.val="-", _xlpm.val="#N/A"), 0,
    ISNUMBER('Sales_RAW(BEFORE)'!AF29), 'Sales_RAW(BEFORE)'!AF29,
    TRUE, IFERROR(_xlfn.NUMBERVALUE(_xlpm.val), 0)
  )
)</f>
        <v>6</v>
      </c>
      <c r="AI28" s="5">
        <f>IF(IFERROR(VALUE(SUBSTITUTE(SUBSTITUTE(TRIM('Sales_RAW(BEFORE)'!AG29), "%", ""), ",", ".")), 0) &gt; 1, IFERROR(VALUE(SUBSTITUTE(SUBSTITUTE(TRIM('Sales_RAW(BEFORE)'!AG29), "%", ""), ",", ".")), 0) / 100, IFERROR(VALUE(SUBSTITUTE(SUBSTITUTE(TRIM('Sales_RAW(BEFORE)'!AG29), "%", ""), ",", ".")), 0))</f>
        <v>0.08</v>
      </c>
      <c r="AJ28" s="6">
        <f t="shared" si="1"/>
        <v>283.82299349240782</v>
      </c>
      <c r="AK28" s="6">
        <f t="shared" si="2"/>
        <v>3831.6104121475055</v>
      </c>
      <c r="AL28" s="6">
        <f>IFERROR(VALUE(SUBSTITUTE(SUBSTITUTE(SUBSTITUTE('Sales_RAW(BEFORE)'!AJ29,"$",""),"USD",""),",",".")),0)</f>
        <v>11.14</v>
      </c>
      <c r="AM28" s="3" t="str">
        <f>SUBSTITUTE(SUBSTITUTE(PROPER('Sales_RAW(BEFORE)'!AK29), "Fed Ex", "FedEx"),"Fedex","FedEx")</f>
        <v>FedEx</v>
      </c>
      <c r="AN28" s="3" t="s">
        <v>630</v>
      </c>
      <c r="AO28" s="3" t="str">
        <f>SUBSTITUTE('Sales_RAW(BEFORE)'!AM29,"kg","")</f>
        <v>9,18</v>
      </c>
      <c r="AP28" s="3" t="str">
        <f>_xlfn.LET(
  _xlpm.raw, UPPER(TRIM('Sales_RAW(BEFORE)'!AN29)),
  _xlpm.clean, RIGHT(_xlpm.raw, 1),
  IF(OR(_xlpm.raw="", _xlpm.raw="null"), "N/A", _xlpm.clean)
)</f>
        <v>B</v>
      </c>
      <c r="AQ28" s="3">
        <v>491</v>
      </c>
      <c r="AR28" s="3" cm="1">
        <f t="array" ref="AR28">_xlfn.LET(
  _xlpm.raw, LOWER(TRIM('Sales_RAW(BEFORE)'!AP29)),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28" s="3"/>
      <c r="AT28" s="3"/>
      <c r="AU28" s="3"/>
      <c r="AV28" s="8">
        <f>IF(IFERROR(VALUE(SUBSTITUTE(SUBSTITUTE(TRIM('Sales_RAW(BEFORE)'!AT29), "%", ""), ",", ".")), 0) &gt; 1, IFERROR(VALUE(SUBSTITUTE(SUBSTITUTE(TRIM('Sales_RAW(BEFORE)'!AT29), "%", ""), ",", ".")), 0) / 100, IFERROR(VALUE(SUBSTITUTE(SUBSTITUTE(TRIM('Sales_RAW(BEFORE)'!AT29), "%", ""), ",", ".")), 0))</f>
        <v>0.15</v>
      </c>
      <c r="AW28" s="6">
        <f>BA28*(_xlfn.XLOOKUP(N28,Employees!$A$2:$A$26,Employees!$E$2:$E$26,2))</f>
        <v>91.958649891540134</v>
      </c>
      <c r="AX28" s="3" t="str">
        <f>PROPER('Sales_RAW(BEFORE)'!AV29)</f>
        <v xml:space="preserve">James Williams </v>
      </c>
      <c r="AY28" s="3" t="str">
        <f t="shared" si="3"/>
        <v xml:space="preserve">James Williams </v>
      </c>
      <c r="AZ28" s="3"/>
      <c r="BA28" s="24">
        <f>AK28*(1-(_xlfn.XLOOKUP(G28, Exchange_Rates!$B$8:$F$8, Exchange_Rates!$B$9:$F$9, 0)+J28))</f>
        <v>3065.2883297180047</v>
      </c>
      <c r="BB28" s="7" cm="1">
        <f t="array" ref="BB28">_xlfn.LET(
  _xlpm.raw_dt, SUBSTITUTE(TRIM(C28), ".", "/"),
  _xlpm.dt, IFERROR(DATEVALUE(_xlpm.raw_dt), C28),
  _xlpm.p_code, TRIM(E28),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46454</v>
      </c>
      <c r="BC28" s="25">
        <f t="shared" si="4"/>
        <v>459.79324945770071</v>
      </c>
    </row>
    <row r="29" spans="1:55" ht="15.75" thickBot="1" x14ac:dyDescent="0.3">
      <c r="A29" s="3" t="s">
        <v>635</v>
      </c>
      <c r="B29" s="10">
        <v>46046</v>
      </c>
      <c r="C29" s="4">
        <v>46048</v>
      </c>
      <c r="D29" s="3" t="str">
        <f>"P-" &amp; TEXT(VALUE(SUBSTITUTE(SUBSTITUTE(SUBSTITUTE(UPPER(TRIM('Sales_RAW(BEFORE)'!D30)), "P", ""), "-", ""), "_", "")),"000")</f>
        <v>P-011</v>
      </c>
      <c r="E29" s="3" t="str">
        <f>VLOOKUP(D29,Product_List!$A$2:$B$61,2,FALSE)</f>
        <v>Mouse Pro 11</v>
      </c>
      <c r="F29" s="3" t="str">
        <f>_xlfn.XLOOKUP(E29,Product_List!$B$2:$B$61,Product_List!$E$2:$E$61,2)</f>
        <v>OfficeHub</v>
      </c>
      <c r="G29" s="3" t="str">
        <f>VLOOKUP(E29,Product_List!$B$2:$C$61,2,FALSE)</f>
        <v>Equipment</v>
      </c>
      <c r="H29" s="3" t="str">
        <f>SUBSTITUTE(SUBSTITUTE('Sales_RAW(BEFORE)'!G30,"kom",""),".","")</f>
        <v xml:space="preserve">1 </v>
      </c>
      <c r="I29" s="6">
        <f>VLOOKUP(E29,Product_List!$B$2:$D$61,3,FALSE)</f>
        <v>858.95</v>
      </c>
      <c r="J29" s="5">
        <f>IF(IFERROR(VALUE(SUBSTITUTE(SUBSTITUTE(TRIM('Sales_RAW(BEFORE)'!I30), "%", ""), ",", ".")), 0) &gt; 1, IFERROR(VALUE(SUBSTITUTE(SUBSTITUTE(TRIM('Sales_RAW(BEFORE)'!I30), "%", ""), ",", ".")), 0) / 100, IFERROR(VALUE(SUBSTITUTE(SUBSTITUTE(TRIM('Sales_RAW(BEFORE)'!I30), "%", ""), ",", ".")), 0))</f>
        <v>0.1</v>
      </c>
      <c r="K29" s="6">
        <f t="shared" si="0"/>
        <v>858.95</v>
      </c>
      <c r="L29" s="6" t="str" cm="1">
        <f t="array" ref="L29">_xlfn.LET(
  _xlpm.valuta, UPPER(TRIM('Sales_RAW(BEFORE)'!K30)),
  _xlfn.IFS(
    _xlpm.valuta = "", "",
    OR(_xlpm.valuta = "USD", _xlpm.valuta = "$"), "$",
    OR(_xlpm.valuta = "EUR", _xlpm.valuta = "€"), "€",
    TRUE, _xlpm.valuta
  )
)</f>
        <v>$</v>
      </c>
      <c r="M29" s="3" t="str">
        <f>"E" &amp; TEXT(VALUE(SUBSTITUTE(SUBSTITUTE(SUBSTITUTE(UPPER(TRIM('Sales_RAW(BEFORE)'!L30)), "EMP", ""), "E", ""), "-", "")),"000")</f>
        <v>E012</v>
      </c>
      <c r="N29" s="3" t="str">
        <f>_xlfn.XLOOKUP(M29,Employees!$D$2:$D$26,Employees!$A$2:$A$26)</f>
        <v>John Smith</v>
      </c>
      <c r="O29" s="3" t="str">
        <f>_xlfn.XLOOKUP(N29,Employees!$A$2:$A$26,Employees!$C$2:$C$26,2)</f>
        <v>Sales</v>
      </c>
      <c r="P29" s="3" t="str">
        <f>PROPER('Sales_RAW(BEFORE)'!N30)</f>
        <v>West</v>
      </c>
      <c r="Q29" s="3" t="str">
        <f>VLOOKUP(N29,Employees!$A$2:$B$26,2,FALSE)</f>
        <v>Miami</v>
      </c>
      <c r="R29" s="3" t="str">
        <f>PROPER('Sales_RAW(BEFORE)'!P30)</f>
        <v>Umbrella Ltd.</v>
      </c>
      <c r="S29" s="3" t="str">
        <f>SUBSTITUTE(SUBSTITUTE('Sales_RAW(BEFORE)'!Q30,"EIN",""),":","")</f>
        <v>504686425</v>
      </c>
      <c r="T29" s="3" t="s">
        <v>646</v>
      </c>
      <c r="U29" s="3" t="s">
        <v>647</v>
      </c>
      <c r="V29" s="3" t="s">
        <v>648</v>
      </c>
      <c r="W29" s="3" t="s">
        <v>649</v>
      </c>
      <c r="X29" s="3" t="s">
        <v>173</v>
      </c>
      <c r="Y29" s="3" t="str">
        <f>PROPER('Sales_RAW(BEFORE)'!W30)</f>
        <v>Credit Card</v>
      </c>
      <c r="Z29" s="3" t="str">
        <f>PROPER('Sales_RAW(BEFORE)'!X30)</f>
        <v>Delivered</v>
      </c>
      <c r="AA29" s="3" t="str" cm="1">
        <f t="array" ref="AA29">_xlfn.LET(
  _xlpm.val, TRIM(LOWER('Sales_RAW(BEFORE)'!Y30)),
  _xlfn.IFS(
    OR(_xlpm.val="yes", _xlpm.val="paid"), "Paid",
    OR(_xlpm.val="no", _xlpm.val="unpaid"), "Unpaid",
    OR(_xlpm.val="partial", _xlpm.val="partial paid"), "Partial",
    _xlpm.val="", "",
    TRUE, 'Sales_RAW(BEFORE)'!AY30
  )
)</f>
        <v>Unpaid</v>
      </c>
      <c r="AB29" s="3" t="s">
        <v>650</v>
      </c>
      <c r="AC29" s="3" t="str">
        <f>PROPER('Sales_RAW(BEFORE)'!AA30)</f>
        <v>Online</v>
      </c>
      <c r="AD29" s="3" t="str">
        <f>SUBSTITUTE(SUBSTITUTE(SUBSTITUTE(SUBSTITUTE('Sales_RAW(BEFORE)'!AB30,"st",""),"q",""),"Q",""),"uarter","")</f>
        <v>1</v>
      </c>
      <c r="AE29" s="3" t="str">
        <f>TEXT(IFERROR(DATEVALUE('Sales_RAW(BEFORE)'!AC30 &amp; " 1"), IFERROR(DATE(2025, 'Sales_RAW(BEFORE)'!AC30, 1), 'Sales_RAW(BEFORE)'!AC30)), "mmmm")</f>
        <v>January</v>
      </c>
      <c r="AF29" s="3">
        <f>_xlfn.LET(
  _xlpm.raw, TRIM(SUBSTITUTE('Sales_RAW(BEFORE)'!AD30, "'", "")),
  _xlpm.num, IFERROR(VALUE(_xlpm.raw), 0),
  IF(_xlpm.num &lt; 100, 2000 + _xlpm.num, _xlpm.num)
)</f>
        <v>2026</v>
      </c>
      <c r="AG29" s="3" t="str">
        <f>PROPER('Sales_RAW(BEFORE)'!AE30)</f>
        <v>Immediate</v>
      </c>
      <c r="AH29" s="3" cm="1">
        <f t="array" ref="AH29">_xlfn.LET(
  _xlpm.val, LOWER(TRIM('Sales_RAW(BEFORE)'!AF30)),
  _xlfn.IFS(
    OR(_xlpm.val="", _xlpm.val="null", _xlpm.val="N/A", _xlpm.val="-", _xlpm.val="#N/A"), 0,
    ISNUMBER('Sales_RAW(BEFORE)'!AF30), 'Sales_RAW(BEFORE)'!AF30,
    TRUE, IFERROR(_xlfn.NUMBERVALUE(_xlpm.val), 0)
  )
)</f>
        <v>3</v>
      </c>
      <c r="AI29" s="5">
        <f>IF(IFERROR(VALUE(SUBSTITUTE(SUBSTITUTE(TRIM('Sales_RAW(BEFORE)'!AG30), "%", ""), ",", ".")), 0) &gt; 1, IFERROR(VALUE(SUBSTITUTE(SUBSTITUTE(TRIM('Sales_RAW(BEFORE)'!AG30), "%", ""), ",", ".")), 0) / 100, IFERROR(VALUE(SUBSTITUTE(SUBSTITUTE(TRIM('Sales_RAW(BEFORE)'!AG30), "%", ""), ",", ".")), 0))</f>
        <v>0.08</v>
      </c>
      <c r="AJ29" s="6">
        <f t="shared" si="1"/>
        <v>68.716000000000008</v>
      </c>
      <c r="AK29" s="6">
        <f t="shared" si="2"/>
        <v>927.66600000000005</v>
      </c>
      <c r="AL29" s="6">
        <f>IFERROR(VALUE(SUBSTITUTE(SUBSTITUTE(SUBSTITUTE('Sales_RAW(BEFORE)'!AJ30,"$",""),"USD",""),",",".")),0)</f>
        <v>16</v>
      </c>
      <c r="AM29" s="3" t="str">
        <f>SUBSTITUTE(SUBSTITUTE(PROPER('Sales_RAW(BEFORE)'!AK30), "Fed Ex", "FedEx"),"Fedex","FedEx")</f>
        <v>Usps</v>
      </c>
      <c r="AN29" s="3" t="s">
        <v>653</v>
      </c>
      <c r="AO29" s="3" t="str">
        <f>SUBSTITUTE('Sales_RAW(BEFORE)'!AM30,"kg","")</f>
        <v>25.54</v>
      </c>
      <c r="AP29" s="3" t="str">
        <f>_xlfn.LET(
  _xlpm.raw, UPPER(TRIM('Sales_RAW(BEFORE)'!AN30)),
  _xlpm.clean, RIGHT(_xlpm.raw, 1),
  IF(OR(_xlpm.raw="", _xlpm.raw="null"), "N/A", _xlpm.clean)
)</f>
        <v>A</v>
      </c>
      <c r="AQ29" s="3">
        <v>287</v>
      </c>
      <c r="AR29" s="3" cm="1">
        <f t="array" ref="AR29">_xlfn.LET(
  _xlpm.raw, LOWER(TRIM('Sales_RAW(BEFORE)'!AP30)),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29" s="3"/>
      <c r="AT29" s="3"/>
      <c r="AU29" s="3"/>
      <c r="AV29" s="8">
        <f>IF(IFERROR(VALUE(SUBSTITUTE(SUBSTITUTE(TRIM('Sales_RAW(BEFORE)'!AT30), "%", ""), ",", ".")), 0) &gt; 1, IFERROR(VALUE(SUBSTITUTE(SUBSTITUTE(TRIM('Sales_RAW(BEFORE)'!AT30), "%", ""), ",", ".")), 0) / 100, IFERROR(VALUE(SUBSTITUTE(SUBSTITUTE(TRIM('Sales_RAW(BEFORE)'!AT30), "%", ""), ",", ".")), 0))</f>
        <v>0.25</v>
      </c>
      <c r="AW29" s="6">
        <f>BA29*(_xlfn.XLOOKUP(N29,Employees!$A$2:$A$26,Employees!$E$2:$E$26,2))</f>
        <v>14.842656000000002</v>
      </c>
      <c r="AX29" s="3" t="str">
        <f>PROPER('Sales_RAW(BEFORE)'!AV30)</f>
        <v xml:space="preserve">   Ryan Jones</v>
      </c>
      <c r="AY29" s="3" t="str">
        <f t="shared" si="3"/>
        <v xml:space="preserve">   Ryan Jones</v>
      </c>
      <c r="AZ29" s="3"/>
      <c r="BA29" s="24">
        <f>AK29*(1-(_xlfn.XLOOKUP(G29, Exchange_Rates!$B$8:$F$8, Exchange_Rates!$B$9:$F$9, 0)+J29))</f>
        <v>742.13280000000009</v>
      </c>
      <c r="BB29" s="7" cm="1">
        <f t="array" ref="BB29">_xlfn.LET(
  _xlpm.raw_dt, SUBSTITUTE(TRIM(C29), ".", "/"),
  _xlpm.dt, IFERROR(DATEVALUE(_xlpm.raw_dt), C29),
  _xlpm.p_code, TRIM(E29),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46413</v>
      </c>
      <c r="BC29" s="25">
        <f t="shared" si="4"/>
        <v>185.53320000000002</v>
      </c>
    </row>
    <row r="30" spans="1:55" ht="15.75" thickBot="1" x14ac:dyDescent="0.3">
      <c r="A30" s="3" t="s">
        <v>655</v>
      </c>
      <c r="B30" s="10">
        <v>45793</v>
      </c>
      <c r="C30" s="4">
        <f>DATE(2025,5,17)</f>
        <v>45794</v>
      </c>
      <c r="D30" s="3" t="str">
        <f>"P-" &amp; TEXT(VALUE(SUBSTITUTE(SUBSTITUTE(SUBSTITUTE(UPPER(TRIM('Sales_RAW(BEFORE)'!D31)), "P", ""), "-", ""), "_", "")),"000")</f>
        <v>P-055</v>
      </c>
      <c r="E30" s="3" t="str">
        <f>VLOOKUP(D30,Product_List!$A$2:$B$61,2,FALSE)</f>
        <v>Cable Basic 55</v>
      </c>
      <c r="F30" s="3" t="str">
        <f>_xlfn.XLOOKUP(E30,Product_List!$B$2:$B$61,Product_List!$E$2:$E$61,2)</f>
        <v>BestParts</v>
      </c>
      <c r="G30" s="3" t="str">
        <f>VLOOKUP(E30,Product_List!$B$2:$C$61,2,FALSE)</f>
        <v>Office</v>
      </c>
      <c r="H30" s="3" t="str">
        <f>SUBSTITUTE(SUBSTITUTE('Sales_RAW(BEFORE)'!G31,"kom",""),".","")</f>
        <v>12</v>
      </c>
      <c r="I30" s="6">
        <f>VLOOKUP(E30,Product_List!$B$2:$D$61,3,FALSE)</f>
        <v>921.78</v>
      </c>
      <c r="J30" s="5">
        <f>IF(IFERROR(VALUE(SUBSTITUTE(SUBSTITUTE(TRIM('Sales_RAW(BEFORE)'!I31), "%", ""), ",", ".")), 0) &gt; 1, IFERROR(VALUE(SUBSTITUTE(SUBSTITUTE(TRIM('Sales_RAW(BEFORE)'!I31), "%", ""), ",", ".")), 0) / 100, IFERROR(VALUE(SUBSTITUTE(SUBSTITUTE(TRIM('Sales_RAW(BEFORE)'!I31), "%", ""), ",", ".")), 0))</f>
        <v>0.1</v>
      </c>
      <c r="K30" s="6">
        <f t="shared" si="0"/>
        <v>11061.36</v>
      </c>
      <c r="L30" s="6" t="str" cm="1">
        <f t="array" ref="L30">_xlfn.LET(
  _xlpm.valuta, UPPER(TRIM('Sales_RAW(BEFORE)'!K31)),
  _xlfn.IFS(
    _xlpm.valuta = "", "",
    OR(_xlpm.valuta = "USD", _xlpm.valuta = "$"), "$",
    OR(_xlpm.valuta = "EUR", _xlpm.valuta = "€"), "€",
    TRUE, _xlpm.valuta
  )
)</f>
        <v>$</v>
      </c>
      <c r="M30" s="3" t="str">
        <f>"E" &amp; TEXT(VALUE(SUBSTITUTE(SUBSTITUTE(SUBSTITUTE(UPPER(TRIM('Sales_RAW(BEFORE)'!L31)), "EMP", ""), "E", ""), "-", "")),"000")</f>
        <v>E015</v>
      </c>
      <c r="N30" s="3" t="str">
        <f>_xlfn.XLOOKUP(M30,Employees!$D$2:$D$26,Employees!$A$2:$A$26)</f>
        <v>Sarah Jones</v>
      </c>
      <c r="O30" s="3" t="str">
        <f>_xlfn.XLOOKUP(N30,Employees!$A$2:$A$26,Employees!$C$2:$C$26,2)</f>
        <v>Wholesale</v>
      </c>
      <c r="P30" s="3" t="str">
        <f>PROPER('Sales_RAW(BEFORE)'!N31)</f>
        <v>North</v>
      </c>
      <c r="Q30" s="3" t="str">
        <f>VLOOKUP(N30,Employees!$A$2:$B$26,2,FALSE)</f>
        <v>Boston</v>
      </c>
      <c r="R30" s="3" t="str">
        <f>PROPER('Sales_RAW(BEFORE)'!P31)</f>
        <v>Wayne Inc</v>
      </c>
      <c r="S30" s="3" t="str">
        <f>SUBSTITUTE(SUBSTITUTE('Sales_RAW(BEFORE)'!Q31,"EIN",""),":","")</f>
        <v xml:space="preserve"> 819550596</v>
      </c>
      <c r="T30" s="3" t="s">
        <v>665</v>
      </c>
      <c r="U30" s="3" t="s">
        <v>666</v>
      </c>
      <c r="V30" s="3" t="s">
        <v>667</v>
      </c>
      <c r="W30" s="3" t="s">
        <v>668</v>
      </c>
      <c r="X30" s="3" t="s">
        <v>173</v>
      </c>
      <c r="Y30" s="3" t="str">
        <f>PROPER('Sales_RAW(BEFORE)'!W31)</f>
        <v>Wire Transfer</v>
      </c>
      <c r="Z30" s="3" t="str">
        <f>PROPER('Sales_RAW(BEFORE)'!X31)</f>
        <v>Pending</v>
      </c>
      <c r="AA30" s="3" t="str" cm="1">
        <f t="array" ref="AA30">_xlfn.LET(
  _xlpm.val, TRIM(LOWER('Sales_RAW(BEFORE)'!Y31)),
  _xlfn.IFS(
    OR(_xlpm.val="yes", _xlpm.val="paid"), "Paid",
    OR(_xlpm.val="no", _xlpm.val="unpaid"), "Unpaid",
    OR(_xlpm.val="partial", _xlpm.val="partial paid"), "Partial",
    _xlpm.val="", "",
    TRUE, 'Sales_RAW(BEFORE)'!AY31
  )
)</f>
        <v>Unpaid</v>
      </c>
      <c r="AB30" s="3" t="s">
        <v>669</v>
      </c>
      <c r="AC30" s="3" t="str">
        <f>PROPER('Sales_RAW(BEFORE)'!AA31)</f>
        <v>Phone</v>
      </c>
      <c r="AD30" s="3" t="str">
        <f>SUBSTITUTE(SUBSTITUTE(SUBSTITUTE(SUBSTITUTE('Sales_RAW(BEFORE)'!AB31,"st",""),"q",""),"Q",""),"uarter","")</f>
        <v>4</v>
      </c>
      <c r="AE30" s="3" t="str">
        <f>TEXT(IFERROR(DATEVALUE('Sales_RAW(BEFORE)'!AC31 &amp; " 1"), IFERROR(DATE(2025, 'Sales_RAW(BEFORE)'!AC31, 1), 'Sales_RAW(BEFORE)'!AC31)), "mmmm")</f>
        <v>May</v>
      </c>
      <c r="AF30" s="3">
        <f>_xlfn.LET(
  _xlpm.raw, TRIM(SUBSTITUTE('Sales_RAW(BEFORE)'!AD31, "'", "")),
  _xlpm.num, IFERROR(VALUE(_xlpm.raw), 0),
  IF(_xlpm.num &lt; 100, 2000 + _xlpm.num, _xlpm.num)
)</f>
        <v>2025</v>
      </c>
      <c r="AG30" s="3" t="str">
        <f>PROPER('Sales_RAW(BEFORE)'!AE31)</f>
        <v>Net 60</v>
      </c>
      <c r="AH30" s="3" cm="1">
        <f t="array" ref="AH30">_xlfn.LET(
  _xlpm.val, LOWER(TRIM('Sales_RAW(BEFORE)'!AF31)),
  _xlfn.IFS(
    OR(_xlpm.val="", _xlpm.val="null", _xlpm.val="N/A", _xlpm.val="-", _xlpm.val="#N/A"), 0,
    ISNUMBER('Sales_RAW(BEFORE)'!AF31), 'Sales_RAW(BEFORE)'!AF31,
    TRUE, IFERROR(_xlfn.NUMBERVALUE(_xlpm.val), 0)
  )
)</f>
        <v>0</v>
      </c>
      <c r="AI30" s="5">
        <f>IF(IFERROR(VALUE(SUBSTITUTE(SUBSTITUTE(TRIM('Sales_RAW(BEFORE)'!AG31), "%", ""), ",", ".")), 0) &gt; 1, IFERROR(VALUE(SUBSTITUTE(SUBSTITUTE(TRIM('Sales_RAW(BEFORE)'!AG31), "%", ""), ",", ".")), 0) / 100, IFERROR(VALUE(SUBSTITUTE(SUBSTITUTE(TRIM('Sales_RAW(BEFORE)'!AG31), "%", ""), ",", ".")), 0))</f>
        <v>0.08</v>
      </c>
      <c r="AJ30" s="6">
        <f t="shared" si="1"/>
        <v>884.90880000000004</v>
      </c>
      <c r="AK30" s="6">
        <f t="shared" si="2"/>
        <v>11946.2688</v>
      </c>
      <c r="AL30" s="6">
        <f>IFERROR(VALUE(SUBSTITUTE(SUBSTITUTE(SUBSTITUTE('Sales_RAW(BEFORE)'!AJ31,"$",""),"USD",""),",",".")),0)</f>
        <v>46.51</v>
      </c>
      <c r="AM30" s="3" t="str">
        <f>SUBSTITUTE(SUBSTITUTE(PROPER('Sales_RAW(BEFORE)'!AK31), "Fed Ex", "FedEx"),"Fedex","FedEx")</f>
        <v>Usps</v>
      </c>
      <c r="AN30" s="3" t="s">
        <v>670</v>
      </c>
      <c r="AO30" s="3" t="str">
        <f>SUBSTITUTE('Sales_RAW(BEFORE)'!AM31,"kg","")</f>
        <v xml:space="preserve">1.7 </v>
      </c>
      <c r="AP30" s="3" t="str">
        <f>_xlfn.LET(
  _xlpm.raw, UPPER(TRIM('Sales_RAW(BEFORE)'!AN31)),
  _xlpm.clean, RIGHT(_xlpm.raw, 1),
  IF(OR(_xlpm.raw="", _xlpm.raw="null"), "N/A", _xlpm.clean)
)</f>
        <v>C</v>
      </c>
      <c r="AQ30" s="3">
        <v>433</v>
      </c>
      <c r="AR30" s="3" cm="1">
        <f t="array" ref="AR30">_xlfn.LET(
  _xlpm.raw, LOWER(TRIM('Sales_RAW(BEFORE)'!AP31)),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30" s="3"/>
      <c r="AT30" s="3"/>
      <c r="AU30" s="3"/>
      <c r="AV30" s="8">
        <f>IF(IFERROR(VALUE(SUBSTITUTE(SUBSTITUTE(TRIM('Sales_RAW(BEFORE)'!AT31), "%", ""), ",", ".")), 0) &gt; 1, IFERROR(VALUE(SUBSTITUTE(SUBSTITUTE(TRIM('Sales_RAW(BEFORE)'!AT31), "%", ""), ",", ".")), 0) / 100, IFERROR(VALUE(SUBSTITUTE(SUBSTITUTE(TRIM('Sales_RAW(BEFORE)'!AT31), "%", ""), ",", ".")), 0))</f>
        <v>0.25</v>
      </c>
      <c r="AW30" s="6">
        <f>BA30*(_xlfn.XLOOKUP(N30,Employees!$A$2:$A$26,Employees!$E$2:$E$26,2))</f>
        <v>286.71045120000002</v>
      </c>
      <c r="AX30" s="3" t="str">
        <f>PROPER('Sales_RAW(BEFORE)'!AV31)</f>
        <v xml:space="preserve"> John Miller</v>
      </c>
      <c r="AY30" s="3" t="str">
        <f t="shared" si="3"/>
        <v xml:space="preserve"> John Miller</v>
      </c>
      <c r="AZ30" s="3"/>
      <c r="BA30" s="24">
        <f>AK30*(1-(_xlfn.XLOOKUP(G30, Exchange_Rates!$B$8:$F$8, Exchange_Rates!$B$9:$F$9, 0)+J30))</f>
        <v>9557.0150400000002</v>
      </c>
      <c r="BB30" s="7" cm="1">
        <f t="array" ref="BB30">_xlfn.LET(
  _xlpm.raw_dt, SUBSTITUTE(TRIM(C30), ".", "/"),
  _xlpm.dt, IFERROR(DATEVALUE(_xlpm.raw_dt), C30),
  _xlpm.p_code, TRIM(E30),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46524</v>
      </c>
      <c r="BC30" s="25">
        <f t="shared" si="4"/>
        <v>2389.2537600000001</v>
      </c>
    </row>
    <row r="31" spans="1:55" ht="15.75" thickBot="1" x14ac:dyDescent="0.3">
      <c r="A31" s="3" t="s">
        <v>673</v>
      </c>
      <c r="B31" s="10">
        <f>DATE(2025,3,2)</f>
        <v>45718</v>
      </c>
      <c r="C31" s="4">
        <v>45841</v>
      </c>
      <c r="D31" s="3" t="str">
        <f>"P-" &amp; TEXT(VALUE(SUBSTITUTE(SUBSTITUTE(SUBSTITUTE(UPPER(TRIM('Sales_RAW(BEFORE)'!D32)), "P", ""), "-", ""), "_", "")),"000")</f>
        <v>P-017</v>
      </c>
      <c r="E31" s="3" t="str">
        <f>VLOOKUP(D31,Product_List!$A$2:$B$61,2,FALSE)</f>
        <v>Chair Max 17</v>
      </c>
      <c r="F31" s="3" t="str">
        <f>_xlfn.XLOOKUP(E31,Product_List!$B$2:$B$61,Product_List!$E$2:$E$61,2)</f>
        <v>BestParts</v>
      </c>
      <c r="G31" s="3" t="str">
        <f>VLOOKUP(E31,Product_List!$B$2:$C$61,2,FALSE)</f>
        <v>Software</v>
      </c>
      <c r="H31" s="3" t="str">
        <f>SUBSTITUTE(SUBSTITUTE('Sales_RAW(BEFORE)'!G32,"kom",""),".","")</f>
        <v>23</v>
      </c>
      <c r="I31" s="6">
        <f>VLOOKUP(E31,Product_List!$B$2:$D$61,3,FALSE)</f>
        <v>1313.33</v>
      </c>
      <c r="J31" s="5">
        <f>IF(IFERROR(VALUE(SUBSTITUTE(SUBSTITUTE(TRIM('Sales_RAW(BEFORE)'!I32), "%", ""), ",", ".")), 0) &gt; 1, IFERROR(VALUE(SUBSTITUTE(SUBSTITUTE(TRIM('Sales_RAW(BEFORE)'!I32), "%", ""), ",", ".")), 0) / 100, IFERROR(VALUE(SUBSTITUTE(SUBSTITUTE(TRIM('Sales_RAW(BEFORE)'!I32), "%", ""), ",", ".")), 0))</f>
        <v>0.1</v>
      </c>
      <c r="K31" s="6">
        <f t="shared" si="0"/>
        <v>30206.589999999997</v>
      </c>
      <c r="L31" s="6" t="str" cm="1">
        <f t="array" ref="L31">_xlfn.LET(
  _xlpm.valuta, UPPER(TRIM('Sales_RAW(BEFORE)'!K32)),
  _xlfn.IFS(
    _xlpm.valuta = "", "",
    OR(_xlpm.valuta = "USD", _xlpm.valuta = "$"), "$",
    OR(_xlpm.valuta = "EUR", _xlpm.valuta = "€"), "€",
    TRUE, _xlpm.valuta
  )
)</f>
        <v>$</v>
      </c>
      <c r="M31" s="3" t="str">
        <f>"E" &amp; TEXT(VALUE(SUBSTITUTE(SUBSTITUTE(SUBSTITUTE(UPPER(TRIM('Sales_RAW(BEFORE)'!L32)), "EMP", ""), "E", ""), "-", "")),"000")</f>
        <v>E008</v>
      </c>
      <c r="N31" s="3" t="str">
        <f>_xlfn.XLOOKUP(M31,Employees!$D$2:$D$26,Employees!$A$2:$A$26)</f>
        <v>Michael Williams</v>
      </c>
      <c r="O31" s="3" t="str">
        <f>_xlfn.XLOOKUP(N31,Employees!$A$2:$A$26,Employees!$C$2:$C$26,2)</f>
        <v>Wholesale</v>
      </c>
      <c r="P31" s="3" t="str">
        <f>PROPER('Sales_RAW(BEFORE)'!N32)</f>
        <v>North</v>
      </c>
      <c r="Q31" s="3" t="str">
        <f>VLOOKUP(N31,Employees!$A$2:$B$26,2,FALSE)</f>
        <v>New York</v>
      </c>
      <c r="R31" s="3" t="str">
        <f>PROPER('Sales_RAW(BEFORE)'!P32)</f>
        <v xml:space="preserve">Acme Inc  </v>
      </c>
      <c r="S31" s="3" t="str">
        <f>SUBSTITUTE(SUBSTITUTE('Sales_RAW(BEFORE)'!Q32,"EIN",""),":","")</f>
        <v>426314041</v>
      </c>
      <c r="T31" s="3" t="s">
        <v>684</v>
      </c>
      <c r="U31" s="3" t="s">
        <v>685</v>
      </c>
      <c r="V31" s="3" t="s">
        <v>686</v>
      </c>
      <c r="W31" s="3" t="s">
        <v>687</v>
      </c>
      <c r="X31" s="3" t="s">
        <v>173</v>
      </c>
      <c r="Y31" s="3" t="str">
        <f>PROPER('Sales_RAW(BEFORE)'!W32)</f>
        <v>Paypal</v>
      </c>
      <c r="Z31" s="3" t="str">
        <f>PROPER('Sales_RAW(BEFORE)'!X32)</f>
        <v>Delivered</v>
      </c>
      <c r="AA31" s="3" t="str" cm="1">
        <f t="array" ref="AA31">_xlfn.LET(
  _xlpm.val, TRIM(LOWER('Sales_RAW(BEFORE)'!Y32)),
  _xlfn.IFS(
    OR(_xlpm.val="yes", _xlpm.val="paid"), "Paid",
    OR(_xlpm.val="no", _xlpm.val="unpaid"), "Unpaid",
    OR(_xlpm.val="partial", _xlpm.val="partial paid"), "Partial",
    _xlpm.val="", "",
    TRUE, 'Sales_RAW(BEFORE)'!AY32
  )
)</f>
        <v>Unpaid</v>
      </c>
      <c r="AB31" s="3" t="s">
        <v>688</v>
      </c>
      <c r="AC31" s="3" t="str">
        <f>PROPER('Sales_RAW(BEFORE)'!AA32)</f>
        <v>Online</v>
      </c>
      <c r="AD31" s="3" t="str">
        <f>SUBSTITUTE(SUBSTITUTE(SUBSTITUTE(SUBSTITUTE('Sales_RAW(BEFORE)'!AB32,"st",""),"q",""),"Q",""),"uarter","")</f>
        <v>4</v>
      </c>
      <c r="AE31" s="3" t="str">
        <f>TEXT(IFERROR(DATEVALUE('Sales_RAW(BEFORE)'!AC32 &amp; " 1"), IFERROR(DATE(2025, 'Sales_RAW(BEFORE)'!AC32, 1), 'Sales_RAW(BEFORE)'!AC32)), "mmmm")</f>
        <v>March</v>
      </c>
      <c r="AF31" s="3">
        <f>_xlfn.LET(
  _xlpm.raw, TRIM(SUBSTITUTE('Sales_RAW(BEFORE)'!AD32, "'", "")),
  _xlpm.num, IFERROR(VALUE(_xlpm.raw), 0),
  IF(_xlpm.num &lt; 100, 2000 + _xlpm.num, _xlpm.num)
)</f>
        <v>2025</v>
      </c>
      <c r="AG31" s="3" t="str">
        <f>PROPER('Sales_RAW(BEFORE)'!AE32)</f>
        <v>Immediate</v>
      </c>
      <c r="AH31" s="3" cm="1">
        <f t="array" ref="AH31">_xlfn.LET(
  _xlpm.val, LOWER(TRIM('Sales_RAW(BEFORE)'!AF32)),
  _xlfn.IFS(
    OR(_xlpm.val="", _xlpm.val="null", _xlpm.val="N/A", _xlpm.val="-", _xlpm.val="#N/A"), 0,
    ISNUMBER('Sales_RAW(BEFORE)'!AF32), 'Sales_RAW(BEFORE)'!AF32,
    TRUE, IFERROR(_xlfn.NUMBERVALUE(_xlpm.val), 0)
  )
)</f>
        <v>24</v>
      </c>
      <c r="AI31" s="5">
        <f>IF(IFERROR(VALUE(SUBSTITUTE(SUBSTITUTE(TRIM('Sales_RAW(BEFORE)'!AG32), "%", ""), ",", ".")), 0) &gt; 1, IFERROR(VALUE(SUBSTITUTE(SUBSTITUTE(TRIM('Sales_RAW(BEFORE)'!AG32), "%", ""), ",", ".")), 0) / 100, IFERROR(VALUE(SUBSTITUTE(SUBSTITUTE(TRIM('Sales_RAW(BEFORE)'!AG32), "%", ""), ",", ".")), 0))</f>
        <v>0.08</v>
      </c>
      <c r="AJ31" s="6">
        <f t="shared" si="1"/>
        <v>2416.5272</v>
      </c>
      <c r="AK31" s="6">
        <f t="shared" si="2"/>
        <v>32623.117199999997</v>
      </c>
      <c r="AL31" s="6">
        <f>IFERROR(VALUE(SUBSTITUTE(SUBSTITUTE(SUBSTITUTE('Sales_RAW(BEFORE)'!AJ32,"$",""),"USD",""),",",".")),0)</f>
        <v>0.42</v>
      </c>
      <c r="AM31" s="3" t="str">
        <f>SUBSTITUTE(SUBSTITUTE(PROPER('Sales_RAW(BEFORE)'!AK32), "Fed Ex", "FedEx"),"Fedex","FedEx")</f>
        <v>Usps</v>
      </c>
      <c r="AN31" s="3" t="s">
        <v>690</v>
      </c>
      <c r="AO31" s="3" t="str">
        <f>SUBSTITUTE('Sales_RAW(BEFORE)'!AM32,"kg","")</f>
        <v>19.61</v>
      </c>
      <c r="AP31" s="3" t="str">
        <f>_xlfn.LET(
  _xlpm.raw, UPPER(TRIM('Sales_RAW(BEFORE)'!AN32)),
  _xlpm.clean, RIGHT(_xlpm.raw, 1),
  IF(OR(_xlpm.raw="", _xlpm.raw="null"), "N/A", _xlpm.clean)
)</f>
        <v>A</v>
      </c>
      <c r="AQ31" s="3">
        <v>12</v>
      </c>
      <c r="AR31" s="3" cm="1">
        <f t="array" ref="AR31">_xlfn.LET(
  _xlpm.raw, LOWER(TRIM('Sales_RAW(BEFORE)'!AP32)),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31" s="3"/>
      <c r="AT31" s="3"/>
      <c r="AU31" s="3"/>
      <c r="AV31" s="8">
        <f>IF(IFERROR(VALUE(SUBSTITUTE(SUBSTITUTE(TRIM('Sales_RAW(BEFORE)'!AT32), "%", ""), ",", ".")), 0) &gt; 1, IFERROR(VALUE(SUBSTITUTE(SUBSTITUTE(TRIM('Sales_RAW(BEFORE)'!AT32), "%", ""), ",", ".")), 0) / 100, IFERROR(VALUE(SUBSTITUTE(SUBSTITUTE(TRIM('Sales_RAW(BEFORE)'!AT32), "%", ""), ",", ".")), 0))</f>
        <v>0.15</v>
      </c>
      <c r="AW31" s="6">
        <f>BA31*(_xlfn.XLOOKUP(N31,Employees!$A$2:$A$26,Employees!$E$2:$E$26,2))</f>
        <v>1223.3668949999999</v>
      </c>
      <c r="AX31" s="3" t="str">
        <f>PROPER('Sales_RAW(BEFORE)'!AV32)</f>
        <v xml:space="preserve">   Jessica Davis</v>
      </c>
      <c r="AY31" s="3" t="str">
        <f t="shared" si="3"/>
        <v xml:space="preserve">   Jessica Davis</v>
      </c>
      <c r="AZ31" s="3"/>
      <c r="BA31" s="24">
        <f>AK31*(1-(_xlfn.XLOOKUP(G31, Exchange_Rates!$B$8:$F$8, Exchange_Rates!$B$9:$F$9, 0)+J31))</f>
        <v>24467.337899999999</v>
      </c>
      <c r="BB31" s="7" cm="1">
        <f t="array" ref="BB31">_xlfn.LET(
  _xlpm.raw_dt, SUBSTITUTE(TRIM(C31), ".", "/"),
  _xlpm.dt, IFERROR(DATEVALUE(_xlpm.raw_dt), C31),
  _xlpm.p_code, TRIM(E31),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46571</v>
      </c>
      <c r="BC31" s="25">
        <f t="shared" si="4"/>
        <v>3670.1006849999999</v>
      </c>
    </row>
    <row r="32" spans="1:55" ht="15.75" thickBot="1" x14ac:dyDescent="0.3">
      <c r="A32" s="3" t="s">
        <v>693</v>
      </c>
      <c r="B32" s="10">
        <v>46022</v>
      </c>
      <c r="C32" s="4" t="s">
        <v>142</v>
      </c>
      <c r="D32" s="3" t="str">
        <f>"P-" &amp; TEXT(VALUE(SUBSTITUTE(SUBSTITUTE(SUBSTITUTE(UPPER(TRIM('Sales_RAW(BEFORE)'!D33)), "P", ""), "-", ""), "_", "")),"000")</f>
        <v>P-012</v>
      </c>
      <c r="E32" s="3" t="str">
        <f>VLOOKUP(D32,Product_List!$A$2:$B$61,2,FALSE)</f>
        <v>Keyboard Basic 12</v>
      </c>
      <c r="F32" s="3" t="str">
        <f>_xlfn.XLOOKUP(E32,Product_List!$B$2:$B$61,Product_List!$E$2:$E$61,2)</f>
        <v>OfficeHub</v>
      </c>
      <c r="G32" s="3" t="str">
        <f>VLOOKUP(E32,Product_List!$B$2:$C$61,2,FALSE)</f>
        <v>Electronics</v>
      </c>
      <c r="H32" s="3" t="str">
        <f>SUBSTITUTE(SUBSTITUTE('Sales_RAW(BEFORE)'!G33,"kom",""),".","")</f>
        <v>15</v>
      </c>
      <c r="I32" s="6">
        <f>VLOOKUP(E32,Product_List!$B$2:$D$61,3,FALSE)</f>
        <v>823.88</v>
      </c>
      <c r="J32" s="5">
        <f>IF(IFERROR(VALUE(SUBSTITUTE(SUBSTITUTE(TRIM('Sales_RAW(BEFORE)'!I33), "%", ""), ",", ".")), 0) &gt; 1, IFERROR(VALUE(SUBSTITUTE(SUBSTITUTE(TRIM('Sales_RAW(BEFORE)'!I33), "%", ""), ",", ".")), 0) / 100, IFERROR(VALUE(SUBSTITUTE(SUBSTITUTE(TRIM('Sales_RAW(BEFORE)'!I33), "%", ""), ",", ".")), 0))</f>
        <v>0.1</v>
      </c>
      <c r="K32" s="6">
        <f t="shared" si="0"/>
        <v>12358.2</v>
      </c>
      <c r="L32" s="6" t="str" cm="1">
        <f t="array" ref="L32">_xlfn.LET(
  _xlpm.valuta, UPPER(TRIM('Sales_RAW(BEFORE)'!K33)),
  _xlfn.IFS(
    _xlpm.valuta = "", "",
    OR(_xlpm.valuta = "USD", _xlpm.valuta = "$"), "$",
    OR(_xlpm.valuta = "EUR", _xlpm.valuta = "€"), "€",
    TRUE, _xlpm.valuta
  )
)</f>
        <v>$</v>
      </c>
      <c r="M32" s="3" t="str">
        <f>"E" &amp; TEXT(VALUE(SUBSTITUTE(SUBSTITUTE(SUBSTITUTE(UPPER(TRIM('Sales_RAW(BEFORE)'!L33)), "EMP", ""), "E", ""), "-", "")),"000")</f>
        <v>E021</v>
      </c>
      <c r="N32" s="3" t="str">
        <f>_xlfn.XLOOKUP(M32,Employees!$D$2:$D$26,Employees!$A$2:$A$26)</f>
        <v>Chris Williams</v>
      </c>
      <c r="O32" s="3" t="str">
        <f>_xlfn.XLOOKUP(N32,Employees!$A$2:$A$26,Employees!$C$2:$C$26,2)</f>
        <v>Sales</v>
      </c>
      <c r="P32" s="3" t="str">
        <f>PROPER('Sales_RAW(BEFORE)'!N33)</f>
        <v>North</v>
      </c>
      <c r="Q32" s="3" t="str">
        <f>VLOOKUP(N32,Employees!$A$2:$B$26,2,FALSE)</f>
        <v>Boston</v>
      </c>
      <c r="R32" s="3" t="str">
        <f>PROPER('Sales_RAW(BEFORE)'!P33)</f>
        <v>Stark Inc</v>
      </c>
      <c r="S32" s="3" t="str">
        <f>SUBSTITUTE(SUBSTITUTE('Sales_RAW(BEFORE)'!Q33,"EIN",""),":","")</f>
        <v xml:space="preserve"> 253719173</v>
      </c>
      <c r="T32" s="3" t="s">
        <v>702</v>
      </c>
      <c r="U32" s="3" t="s">
        <v>703</v>
      </c>
      <c r="V32" s="3" t="s">
        <v>704</v>
      </c>
      <c r="W32" s="3" t="s">
        <v>705</v>
      </c>
      <c r="X32" s="3" t="s">
        <v>173</v>
      </c>
      <c r="Y32" s="3" t="str">
        <f>PROPER('Sales_RAW(BEFORE)'!W33)</f>
        <v>Paypal</v>
      </c>
      <c r="Z32" s="3" t="str">
        <f>PROPER('Sales_RAW(BEFORE)'!X33)</f>
        <v>Processing</v>
      </c>
      <c r="AA32" s="3" t="str" cm="1">
        <f t="array" ref="AA32">_xlfn.LET(
  _xlpm.val, TRIM(LOWER('Sales_RAW(BEFORE)'!Y33)),
  _xlfn.IFS(
    OR(_xlpm.val="yes", _xlpm.val="paid"), "Paid",
    OR(_xlpm.val="no", _xlpm.val="unpaid"), "Unpaid",
    OR(_xlpm.val="partial", _xlpm.val="partial paid"), "Partial",
    _xlpm.val="", "",
    TRUE, 'Sales_RAW(BEFORE)'!AY33
  )
)</f>
        <v>Paid</v>
      </c>
      <c r="AB32" s="3" t="s">
        <v>706</v>
      </c>
      <c r="AC32" s="3" t="str">
        <f>PROPER('Sales_RAW(BEFORE)'!AA33)</f>
        <v>Web</v>
      </c>
      <c r="AD32" s="3" t="str">
        <f>SUBSTITUTE(SUBSTITUTE(SUBSTITUTE(SUBSTITUTE('Sales_RAW(BEFORE)'!AB33,"st",""),"q",""),"Q",""),"uarter","")</f>
        <v>2</v>
      </c>
      <c r="AE32" s="3" t="str">
        <f>TEXT(IFERROR(DATEVALUE('Sales_RAW(BEFORE)'!AC33 &amp; " 1"), IFERROR(DATE(2025, 'Sales_RAW(BEFORE)'!AC33, 1), 'Sales_RAW(BEFORE)'!AC33)), "mmmm")</f>
        <v>December</v>
      </c>
      <c r="AF32" s="3">
        <f>_xlfn.LET(
  _xlpm.raw, TRIM(SUBSTITUTE('Sales_RAW(BEFORE)'!AD33, "'", "")),
  _xlpm.num, IFERROR(VALUE(_xlpm.raw), 0),
  IF(_xlpm.num &lt; 100, 2000 + _xlpm.num, _xlpm.num)
)</f>
        <v>2025</v>
      </c>
      <c r="AG32" s="3" t="str">
        <f>PROPER('Sales_RAW(BEFORE)'!AE33)</f>
        <v>Net 60</v>
      </c>
      <c r="AH32" s="3" cm="1">
        <f t="array" ref="AH32">_xlfn.LET(
  _xlpm.val, LOWER(TRIM('Sales_RAW(BEFORE)'!AF33)),
  _xlfn.IFS(
    OR(_xlpm.val="", _xlpm.val="null", _xlpm.val="N/A", _xlpm.val="-", _xlpm.val="#N/A"), 0,
    ISNUMBER('Sales_RAW(BEFORE)'!AF33), 'Sales_RAW(BEFORE)'!AF33,
    TRUE, IFERROR(_xlfn.NUMBERVALUE(_xlpm.val), 0)
  )
)</f>
        <v>66</v>
      </c>
      <c r="AI32" s="5">
        <f>IF(IFERROR(VALUE(SUBSTITUTE(SUBSTITUTE(TRIM('Sales_RAW(BEFORE)'!AG33), "%", ""), ",", ".")), 0) &gt; 1, IFERROR(VALUE(SUBSTITUTE(SUBSTITUTE(TRIM('Sales_RAW(BEFORE)'!AG33), "%", ""), ",", ".")), 0) / 100, IFERROR(VALUE(SUBSTITUTE(SUBSTITUTE(TRIM('Sales_RAW(BEFORE)'!AG33), "%", ""), ",", ".")), 0))</f>
        <v>0.08</v>
      </c>
      <c r="AJ32" s="6">
        <f t="shared" si="1"/>
        <v>988.65600000000006</v>
      </c>
      <c r="AK32" s="6">
        <f t="shared" si="2"/>
        <v>13346.856000000002</v>
      </c>
      <c r="AL32" s="6">
        <f>IFERROR(VALUE(SUBSTITUTE(SUBSTITUTE(SUBSTITUTE('Sales_RAW(BEFORE)'!AJ33,"$",""),"USD",""),",",".")),0)</f>
        <v>48.72</v>
      </c>
      <c r="AM32" s="3" t="str">
        <f>SUBSTITUTE(SUBSTITUTE(PROPER('Sales_RAW(BEFORE)'!AK33), "Fed Ex", "FedEx"),"Fedex","FedEx")</f>
        <v>FedEx</v>
      </c>
      <c r="AN32" s="3" t="s">
        <v>708</v>
      </c>
      <c r="AO32" s="3" t="str">
        <f>SUBSTITUTE('Sales_RAW(BEFORE)'!AM33,"kg","")</f>
        <v xml:space="preserve">19.8 </v>
      </c>
      <c r="AP32" s="3" t="str">
        <f>_xlfn.LET(
  _xlpm.raw, UPPER(TRIM('Sales_RAW(BEFORE)'!AN33)),
  _xlpm.clean, RIGHT(_xlpm.raw, 1),
  IF(OR(_xlpm.raw="", _xlpm.raw="null"), "N/A", _xlpm.clean)
)</f>
        <v>B</v>
      </c>
      <c r="AQ32" s="3">
        <v>246</v>
      </c>
      <c r="AR32" s="3" cm="1">
        <f t="array" ref="AR32">_xlfn.LET(
  _xlpm.raw, LOWER(TRIM('Sales_RAW(BEFORE)'!AP33)),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32" s="3"/>
      <c r="AT32" s="3"/>
      <c r="AU32" s="3"/>
      <c r="AV32" s="8">
        <f>IF(IFERROR(VALUE(SUBSTITUTE(SUBSTITUTE(TRIM('Sales_RAW(BEFORE)'!AT33), "%", ""), ",", ".")), 0) &gt; 1, IFERROR(VALUE(SUBSTITUTE(SUBSTITUTE(TRIM('Sales_RAW(BEFORE)'!AT33), "%", ""), ",", ".")), 0) / 100, IFERROR(VALUE(SUBSTITUTE(SUBSTITUTE(TRIM('Sales_RAW(BEFORE)'!AT33), "%", ""), ",", ".")), 0))</f>
        <v>0.15</v>
      </c>
      <c r="AW32" s="6">
        <f>BA32*(_xlfn.XLOOKUP(N32,Employees!$A$2:$A$26,Employees!$E$2:$E$26,2))</f>
        <v>320.32454400000006</v>
      </c>
      <c r="AX32" s="3" t="str">
        <f>PROPER('Sales_RAW(BEFORE)'!AV33)</f>
        <v>Jessica Williams</v>
      </c>
      <c r="AY32" s="3" t="str">
        <f t="shared" si="3"/>
        <v>Jessica Williams</v>
      </c>
      <c r="AZ32" s="3"/>
      <c r="BA32" s="24">
        <f>AK32*(1-(_xlfn.XLOOKUP(G32, Exchange_Rates!$B$8:$F$8, Exchange_Rates!$B$9:$F$9, 0)+J32))</f>
        <v>10677.484800000002</v>
      </c>
      <c r="BB32" s="7" t="str" cm="1">
        <f t="array" ref="BB32">_xlfn.LET(
  _xlpm.raw_dt, SUBSTITUTE(TRIM(C32), ".", "/"),
  _xlpm.dt, IFERROR(DATEVALUE(_xlpm.raw_dt), C32),
  _xlpm.p_code, TRIM(E32),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Empty</v>
      </c>
      <c r="BC32" s="25">
        <f t="shared" si="4"/>
        <v>1601.6227200000003</v>
      </c>
    </row>
    <row r="33" spans="1:55" ht="15.75" thickBot="1" x14ac:dyDescent="0.3">
      <c r="A33" s="3" t="s">
        <v>711</v>
      </c>
      <c r="B33" s="10">
        <v>46252</v>
      </c>
      <c r="C33" s="4">
        <v>46257</v>
      </c>
      <c r="D33" s="3" t="str">
        <f>"P-" &amp; TEXT(VALUE(SUBSTITUTE(SUBSTITUTE(SUBSTITUTE(UPPER(TRIM('Sales_RAW(BEFORE)'!D34)), "P", ""), "-", ""), "_", "")),"000")</f>
        <v>P-024</v>
      </c>
      <c r="E33" s="3" t="str">
        <f>VLOOKUP(D33,Product_List!$A$2:$B$61,2,FALSE)</f>
        <v>Chair Plus 24</v>
      </c>
      <c r="F33" s="3" t="str">
        <f>_xlfn.XLOOKUP(E33,Product_List!$B$2:$B$61,Product_List!$E$2:$E$61,2)</f>
        <v>TechSupply Co</v>
      </c>
      <c r="G33" s="3" t="str">
        <f>VLOOKUP(E33,Product_List!$B$2:$C$61,2,FALSE)</f>
        <v>Electronics</v>
      </c>
      <c r="H33" s="3" t="str">
        <f>SUBSTITUTE(SUBSTITUTE('Sales_RAW(BEFORE)'!G34,"kom",""),".","")</f>
        <v>24</v>
      </c>
      <c r="I33" s="6">
        <f>VLOOKUP(E33,Product_List!$B$2:$D$61,3,FALSE)</f>
        <v>95.7</v>
      </c>
      <c r="J33" s="5">
        <f>IF(IFERROR(VALUE(SUBSTITUTE(SUBSTITUTE(TRIM('Sales_RAW(BEFORE)'!I34), "%", ""), ",", ".")), 0) &gt; 1, IFERROR(VALUE(SUBSTITUTE(SUBSTITUTE(TRIM('Sales_RAW(BEFORE)'!I34), "%", ""), ",", ".")), 0) / 100, IFERROR(VALUE(SUBSTITUTE(SUBSTITUTE(TRIM('Sales_RAW(BEFORE)'!I34), "%", ""), ",", ".")), 0))</f>
        <v>0.1</v>
      </c>
      <c r="K33" s="6">
        <f>(H33*I33)/(HLOOKUP(AE33,Exchange_Rates!$B$1:$M$2,2,FALSE))</f>
        <v>2491.1062906724515</v>
      </c>
      <c r="L33" s="6" t="str" cm="1">
        <f t="array" ref="L33">_xlfn.LET(
  _xlpm.valuta, UPPER(TRIM('Sales_RAW(BEFORE)'!K34)),
  _xlfn.IFS(
    _xlpm.valuta = "", "",
    OR(_xlpm.valuta = "USD", _xlpm.valuta = "$"), "$",
    OR(_xlpm.valuta = "EUR", _xlpm.valuta = "€"), "€",
    TRUE, _xlpm.valuta
  )
)</f>
        <v>€</v>
      </c>
      <c r="M33" s="3" t="str">
        <f>"E" &amp; TEXT(VALUE(SUBSTITUTE(SUBSTITUTE(SUBSTITUTE(UPPER(TRIM('Sales_RAW(BEFORE)'!L34)), "EMP", ""), "E", ""), "-", "")),"000")</f>
        <v>E018</v>
      </c>
      <c r="N33" s="3" t="str">
        <f>_xlfn.XLOOKUP(M33,Employees!$D$2:$D$26,Employees!$A$2:$A$26)</f>
        <v>John Miller</v>
      </c>
      <c r="O33" s="3" t="str">
        <f>_xlfn.XLOOKUP(N33,Employees!$A$2:$A$26,Employees!$C$2:$C$26,2)</f>
        <v>Retail</v>
      </c>
      <c r="P33" s="3" t="str">
        <f>PROPER('Sales_RAW(BEFORE)'!N34)</f>
        <v>West</v>
      </c>
      <c r="Q33" s="3" t="str">
        <f>VLOOKUP(N33,Employees!$A$2:$B$26,2,FALSE)</f>
        <v>Houston</v>
      </c>
      <c r="R33" s="3" t="str">
        <f>PROPER('Sales_RAW(BEFORE)'!P34)</f>
        <v xml:space="preserve">Stark Llc  </v>
      </c>
      <c r="S33" s="3" t="str">
        <f>SUBSTITUTE(SUBSTITUTE('Sales_RAW(BEFORE)'!Q34,"EIN",""),":","")</f>
        <v>932128440</v>
      </c>
      <c r="T33" s="3" t="s">
        <v>722</v>
      </c>
      <c r="U33" s="3" t="s">
        <v>723</v>
      </c>
      <c r="V33" s="3" t="s">
        <v>724</v>
      </c>
      <c r="W33" s="3" t="s">
        <v>725</v>
      </c>
      <c r="X33" s="3" t="s">
        <v>173</v>
      </c>
      <c r="Y33" s="3" t="str">
        <f>PROPER('Sales_RAW(BEFORE)'!W34)</f>
        <v>Wire</v>
      </c>
      <c r="Z33" s="3" t="str">
        <f>PROPER('Sales_RAW(BEFORE)'!X34)</f>
        <v>Delivered</v>
      </c>
      <c r="AA33" s="3" t="str" cm="1">
        <f t="array" ref="AA33">_xlfn.LET(
  _xlpm.val, TRIM(LOWER('Sales_RAW(BEFORE)'!Y34)),
  _xlfn.IFS(
    OR(_xlpm.val="yes", _xlpm.val="paid"), "Paid",
    OR(_xlpm.val="no", _xlpm.val="unpaid"), "Unpaid",
    OR(_xlpm.val="partial", _xlpm.val="partial paid"), "Partial",
    _xlpm.val="", "",
    TRUE, 'Sales_RAW(BEFORE)'!AY34
  )
)</f>
        <v>Paid</v>
      </c>
      <c r="AB33" s="3" t="s">
        <v>727</v>
      </c>
      <c r="AC33" s="3" t="str">
        <f>PROPER('Sales_RAW(BEFORE)'!AA34)</f>
        <v>Online</v>
      </c>
      <c r="AD33" s="3" t="str">
        <f>SUBSTITUTE(SUBSTITUTE(SUBSTITUTE(SUBSTITUTE('Sales_RAW(BEFORE)'!AB34,"st",""),"q",""),"Q",""),"uarter","")</f>
        <v>4</v>
      </c>
      <c r="AE33" s="3" t="str">
        <f>TEXT(IFERROR(DATEVALUE('Sales_RAW(BEFORE)'!AC34 &amp; " 1"), IFERROR(DATE(2025, 'Sales_RAW(BEFORE)'!AC34, 1), 'Sales_RAW(BEFORE)'!AC34)), "mmmm")</f>
        <v>August</v>
      </c>
      <c r="AF33" s="3">
        <f>_xlfn.LET(
  _xlpm.raw, TRIM(SUBSTITUTE('Sales_RAW(BEFORE)'!AD34, "'", "")),
  _xlpm.num, IFERROR(VALUE(_xlpm.raw), 0),
  IF(_xlpm.num &lt; 100, 2000 + _xlpm.num, _xlpm.num)
)</f>
        <v>2026</v>
      </c>
      <c r="AG33" s="3" t="str">
        <f>PROPER('Sales_RAW(BEFORE)'!AE34)</f>
        <v>Net 60</v>
      </c>
      <c r="AH33" s="3" cm="1">
        <f t="array" ref="AH33">_xlfn.LET(
  _xlpm.val, LOWER(TRIM('Sales_RAW(BEFORE)'!AF34)),
  _xlfn.IFS(
    OR(_xlpm.val="", _xlpm.val="null", _xlpm.val="N/A", _xlpm.val="-", _xlpm.val="#N/A"), 0,
    ISNUMBER('Sales_RAW(BEFORE)'!AF34), 'Sales_RAW(BEFORE)'!AF34,
    TRUE, IFERROR(_xlfn.NUMBERVALUE(_xlpm.val), 0)
  )
)</f>
        <v>43</v>
      </c>
      <c r="AI33" s="5">
        <f>IF(IFERROR(VALUE(SUBSTITUTE(SUBSTITUTE(TRIM('Sales_RAW(BEFORE)'!AG34), "%", ""), ",", ".")), 0) &gt; 1, IFERROR(VALUE(SUBSTITUTE(SUBSTITUTE(TRIM('Sales_RAW(BEFORE)'!AG34), "%", ""), ",", ".")), 0) / 100, IFERROR(VALUE(SUBSTITUTE(SUBSTITUTE(TRIM('Sales_RAW(BEFORE)'!AG34), "%", ""), ",", ".")), 0))</f>
        <v>0.08</v>
      </c>
      <c r="AJ33" s="6">
        <f t="shared" si="1"/>
        <v>199.28850325379611</v>
      </c>
      <c r="AK33" s="6">
        <f t="shared" si="2"/>
        <v>2690.3947939262475</v>
      </c>
      <c r="AL33" s="6">
        <f>IFERROR(VALUE(SUBSTITUTE(SUBSTITUTE(SUBSTITUTE('Sales_RAW(BEFORE)'!AJ34,"$",""),"USD",""),",",".")),0)</f>
        <v>41.28</v>
      </c>
      <c r="AM33" s="3" t="str">
        <f>SUBSTITUTE(SUBSTITUTE(PROPER('Sales_RAW(BEFORE)'!AK34), "Fed Ex", "FedEx"),"Fedex","FedEx")</f>
        <v>Dhl</v>
      </c>
      <c r="AN33" s="3" t="s">
        <v>730</v>
      </c>
      <c r="AO33" s="3" t="str">
        <f>SUBSTITUTE('Sales_RAW(BEFORE)'!AM34,"kg","")</f>
        <v>1,4</v>
      </c>
      <c r="AP33" s="3" t="str">
        <f>_xlfn.LET(
  _xlpm.raw, UPPER(TRIM('Sales_RAW(BEFORE)'!AN34)),
  _xlpm.clean, RIGHT(_xlpm.raw, 1),
  IF(OR(_xlpm.raw="", _xlpm.raw="null"), "N/A", _xlpm.clean)
)</f>
        <v>B</v>
      </c>
      <c r="AQ33" s="3">
        <v>51</v>
      </c>
      <c r="AR33" s="3" cm="1">
        <f t="array" ref="AR33">_xlfn.LET(
  _xlpm.raw, LOWER(TRIM('Sales_RAW(BEFORE)'!AP34)),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33" s="3"/>
      <c r="AT33" s="3"/>
      <c r="AU33" s="3"/>
      <c r="AV33" s="8">
        <f>IF(IFERROR(VALUE(SUBSTITUTE(SUBSTITUTE(TRIM('Sales_RAW(BEFORE)'!AT34), "%", ""), ",", ".")), 0) &gt; 1, IFERROR(VALUE(SUBSTITUTE(SUBSTITUTE(TRIM('Sales_RAW(BEFORE)'!AT34), "%", ""), ",", ".")), 0) / 100, IFERROR(VALUE(SUBSTITUTE(SUBSTITUTE(TRIM('Sales_RAW(BEFORE)'!AT34), "%", ""), ",", ".")), 0))</f>
        <v>0.25</v>
      </c>
      <c r="AW33" s="6">
        <f>BA33*(_xlfn.XLOOKUP(N33,Employees!$A$2:$A$26,Employees!$E$2:$E$26,2))</f>
        <v>43.046316702819958</v>
      </c>
      <c r="AX33" s="3" t="str">
        <f>PROPER('Sales_RAW(BEFORE)'!AV34)</f>
        <v>Robert Brown</v>
      </c>
      <c r="AY33" s="3" t="str">
        <f t="shared" si="3"/>
        <v>Robert Brown</v>
      </c>
      <c r="AZ33" s="3"/>
      <c r="BA33" s="24">
        <f>AK33*(1-(_xlfn.XLOOKUP(G33, Exchange_Rates!$B$8:$F$8, Exchange_Rates!$B$9:$F$9, 0)+J33))</f>
        <v>2152.3158351409979</v>
      </c>
      <c r="BB33" s="7" cm="1">
        <f t="array" ref="BB33">_xlfn.LET(
  _xlpm.raw_dt, SUBSTITUTE(TRIM(C33), ".", "/"),
  _xlpm.dt, IFERROR(DATEVALUE(_xlpm.raw_dt), C33),
  _xlpm.p_code, TRIM(E33),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46988</v>
      </c>
      <c r="BC33" s="25">
        <f t="shared" si="4"/>
        <v>538.07895878524948</v>
      </c>
    </row>
    <row r="34" spans="1:55" ht="15.75" thickBot="1" x14ac:dyDescent="0.3">
      <c r="A34" s="3" t="s">
        <v>734</v>
      </c>
      <c r="B34" s="10">
        <v>46157</v>
      </c>
      <c r="C34" s="4">
        <f>DATE(2026,5,20)</f>
        <v>46162</v>
      </c>
      <c r="D34" s="3" t="str">
        <f>"P-" &amp; TEXT(VALUE(SUBSTITUTE(SUBSTITUTE(SUBSTITUTE(UPPER(TRIM('Sales_RAW(BEFORE)'!D35)), "P", ""), "-", ""), "_", "")),"000")</f>
        <v>P-051</v>
      </c>
      <c r="E34" s="3" t="str">
        <f>VLOOKUP(D34,Product_List!$A$2:$B$61,2,FALSE)</f>
        <v>Cable Basic 51</v>
      </c>
      <c r="F34" s="3" t="str">
        <f>_xlfn.XLOOKUP(E34,Product_List!$B$2:$B$61,Product_List!$E$2:$E$61,2)</f>
        <v>TechSupply Co</v>
      </c>
      <c r="G34" s="3" t="str">
        <f>VLOOKUP(E34,Product_List!$B$2:$C$61,2,FALSE)</f>
        <v>Office</v>
      </c>
      <c r="H34" s="3" t="str">
        <f>SUBSTITUTE(SUBSTITUTE('Sales_RAW(BEFORE)'!G35,"kom",""),".","")</f>
        <v xml:space="preserve">5 </v>
      </c>
      <c r="I34" s="6">
        <f>VLOOKUP(E34,Product_List!$B$2:$D$61,3,FALSE)</f>
        <v>1036.6500000000001</v>
      </c>
      <c r="J34" s="5">
        <f>IF(IFERROR(VALUE(SUBSTITUTE(SUBSTITUTE(TRIM('Sales_RAW(BEFORE)'!I35), "%", ""), ",", ".")), 0) &gt; 1, IFERROR(VALUE(SUBSTITUTE(SUBSTITUTE(TRIM('Sales_RAW(BEFORE)'!I35), "%", ""), ",", ".")), 0) / 100, IFERROR(VALUE(SUBSTITUTE(SUBSTITUTE(TRIM('Sales_RAW(BEFORE)'!I35), "%", ""), ",", ".")), 0))</f>
        <v>0.1</v>
      </c>
      <c r="K34" s="6">
        <f>(H34*I34)/(HLOOKUP(AE34,Exchange_Rates!$B$1:$M$2,2,FALSE))</f>
        <v>5609.5779220779223</v>
      </c>
      <c r="L34" s="6" t="str" cm="1">
        <f t="array" ref="L34">_xlfn.LET(
  _xlpm.valuta, UPPER(TRIM('Sales_RAW(BEFORE)'!K35)),
  _xlfn.IFS(
    _xlpm.valuta = "", "",
    OR(_xlpm.valuta = "USD", _xlpm.valuta = "$"), "$",
    OR(_xlpm.valuta = "EUR", _xlpm.valuta = "€"), "€",
    TRUE, _xlpm.valuta
  )
)</f>
        <v>€</v>
      </c>
      <c r="M34" s="3" t="str">
        <f>"E" &amp; TEXT(VALUE(SUBSTITUTE(SUBSTITUTE(SUBSTITUTE(UPPER(TRIM('Sales_RAW(BEFORE)'!L35)), "EMP", ""), "E", ""), "-", "")),"000")</f>
        <v>E001</v>
      </c>
      <c r="N34" s="3" t="str">
        <f>_xlfn.XLOOKUP(M34,Employees!$D$2:$D$26,Employees!$A$2:$A$26)</f>
        <v>Sarah Wilson</v>
      </c>
      <c r="O34" s="3" t="str">
        <f>_xlfn.XLOOKUP(N34,Employees!$A$2:$A$26,Employees!$C$2:$C$26,2)</f>
        <v>Online</v>
      </c>
      <c r="P34" s="3" t="str">
        <f>PROPER('Sales_RAW(BEFORE)'!N35)</f>
        <v>South</v>
      </c>
      <c r="Q34" s="3" t="str">
        <f>VLOOKUP(N34,Employees!$A$2:$B$26,2,FALSE)</f>
        <v>Los Angeles</v>
      </c>
      <c r="R34" s="3" t="str">
        <f>PROPER('Sales_RAW(BEFORE)'!P35)</f>
        <v>Globex Inc</v>
      </c>
      <c r="S34" s="3" t="str">
        <f>SUBSTITUTE(SUBSTITUTE('Sales_RAW(BEFORE)'!Q35,"EIN",""),":","")</f>
        <v>434209630</v>
      </c>
      <c r="T34" s="3" t="s">
        <v>229</v>
      </c>
      <c r="U34" s="3" t="s">
        <v>744</v>
      </c>
      <c r="V34" s="3" t="s">
        <v>745</v>
      </c>
      <c r="W34" s="3" t="s">
        <v>746</v>
      </c>
      <c r="X34" s="3" t="s">
        <v>173</v>
      </c>
      <c r="Y34" s="3" t="str">
        <f>PROPER('Sales_RAW(BEFORE)'!W35)</f>
        <v>Wire Transfer</v>
      </c>
      <c r="Z34" s="3" t="str">
        <f>PROPER('Sales_RAW(BEFORE)'!X35)</f>
        <v>Delivered</v>
      </c>
      <c r="AA34" s="3" t="str" cm="1">
        <f t="array" ref="AA34">_xlfn.LET(
  _xlpm.val, TRIM(LOWER('Sales_RAW(BEFORE)'!Y35)),
  _xlfn.IFS(
    OR(_xlpm.val="yes", _xlpm.val="paid"), "Paid",
    OR(_xlpm.val="no", _xlpm.val="unpaid"), "Unpaid",
    OR(_xlpm.val="partial", _xlpm.val="partial paid"), "Partial",
    _xlpm.val="", "",
    TRUE, 'Sales_RAW(BEFORE)'!AY35
  )
)</f>
        <v>Paid</v>
      </c>
      <c r="AB34" s="3" t="s">
        <v>747</v>
      </c>
      <c r="AC34" s="3" t="str">
        <f>PROPER('Sales_RAW(BEFORE)'!AA35)</f>
        <v>Web</v>
      </c>
      <c r="AD34" s="3" t="str">
        <f>SUBSTITUTE(SUBSTITUTE(SUBSTITUTE(SUBSTITUTE('Sales_RAW(BEFORE)'!AB35,"st",""),"q",""),"Q",""),"uarter","")</f>
        <v>4</v>
      </c>
      <c r="AE34" s="3" t="str">
        <f>TEXT(IFERROR(DATEVALUE('Sales_RAW(BEFORE)'!AC35 &amp; " 1"), IFERROR(DATE(2025, 'Sales_RAW(BEFORE)'!AC35, 1), 'Sales_RAW(BEFORE)'!AC35)), "mmmm")</f>
        <v>May</v>
      </c>
      <c r="AF34" s="3">
        <f>_xlfn.LET(
  _xlpm.raw, TRIM(SUBSTITUTE('Sales_RAW(BEFORE)'!AD35, "'", "")),
  _xlpm.num, IFERROR(VALUE(_xlpm.raw), 0),
  IF(_xlpm.num &lt; 100, 2000 + _xlpm.num, _xlpm.num)
)</f>
        <v>2026</v>
      </c>
      <c r="AG34" s="3" t="str">
        <f>PROPER('Sales_RAW(BEFORE)'!AE35)</f>
        <v>Net 60</v>
      </c>
      <c r="AH34" s="3" cm="1">
        <f t="array" ref="AH34">_xlfn.LET(
  _xlpm.val, LOWER(TRIM('Sales_RAW(BEFORE)'!AF35)),
  _xlfn.IFS(
    OR(_xlpm.val="", _xlpm.val="null", _xlpm.val="N/A", _xlpm.val="-", _xlpm.val="#N/A"), 0,
    ISNUMBER('Sales_RAW(BEFORE)'!AF35), 'Sales_RAW(BEFORE)'!AF35,
    TRUE, IFERROR(_xlfn.NUMBERVALUE(_xlpm.val), 0)
  )
)</f>
        <v>49</v>
      </c>
      <c r="AI34" s="5">
        <f>IF(IFERROR(VALUE(SUBSTITUTE(SUBSTITUTE(TRIM('Sales_RAW(BEFORE)'!AG35), "%", ""), ",", ".")), 0) &gt; 1, IFERROR(VALUE(SUBSTITUTE(SUBSTITUTE(TRIM('Sales_RAW(BEFORE)'!AG35), "%", ""), ",", ".")), 0) / 100, IFERROR(VALUE(SUBSTITUTE(SUBSTITUTE(TRIM('Sales_RAW(BEFORE)'!AG35), "%", ""), ",", ".")), 0))</f>
        <v>0.08</v>
      </c>
      <c r="AJ34" s="6">
        <f t="shared" si="1"/>
        <v>448.76623376623377</v>
      </c>
      <c r="AK34" s="6">
        <f t="shared" si="2"/>
        <v>6058.3441558441564</v>
      </c>
      <c r="AL34" s="6">
        <f>IFERROR(VALUE(SUBSTITUTE(SUBSTITUTE(SUBSTITUTE('Sales_RAW(BEFORE)'!AJ35,"$",""),"USD",""),",",".")),0)</f>
        <v>17.84</v>
      </c>
      <c r="AM34" s="3" t="str">
        <f>SUBSTITUTE(SUBSTITUTE(PROPER('Sales_RAW(BEFORE)'!AK35), "Fed Ex", "FedEx"),"Fedex","FedEx")</f>
        <v>FedEx</v>
      </c>
      <c r="AN34" s="3" t="s">
        <v>749</v>
      </c>
      <c r="AO34" s="3" t="str">
        <f>SUBSTITUTE('Sales_RAW(BEFORE)'!AM35,"kg","")</f>
        <v>27.46</v>
      </c>
      <c r="AP34" s="3" t="str">
        <f>_xlfn.LET(
  _xlpm.raw, UPPER(TRIM('Sales_RAW(BEFORE)'!AN35)),
  _xlpm.clean, RIGHT(_xlpm.raw, 1),
  IF(OR(_xlpm.raw="", _xlpm.raw="null"), "N/A", _xlpm.clean)
)</f>
        <v>B</v>
      </c>
      <c r="AQ34" s="3">
        <v>324</v>
      </c>
      <c r="AR34" s="3" cm="1">
        <f t="array" ref="AR34">_xlfn.LET(
  _xlpm.raw, LOWER(TRIM('Sales_RAW(BEFORE)'!AP35)),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34" s="3"/>
      <c r="AT34" s="3"/>
      <c r="AU34" s="3"/>
      <c r="AV34" s="8">
        <f>IF(IFERROR(VALUE(SUBSTITUTE(SUBSTITUTE(TRIM('Sales_RAW(BEFORE)'!AT35), "%", ""), ",", ".")), 0) &gt; 1, IFERROR(VALUE(SUBSTITUTE(SUBSTITUTE(TRIM('Sales_RAW(BEFORE)'!AT35), "%", ""), ",", ".")), 0) / 100, IFERROR(VALUE(SUBSTITUTE(SUBSTITUTE(TRIM('Sales_RAW(BEFORE)'!AT35), "%", ""), ",", ".")), 0))</f>
        <v>0.18</v>
      </c>
      <c r="AW34" s="6">
        <f>BA34*(_xlfn.XLOOKUP(N34,Employees!$A$2:$A$26,Employees!$E$2:$E$26,2))</f>
        <v>145.40025974025974</v>
      </c>
      <c r="AX34" s="3" t="str">
        <f>PROPER('Sales_RAW(BEFORE)'!AV35)</f>
        <v xml:space="preserve">  Chris Jones</v>
      </c>
      <c r="AY34" s="3" t="str">
        <f t="shared" si="3"/>
        <v xml:space="preserve">  Chris Jones</v>
      </c>
      <c r="AZ34" s="3"/>
      <c r="BA34" s="24">
        <f>AK34*(1-(_xlfn.XLOOKUP(G34, Exchange_Rates!$B$8:$F$8, Exchange_Rates!$B$9:$F$9, 0)+J34))</f>
        <v>4846.6753246753251</v>
      </c>
      <c r="BB34" s="7" cm="1">
        <f t="array" ref="BB34">_xlfn.LET(
  _xlpm.raw_dt, SUBSTITUTE(TRIM(C34), ".", "/"),
  _xlpm.dt, IFERROR(DATEVALUE(_xlpm.raw_dt), C34),
  _xlpm.p_code, TRIM(E34),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46893</v>
      </c>
      <c r="BC34" s="25">
        <f t="shared" si="4"/>
        <v>872.40155844155845</v>
      </c>
    </row>
    <row r="35" spans="1:55" ht="15.75" thickBot="1" x14ac:dyDescent="0.3">
      <c r="A35" s="3" t="s">
        <v>752</v>
      </c>
      <c r="B35" s="10">
        <v>46073</v>
      </c>
      <c r="C35" s="4">
        <v>46025</v>
      </c>
      <c r="D35" s="3" t="str">
        <f>"P-" &amp; TEXT(VALUE(SUBSTITUTE(SUBSTITUTE(SUBSTITUTE(UPPER(TRIM('Sales_RAW(BEFORE)'!D36)), "P", ""), "-", ""), "_", "")),"000")</f>
        <v>P-056</v>
      </c>
      <c r="E35" s="3" t="str">
        <f>VLOOKUP(D35,Product_List!$A$2:$B$61,2,FALSE)</f>
        <v>Keyboard X 56</v>
      </c>
      <c r="F35" s="3" t="str">
        <f>_xlfn.XLOOKUP(E35,Product_List!$B$2:$B$61,Product_List!$E$2:$E$61,2)</f>
        <v>OfficeHub</v>
      </c>
      <c r="G35" s="3" t="str">
        <f>VLOOKUP(E35,Product_List!$B$2:$C$61,2,FALSE)</f>
        <v>Software</v>
      </c>
      <c r="H35" s="3" t="str">
        <f>SUBSTITUTE(SUBSTITUTE('Sales_RAW(BEFORE)'!G36,"kom",""),".","")</f>
        <v>4</v>
      </c>
      <c r="I35" s="6">
        <f>VLOOKUP(E35,Product_List!$B$2:$D$61,3,FALSE)</f>
        <v>1111.1099999999999</v>
      </c>
      <c r="J35" s="5">
        <f>IF(IFERROR(VALUE(SUBSTITUTE(SUBSTITUTE(TRIM('Sales_RAW(BEFORE)'!I36), "%", ""), ",", ".")), 0) &gt; 1, IFERROR(VALUE(SUBSTITUTE(SUBSTITUTE(TRIM('Sales_RAW(BEFORE)'!I36), "%", ""), ",", ".")), 0) / 100, IFERROR(VALUE(SUBSTITUTE(SUBSTITUTE(TRIM('Sales_RAW(BEFORE)'!I36), "%", ""), ",", ".")), 0))</f>
        <v>0.1</v>
      </c>
      <c r="K35" s="6">
        <f>(H35*I35)/(HLOOKUP(AE35,Exchange_Rates!$B$1:$M$2,2,FALSE))</f>
        <v>4809.9999999999991</v>
      </c>
      <c r="L35" s="6" t="str" cm="1">
        <f t="array" ref="L35">_xlfn.LET(
  _xlpm.valuta, UPPER(TRIM('Sales_RAW(BEFORE)'!K36)),
  _xlfn.IFS(
    _xlpm.valuta = "", "",
    OR(_xlpm.valuta = "USD", _xlpm.valuta = "$"), "$",
    OR(_xlpm.valuta = "EUR", _xlpm.valuta = "€"), "€",
    TRUE, _xlpm.valuta
  )
)</f>
        <v>€</v>
      </c>
      <c r="M35" s="3" t="str">
        <f>"E" &amp; TEXT(VALUE(SUBSTITUTE(SUBSTITUTE(SUBSTITUTE(UPPER(TRIM('Sales_RAW(BEFORE)'!L36)), "EMP", ""), "E", ""), "-", "")),"000")</f>
        <v>E018</v>
      </c>
      <c r="N35" s="3" t="str">
        <f>_xlfn.XLOOKUP(M35,Employees!$D$2:$D$26,Employees!$A$2:$A$26)</f>
        <v>John Miller</v>
      </c>
      <c r="O35" s="3" t="str">
        <f>_xlfn.XLOOKUP(N35,Employees!$A$2:$A$26,Employees!$C$2:$C$26,2)</f>
        <v>Retail</v>
      </c>
      <c r="P35" s="3" t="str">
        <f>PROPER('Sales_RAW(BEFORE)'!N36)</f>
        <v>West</v>
      </c>
      <c r="Q35" s="3" t="str">
        <f>VLOOKUP(N35,Employees!$A$2:$B$26,2,FALSE)</f>
        <v>Houston</v>
      </c>
      <c r="R35" s="3" t="str">
        <f>PROPER('Sales_RAW(BEFORE)'!P36)</f>
        <v>Wayne Inc</v>
      </c>
      <c r="S35" s="3" t="str">
        <f>SUBSTITUTE(SUBSTITUTE('Sales_RAW(BEFORE)'!Q36,"EIN",""),":","")</f>
        <v xml:space="preserve"> 620244895</v>
      </c>
      <c r="T35" s="3" t="s">
        <v>286</v>
      </c>
      <c r="U35" s="3" t="s">
        <v>762</v>
      </c>
      <c r="V35" s="3" t="s">
        <v>763</v>
      </c>
      <c r="W35" s="3" t="s">
        <v>764</v>
      </c>
      <c r="X35" s="3" t="s">
        <v>173</v>
      </c>
      <c r="Y35" s="3" t="str">
        <f>PROPER('Sales_RAW(BEFORE)'!W36)</f>
        <v>Wire</v>
      </c>
      <c r="Z35" s="3" t="str">
        <f>PROPER('Sales_RAW(BEFORE)'!X36)</f>
        <v>Pending</v>
      </c>
      <c r="AA35" s="3" t="str" cm="1">
        <f t="array" ref="AA35">_xlfn.LET(
  _xlpm.val, TRIM(LOWER('Sales_RAW(BEFORE)'!Y36)),
  _xlfn.IFS(
    OR(_xlpm.val="yes", _xlpm.val="paid"), "Paid",
    OR(_xlpm.val="no", _xlpm.val="unpaid"), "Unpaid",
    OR(_xlpm.val="partial", _xlpm.val="partial paid"), "Partial",
    _xlpm.val="", "",
    TRUE, 'Sales_RAW(BEFORE)'!AY36
  )
)</f>
        <v>Paid</v>
      </c>
      <c r="AB35" s="3" t="s">
        <v>765</v>
      </c>
      <c r="AC35" s="3" t="str">
        <f>PROPER('Sales_RAW(BEFORE)'!AA36)</f>
        <v>Web</v>
      </c>
      <c r="AD35" s="3" t="str">
        <f>SUBSTITUTE(SUBSTITUTE(SUBSTITUTE(SUBSTITUTE('Sales_RAW(BEFORE)'!AB36,"st",""),"q",""),"Q",""),"uarter","")</f>
        <v>1</v>
      </c>
      <c r="AE35" s="3" t="str">
        <f>TEXT(IFERROR(DATEVALUE('Sales_RAW(BEFORE)'!AC36 &amp; " 1"), IFERROR(DATE(2025, 'Sales_RAW(BEFORE)'!AC36, 1), 'Sales_RAW(BEFORE)'!AC36)), "mmmm")</f>
        <v>February</v>
      </c>
      <c r="AF35" s="3">
        <f>_xlfn.LET(
  _xlpm.raw, TRIM(SUBSTITUTE('Sales_RAW(BEFORE)'!AD36, "'", "")),
  _xlpm.num, IFERROR(VALUE(_xlpm.raw), 0),
  IF(_xlpm.num &lt; 100, 2000 + _xlpm.num, _xlpm.num)
)</f>
        <v>2026</v>
      </c>
      <c r="AG35" s="3" t="str">
        <f>PROPER('Sales_RAW(BEFORE)'!AE36)</f>
        <v>15</v>
      </c>
      <c r="AH35" s="3" cm="1">
        <f t="array" ref="AH35">_xlfn.LET(
  _xlpm.val, LOWER(TRIM('Sales_RAW(BEFORE)'!AF36)),
  _xlfn.IFS(
    OR(_xlpm.val="", _xlpm.val="null", _xlpm.val="N/A", _xlpm.val="-", _xlpm.val="#N/A"), 0,
    ISNUMBER('Sales_RAW(BEFORE)'!AF36), 'Sales_RAW(BEFORE)'!AF36,
    TRUE, IFERROR(_xlfn.NUMBERVALUE(_xlpm.val), 0)
  )
)</f>
        <v>0</v>
      </c>
      <c r="AI35" s="5">
        <f>IF(IFERROR(VALUE(SUBSTITUTE(SUBSTITUTE(TRIM('Sales_RAW(BEFORE)'!AG36), "%", ""), ",", ".")), 0) &gt; 1, IFERROR(VALUE(SUBSTITUTE(SUBSTITUTE(TRIM('Sales_RAW(BEFORE)'!AG36), "%", ""), ",", ".")), 0) / 100, IFERROR(VALUE(SUBSTITUTE(SUBSTITUTE(TRIM('Sales_RAW(BEFORE)'!AG36), "%", ""), ",", ".")), 0))</f>
        <v>0.08</v>
      </c>
      <c r="AJ35" s="6">
        <f t="shared" si="1"/>
        <v>384.79999999999995</v>
      </c>
      <c r="AK35" s="6">
        <f t="shared" si="2"/>
        <v>5194.7999999999993</v>
      </c>
      <c r="AL35" s="6">
        <f>IFERROR(VALUE(SUBSTITUTE(SUBSTITUTE(SUBSTITUTE('Sales_RAW(BEFORE)'!AJ36,"$",""),"USD",""),",",".")),0)</f>
        <v>35.950000000000003</v>
      </c>
      <c r="AM35" s="3" t="str">
        <f>SUBSTITUTE(SUBSTITUTE(PROPER('Sales_RAW(BEFORE)'!AK36), "Fed Ex", "FedEx"),"Fedex","FedEx")</f>
        <v>Dhl</v>
      </c>
      <c r="AN35" s="3" t="s">
        <v>768</v>
      </c>
      <c r="AO35" s="3" t="str">
        <f>SUBSTITUTE('Sales_RAW(BEFORE)'!AM36,"kg","")</f>
        <v xml:space="preserve">27.7 </v>
      </c>
      <c r="AP35" s="3" t="str">
        <f>_xlfn.LET(
  _xlpm.raw, UPPER(TRIM('Sales_RAW(BEFORE)'!AN36)),
  _xlpm.clean, RIGHT(_xlpm.raw, 1),
  IF(OR(_xlpm.raw="", _xlpm.raw="null"), "N/A", _xlpm.clean)
)</f>
        <v>A</v>
      </c>
      <c r="AQ35" s="3">
        <v>332</v>
      </c>
      <c r="AR35" s="3" cm="1">
        <f t="array" ref="AR35">_xlfn.LET(
  _xlpm.raw, LOWER(TRIM('Sales_RAW(BEFORE)'!AP36)),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35" s="3"/>
      <c r="AT35" s="3"/>
      <c r="AU35" s="3"/>
      <c r="AV35" s="8">
        <f>IF(IFERROR(VALUE(SUBSTITUTE(SUBSTITUTE(TRIM('Sales_RAW(BEFORE)'!AT36), "%", ""), ",", ".")), 0) &gt; 1, IFERROR(VALUE(SUBSTITUTE(SUBSTITUTE(TRIM('Sales_RAW(BEFORE)'!AT36), "%", ""), ",", ".")), 0) / 100, IFERROR(VALUE(SUBSTITUTE(SUBSTITUTE(TRIM('Sales_RAW(BEFORE)'!AT36), "%", ""), ",", ".")), 0))</f>
        <v>0.25</v>
      </c>
      <c r="AW35" s="6">
        <f>BA35*(_xlfn.XLOOKUP(N35,Employees!$A$2:$A$26,Employees!$E$2:$E$26,2))</f>
        <v>77.921999999999997</v>
      </c>
      <c r="AX35" s="3" t="str">
        <f>PROPER('Sales_RAW(BEFORE)'!AV36)</f>
        <v>Emma Miller</v>
      </c>
      <c r="AY35" s="3" t="str">
        <f t="shared" si="3"/>
        <v>Emma Miller</v>
      </c>
      <c r="AZ35" s="3"/>
      <c r="BA35" s="24">
        <f>AK35*(1-(_xlfn.XLOOKUP(G35, Exchange_Rates!$B$8:$F$8, Exchange_Rates!$B$9:$F$9, 0)+J35))</f>
        <v>3896.0999999999995</v>
      </c>
      <c r="BB35" s="7" cm="1">
        <f t="array" ref="BB35">_xlfn.LET(
  _xlpm.raw_dt, SUBSTITUTE(TRIM(C35), ".", "/"),
  _xlpm.dt, IFERROR(DATEVALUE(_xlpm.raw_dt), C35),
  _xlpm.p_code, TRIM(E35),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47121</v>
      </c>
      <c r="BC35" s="25">
        <f t="shared" si="4"/>
        <v>974.02499999999986</v>
      </c>
    </row>
    <row r="36" spans="1:55" ht="15.75" thickBot="1" x14ac:dyDescent="0.3">
      <c r="A36" s="3" t="s">
        <v>772</v>
      </c>
      <c r="B36" s="10">
        <v>45684</v>
      </c>
      <c r="C36" s="4">
        <f>DATE(2025,2,8)</f>
        <v>45696</v>
      </c>
      <c r="D36" s="3" t="str">
        <f>"P-" &amp; TEXT(VALUE(SUBSTITUTE(SUBSTITUTE(SUBSTITUTE(UPPER(TRIM('Sales_RAW(BEFORE)'!D37)), "P", ""), "-", ""), "_", "")),"000")</f>
        <v>P-056</v>
      </c>
      <c r="E36" s="3" t="str">
        <f>VLOOKUP(D36,Product_List!$A$2:$B$61,2,FALSE)</f>
        <v>Keyboard X 56</v>
      </c>
      <c r="F36" s="3" t="str">
        <f>_xlfn.XLOOKUP(E36,Product_List!$B$2:$B$61,Product_List!$E$2:$E$61,2)</f>
        <v>OfficeHub</v>
      </c>
      <c r="G36" s="3" t="str">
        <f>VLOOKUP(E36,Product_List!$B$2:$C$61,2,FALSE)</f>
        <v>Software</v>
      </c>
      <c r="H36" s="3" t="str">
        <f>SUBSTITUTE(SUBSTITUTE('Sales_RAW(BEFORE)'!G37,"kom",""),".","")</f>
        <v>37</v>
      </c>
      <c r="I36" s="6">
        <f>VLOOKUP(E36,Product_List!$B$2:$D$61,3,FALSE)</f>
        <v>1111.1099999999999</v>
      </c>
      <c r="J36" s="5">
        <f>IF(IFERROR(VALUE(SUBSTITUTE(SUBSTITUTE(TRIM('Sales_RAW(BEFORE)'!I37), "%", ""), ",", ".")), 0) &gt; 1, IFERROR(VALUE(SUBSTITUTE(SUBSTITUTE(TRIM('Sales_RAW(BEFORE)'!I37), "%", ""), ",", ".")), 0) / 100, IFERROR(VALUE(SUBSTITUTE(SUBSTITUTE(TRIM('Sales_RAW(BEFORE)'!I37), "%", ""), ",", ".")), 0))</f>
        <v>0</v>
      </c>
      <c r="K36" s="6">
        <f t="shared" si="0"/>
        <v>41111.07</v>
      </c>
      <c r="L36" s="6" t="str" cm="1">
        <f t="array" ref="L36">_xlfn.LET(
  _xlpm.valuta, UPPER(TRIM('Sales_RAW(BEFORE)'!K37)),
  _xlfn.IFS(
    _xlpm.valuta = "", "",
    OR(_xlpm.valuta = "USD", _xlpm.valuta = "$"), "$",
    OR(_xlpm.valuta = "EUR", _xlpm.valuta = "€"), "€",
    TRUE, _xlpm.valuta
  )
)</f>
        <v>$</v>
      </c>
      <c r="M36" s="3" t="str">
        <f>"E" &amp; TEXT(VALUE(SUBSTITUTE(SUBSTITUTE(SUBSTITUTE(UPPER(TRIM('Sales_RAW(BEFORE)'!L37)), "EMP", ""), "E", ""), "-", "")),"000")</f>
        <v>E001</v>
      </c>
      <c r="N36" s="3" t="str">
        <f>_xlfn.XLOOKUP(M36,Employees!$D$2:$D$26,Employees!$A$2:$A$26)</f>
        <v>Sarah Wilson</v>
      </c>
      <c r="O36" s="3" t="str">
        <f>_xlfn.XLOOKUP(N36,Employees!$A$2:$A$26,Employees!$C$2:$C$26,2)</f>
        <v>Online</v>
      </c>
      <c r="P36" s="3" t="str">
        <f>PROPER('Sales_RAW(BEFORE)'!N37)</f>
        <v>West</v>
      </c>
      <c r="Q36" s="3" t="str">
        <f>VLOOKUP(N36,Employees!$A$2:$B$26,2,FALSE)</f>
        <v>Los Angeles</v>
      </c>
      <c r="R36" s="3" t="str">
        <f>PROPER('Sales_RAW(BEFORE)'!P37)</f>
        <v>Acme Llc</v>
      </c>
      <c r="S36" s="3" t="str">
        <f>SUBSTITUTE(SUBSTITUTE('Sales_RAW(BEFORE)'!Q37,"EIN",""),":","")</f>
        <v xml:space="preserve"> 241588570</v>
      </c>
      <c r="T36" s="3" t="s">
        <v>66</v>
      </c>
      <c r="U36" s="3" t="s">
        <v>780</v>
      </c>
      <c r="V36" s="3" t="s">
        <v>781</v>
      </c>
      <c r="W36" s="3" t="s">
        <v>782</v>
      </c>
      <c r="X36" s="3" t="s">
        <v>173</v>
      </c>
      <c r="Y36" s="3" t="str">
        <f>PROPER('Sales_RAW(BEFORE)'!W37)</f>
        <v>Wire</v>
      </c>
      <c r="Z36" s="3" t="str">
        <f>PROPER('Sales_RAW(BEFORE)'!X37)</f>
        <v>Delivered</v>
      </c>
      <c r="AA36" s="3" t="str" cm="1">
        <f t="array" ref="AA36">_xlfn.LET(
  _xlpm.val, TRIM(LOWER('Sales_RAW(BEFORE)'!Y37)),
  _xlfn.IFS(
    OR(_xlpm.val="yes", _xlpm.val="paid"), "Paid",
    OR(_xlpm.val="no", _xlpm.val="unpaid"), "Unpaid",
    OR(_xlpm.val="partial", _xlpm.val="partial paid"), "Partial",
    _xlpm.val="", "",
    TRUE, 'Sales_RAW(BEFORE)'!AY37
  )
)</f>
        <v>Unpaid</v>
      </c>
      <c r="AB36" s="3" t="s">
        <v>783</v>
      </c>
      <c r="AC36" s="3" t="str">
        <f>PROPER('Sales_RAW(BEFORE)'!AA37)</f>
        <v>Online</v>
      </c>
      <c r="AD36" s="3" t="str">
        <f>SUBSTITUTE(SUBSTITUTE(SUBSTITUTE(SUBSTITUTE('Sales_RAW(BEFORE)'!AB37,"st",""),"q",""),"Q",""),"uarter","")</f>
        <v xml:space="preserve">1 </v>
      </c>
      <c r="AE36" s="3" t="str">
        <f>TEXT(IFERROR(DATEVALUE('Sales_RAW(BEFORE)'!AC37 &amp; " 1"), IFERROR(DATE(2025, 'Sales_RAW(BEFORE)'!AC37, 1), 'Sales_RAW(BEFORE)'!AC37)), "mmmm")</f>
        <v>January</v>
      </c>
      <c r="AF36" s="3">
        <f>_xlfn.LET(
  _xlpm.raw, TRIM(SUBSTITUTE('Sales_RAW(BEFORE)'!AD37, "'", "")),
  _xlpm.num, IFERROR(VALUE(_xlpm.raw), 0),
  IF(_xlpm.num &lt; 100, 2000 + _xlpm.num, _xlpm.num)
)</f>
        <v>2025</v>
      </c>
      <c r="AG36" s="3" t="str">
        <f>PROPER('Sales_RAW(BEFORE)'!AE37)</f>
        <v>15</v>
      </c>
      <c r="AH36" s="3" cm="1">
        <f t="array" ref="AH36">_xlfn.LET(
  _xlpm.val, LOWER(TRIM('Sales_RAW(BEFORE)'!AF37)),
  _xlfn.IFS(
    OR(_xlpm.val="", _xlpm.val="null", _xlpm.val="N/A", _xlpm.val="-", _xlpm.val="#N/A"), 0,
    ISNUMBER('Sales_RAW(BEFORE)'!AF37), 'Sales_RAW(BEFORE)'!AF37,
    TRUE, IFERROR(_xlfn.NUMBERVALUE(_xlpm.val), 0)
  )
)</f>
        <v>20</v>
      </c>
      <c r="AI36" s="5">
        <f>IF(IFERROR(VALUE(SUBSTITUTE(SUBSTITUTE(TRIM('Sales_RAW(BEFORE)'!AG37), "%", ""), ",", ".")), 0) &gt; 1, IFERROR(VALUE(SUBSTITUTE(SUBSTITUTE(TRIM('Sales_RAW(BEFORE)'!AG37), "%", ""), ",", ".")), 0) / 100, IFERROR(VALUE(SUBSTITUTE(SUBSTITUTE(TRIM('Sales_RAW(BEFORE)'!AG37), "%", ""), ",", ".")), 0))</f>
        <v>0.08</v>
      </c>
      <c r="AJ36" s="6">
        <f t="shared" si="1"/>
        <v>3288.8856000000001</v>
      </c>
      <c r="AK36" s="6">
        <f t="shared" si="2"/>
        <v>44399.955600000001</v>
      </c>
      <c r="AL36" s="6">
        <f>IFERROR(VALUE(SUBSTITUTE(SUBSTITUTE(SUBSTITUTE('Sales_RAW(BEFORE)'!AJ37,"$",""),"USD",""),",",".")),0)</f>
        <v>38.909999999999997</v>
      </c>
      <c r="AM36" s="3" t="str">
        <f>SUBSTITUTE(SUBSTITUTE(PROPER('Sales_RAW(BEFORE)'!AK37), "Fed Ex", "FedEx"),"Fedex","FedEx")</f>
        <v>Ups</v>
      </c>
      <c r="AN36" s="3" t="s">
        <v>785</v>
      </c>
      <c r="AO36" s="3" t="str">
        <f>SUBSTITUTE('Sales_RAW(BEFORE)'!AM37,"kg","")</f>
        <v>27.38</v>
      </c>
      <c r="AP36" s="3" t="str">
        <f>_xlfn.LET(
  _xlpm.raw, UPPER(TRIM('Sales_RAW(BEFORE)'!AN37)),
  _xlpm.clean, RIGHT(_xlpm.raw, 1),
  IF(OR(_xlpm.raw="", _xlpm.raw="null"), "N/A", _xlpm.clean)
)</f>
        <v>B</v>
      </c>
      <c r="AQ36" s="3">
        <v>404</v>
      </c>
      <c r="AR36" s="3" cm="1">
        <f t="array" ref="AR36">_xlfn.LET(
  _xlpm.raw, LOWER(TRIM('Sales_RAW(BEFORE)'!AP37)),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36" s="3"/>
      <c r="AT36" s="3"/>
      <c r="AU36" s="3"/>
      <c r="AV36" s="8">
        <f>IF(IFERROR(VALUE(SUBSTITUTE(SUBSTITUTE(TRIM('Sales_RAW(BEFORE)'!AT37), "%", ""), ",", ".")), 0) &gt; 1, IFERROR(VALUE(SUBSTITUTE(SUBSTITUTE(TRIM('Sales_RAW(BEFORE)'!AT37), "%", ""), ",", ".")), 0) / 100, IFERROR(VALUE(SUBSTITUTE(SUBSTITUTE(TRIM('Sales_RAW(BEFORE)'!AT37), "%", ""), ",", ".")), 0))</f>
        <v>0.25</v>
      </c>
      <c r="AW36" s="6">
        <f>BA36*(_xlfn.XLOOKUP(N36,Employees!$A$2:$A$26,Employees!$E$2:$E$26,2))</f>
        <v>1132.1988678</v>
      </c>
      <c r="AX36" s="3" t="str">
        <f>PROPER('Sales_RAW(BEFORE)'!AV37)</f>
        <v xml:space="preserve">Daniel Miller   </v>
      </c>
      <c r="AY36" s="3" t="str">
        <f t="shared" si="3"/>
        <v xml:space="preserve">Daniel Miller   </v>
      </c>
      <c r="AZ36" s="3"/>
      <c r="BA36" s="24">
        <f>AK36*(1-(_xlfn.XLOOKUP(G36, Exchange_Rates!$B$8:$F$8, Exchange_Rates!$B$9:$F$9, 0)+J36))</f>
        <v>37739.96226</v>
      </c>
      <c r="BB36" s="7" cm="1">
        <f t="array" ref="BB36">_xlfn.LET(
  _xlpm.raw_dt, SUBSTITUTE(TRIM(C36), ".", "/"),
  _xlpm.dt, IFERROR(DATEVALUE(_xlpm.raw_dt), C36),
  _xlpm.p_code, TRIM(E36),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46791</v>
      </c>
      <c r="BC36" s="25">
        <f t="shared" si="4"/>
        <v>9434.9905650000001</v>
      </c>
    </row>
    <row r="37" spans="1:55" ht="15.75" thickBot="1" x14ac:dyDescent="0.3">
      <c r="A37" s="3" t="s">
        <v>790</v>
      </c>
      <c r="B37" s="10">
        <v>45887</v>
      </c>
      <c r="C37" s="4">
        <v>45891</v>
      </c>
      <c r="D37" s="3" t="str">
        <f>"P-" &amp; TEXT(VALUE(SUBSTITUTE(SUBSTITUTE(SUBSTITUTE(UPPER(TRIM('Sales_RAW(BEFORE)'!D38)), "P", ""), "-", ""), "_", "")),"000")</f>
        <v>P-059</v>
      </c>
      <c r="E37" s="3" t="str">
        <f>VLOOKUP(D37,Product_List!$A$2:$B$61,2,FALSE)</f>
        <v>Keyboard Max 59</v>
      </c>
      <c r="F37" s="3" t="str">
        <f>_xlfn.XLOOKUP(E37,Product_List!$B$2:$B$61,Product_List!$E$2:$E$61,2)</f>
        <v>OfficeHub</v>
      </c>
      <c r="G37" s="3" t="str">
        <f>VLOOKUP(E37,Product_List!$B$2:$C$61,2,FALSE)</f>
        <v>Furniture</v>
      </c>
      <c r="H37" s="3" t="str">
        <f>SUBSTITUTE(SUBSTITUTE('Sales_RAW(BEFORE)'!G38,"kom",""),".","")</f>
        <v xml:space="preserve">17 </v>
      </c>
      <c r="I37" s="6">
        <f>VLOOKUP(E37,Product_List!$B$2:$D$61,3,FALSE)</f>
        <v>673.61</v>
      </c>
      <c r="J37" s="5">
        <f>IF(IFERROR(VALUE(SUBSTITUTE(SUBSTITUTE(TRIM('Sales_RAW(BEFORE)'!I38), "%", ""), ",", ".")), 0) &gt; 1, IFERROR(VALUE(SUBSTITUTE(SUBSTITUTE(TRIM('Sales_RAW(BEFORE)'!I38), "%", ""), ",", ".")), 0) / 100, IFERROR(VALUE(SUBSTITUTE(SUBSTITUTE(TRIM('Sales_RAW(BEFORE)'!I38), "%", ""), ",", ".")), 0))</f>
        <v>0.1</v>
      </c>
      <c r="K37" s="6">
        <f t="shared" si="0"/>
        <v>11451.37</v>
      </c>
      <c r="L37" s="6" t="str" cm="1">
        <f t="array" ref="L37">_xlfn.LET(
  _xlpm.valuta, UPPER(TRIM('Sales_RAW(BEFORE)'!K38)),
  _xlfn.IFS(
    _xlpm.valuta = "", "",
    OR(_xlpm.valuta = "USD", _xlpm.valuta = "$"), "$",
    OR(_xlpm.valuta = "EUR", _xlpm.valuta = "€"), "€",
    TRUE, _xlpm.valuta
  )
)</f>
        <v>$</v>
      </c>
      <c r="M37" s="3" t="str">
        <f>"E" &amp; TEXT(VALUE(SUBSTITUTE(SUBSTITUTE(SUBSTITUTE(UPPER(TRIM('Sales_RAW(BEFORE)'!L38)), "EMP", ""), "E", ""), "-", "")),"000")</f>
        <v>E013</v>
      </c>
      <c r="N37" s="3" t="str">
        <f>_xlfn.XLOOKUP(M37,Employees!$D$2:$D$26,Employees!$A$2:$A$26)</f>
        <v>Robert Williams</v>
      </c>
      <c r="O37" s="3" t="str">
        <f>_xlfn.XLOOKUP(N37,Employees!$A$2:$A$26,Employees!$C$2:$C$26,2)</f>
        <v>Wholesale</v>
      </c>
      <c r="P37" s="3" t="str">
        <f>PROPER('Sales_RAW(BEFORE)'!N38)</f>
        <v>South</v>
      </c>
      <c r="Q37" s="3" t="str">
        <f>VLOOKUP(N37,Employees!$A$2:$B$26,2,FALSE)</f>
        <v>Houston</v>
      </c>
      <c r="R37" s="3" t="str">
        <f>PROPER('Sales_RAW(BEFORE)'!P38)</f>
        <v>Wayne Llc</v>
      </c>
      <c r="S37" s="3" t="str">
        <f>SUBSTITUTE(SUBSTITUTE('Sales_RAW(BEFORE)'!Q38,"EIN",""),":","")</f>
        <v xml:space="preserve"> 250107754</v>
      </c>
      <c r="T37" s="3"/>
      <c r="U37" s="3" t="s">
        <v>800</v>
      </c>
      <c r="V37" s="3" t="s">
        <v>801</v>
      </c>
      <c r="W37" s="3" t="s">
        <v>802</v>
      </c>
      <c r="X37" s="3" t="s">
        <v>173</v>
      </c>
      <c r="Y37" s="3" t="str">
        <f>PROPER('Sales_RAW(BEFORE)'!W38)</f>
        <v>Cash</v>
      </c>
      <c r="Z37" s="3" t="str">
        <f>PROPER('Sales_RAW(BEFORE)'!X38)</f>
        <v>Delivered</v>
      </c>
      <c r="AA37" s="3" t="str" cm="1">
        <f t="array" ref="AA37">_xlfn.LET(
  _xlpm.val, TRIM(LOWER('Sales_RAW(BEFORE)'!Y38)),
  _xlfn.IFS(
    OR(_xlpm.val="yes", _xlpm.val="paid"), "Paid",
    OR(_xlpm.val="no", _xlpm.val="unpaid"), "Unpaid",
    OR(_xlpm.val="partial", _xlpm.val="partial paid"), "Partial",
    _xlpm.val="", "",
    TRUE, 'Sales_RAW(BEFORE)'!AY38
  )
)</f>
        <v>Paid</v>
      </c>
      <c r="AB37" s="3" t="s">
        <v>803</v>
      </c>
      <c r="AC37" s="3" t="str">
        <f>PROPER('Sales_RAW(BEFORE)'!AA38)</f>
        <v>Web</v>
      </c>
      <c r="AD37" s="3" t="str">
        <f>SUBSTITUTE(SUBSTITUTE(SUBSTITUTE(SUBSTITUTE('Sales_RAW(BEFORE)'!AB38,"st",""),"q",""),"Q",""),"uarter","")</f>
        <v>1</v>
      </c>
      <c r="AE37" s="3" t="str">
        <f>TEXT(IFERROR(DATEVALUE('Sales_RAW(BEFORE)'!AC38 &amp; " 1"), IFERROR(DATE(2025, 'Sales_RAW(BEFORE)'!AC38, 1), 'Sales_RAW(BEFORE)'!AC38)), "mmmm")</f>
        <v>August</v>
      </c>
      <c r="AF37" s="3">
        <f>_xlfn.LET(
  _xlpm.raw, TRIM(SUBSTITUTE('Sales_RAW(BEFORE)'!AD38, "'", "")),
  _xlpm.num, IFERROR(VALUE(_xlpm.raw), 0),
  IF(_xlpm.num &lt; 100, 2000 + _xlpm.num, _xlpm.num)
)</f>
        <v>2025</v>
      </c>
      <c r="AG37" s="3" t="str">
        <f>PROPER('Sales_RAW(BEFORE)'!AE38)</f>
        <v>Net 30</v>
      </c>
      <c r="AH37" s="3" cm="1">
        <f t="array" ref="AH37">_xlfn.LET(
  _xlpm.val, LOWER(TRIM('Sales_RAW(BEFORE)'!AF38)),
  _xlfn.IFS(
    OR(_xlpm.val="", _xlpm.val="null", _xlpm.val="N/A", _xlpm.val="-", _xlpm.val="#N/A"), 0,
    ISNUMBER('Sales_RAW(BEFORE)'!AF38), 'Sales_RAW(BEFORE)'!AF38,
    TRUE, IFERROR(_xlfn.NUMBERVALUE(_xlpm.val), 0)
  )
)</f>
        <v>0</v>
      </c>
      <c r="AI37" s="5">
        <f>IF(IFERROR(VALUE(SUBSTITUTE(SUBSTITUTE(TRIM('Sales_RAW(BEFORE)'!AG38), "%", ""), ",", ".")), 0) &gt; 1, IFERROR(VALUE(SUBSTITUTE(SUBSTITUTE(TRIM('Sales_RAW(BEFORE)'!AG38), "%", ""), ",", ".")), 0) / 100, IFERROR(VALUE(SUBSTITUTE(SUBSTITUTE(TRIM('Sales_RAW(BEFORE)'!AG38), "%", ""), ",", ".")), 0))</f>
        <v>0.08</v>
      </c>
      <c r="AJ37" s="6">
        <f t="shared" si="1"/>
        <v>916.10960000000011</v>
      </c>
      <c r="AK37" s="6">
        <f t="shared" si="2"/>
        <v>12367.479600000001</v>
      </c>
      <c r="AL37" s="6">
        <f>IFERROR(VALUE(SUBSTITUTE(SUBSTITUTE(SUBSTITUTE('Sales_RAW(BEFORE)'!AJ38,"$",""),"USD",""),",",".")),0)</f>
        <v>28.74</v>
      </c>
      <c r="AM37" s="3" t="str">
        <f>SUBSTITUTE(SUBSTITUTE(PROPER('Sales_RAW(BEFORE)'!AK38), "Fed Ex", "FedEx"),"Fedex","FedEx")</f>
        <v>FedEx</v>
      </c>
      <c r="AN37" s="3" t="s">
        <v>804</v>
      </c>
      <c r="AO37" s="3" t="str">
        <f>SUBSTITUTE('Sales_RAW(BEFORE)'!AM38,"kg","")</f>
        <v>2.03</v>
      </c>
      <c r="AP37" s="3" t="str">
        <f>_xlfn.LET(
  _xlpm.raw, UPPER(TRIM('Sales_RAW(BEFORE)'!AN38)),
  _xlpm.clean, RIGHT(_xlpm.raw, 1),
  IF(OR(_xlpm.raw="", _xlpm.raw="null"), "N/A", _xlpm.clean)
)</f>
        <v>C</v>
      </c>
      <c r="AQ37" s="3">
        <v>0</v>
      </c>
      <c r="AR37" s="3" cm="1">
        <f t="array" ref="AR37">_xlfn.LET(
  _xlpm.raw, LOWER(TRIM('Sales_RAW(BEFORE)'!AP38)),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37" s="3"/>
      <c r="AT37" s="3"/>
      <c r="AU37" s="3"/>
      <c r="AV37" s="8">
        <f>IF(IFERROR(VALUE(SUBSTITUTE(SUBSTITUTE(TRIM('Sales_RAW(BEFORE)'!AT38), "%", ""), ",", ".")), 0) &gt; 1, IFERROR(VALUE(SUBSTITUTE(SUBSTITUTE(TRIM('Sales_RAW(BEFORE)'!AT38), "%", ""), ",", ".")), 0) / 100, IFERROR(VALUE(SUBSTITUTE(SUBSTITUTE(TRIM('Sales_RAW(BEFORE)'!AT38), "%", ""), ",", ".")), 0))</f>
        <v>0.15</v>
      </c>
      <c r="AW37" s="6">
        <f>BA37*(_xlfn.XLOOKUP(N37,Employees!$A$2:$A$26,Employees!$E$2:$E$26,2))</f>
        <v>494.69918400000006</v>
      </c>
      <c r="AX37" s="3" t="str">
        <f>PROPER('Sales_RAW(BEFORE)'!AV38)</f>
        <v xml:space="preserve">John Jones </v>
      </c>
      <c r="AY37" s="3" t="str">
        <f t="shared" si="3"/>
        <v xml:space="preserve">John Jones </v>
      </c>
      <c r="AZ37" s="3"/>
      <c r="BA37" s="24">
        <f>AK37*(1-(_xlfn.XLOOKUP(G37, Exchange_Rates!$B$8:$F$8, Exchange_Rates!$B$9:$F$9, 0)+J37))</f>
        <v>9893.9836800000012</v>
      </c>
      <c r="BB37" s="7" cm="1">
        <f t="array" ref="BB37">_xlfn.LET(
  _xlpm.raw_dt, SUBSTITUTE(TRIM(C37), ".", "/"),
  _xlpm.dt, IFERROR(DATEVALUE(_xlpm.raw_dt), C37),
  _xlpm.p_code, TRIM(E37),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46621</v>
      </c>
      <c r="BC37" s="25">
        <f t="shared" si="4"/>
        <v>1484.0975520000002</v>
      </c>
    </row>
    <row r="38" spans="1:55" ht="15.75" thickBot="1" x14ac:dyDescent="0.3">
      <c r="A38" s="3" t="s">
        <v>807</v>
      </c>
      <c r="B38" s="10">
        <v>45679</v>
      </c>
      <c r="C38" s="4">
        <v>45718</v>
      </c>
      <c r="D38" s="3" t="str">
        <f>"P-" &amp; TEXT(VALUE(SUBSTITUTE(SUBSTITUTE(SUBSTITUTE(UPPER(TRIM('Sales_RAW(BEFORE)'!D39)), "P", ""), "-", ""), "_", "")),"000")</f>
        <v>P-021</v>
      </c>
      <c r="E38" s="3" t="str">
        <f>VLOOKUP(D38,Product_List!$A$2:$B$61,2,FALSE)</f>
        <v>Monitor Max 21</v>
      </c>
      <c r="F38" s="3" t="str">
        <f>_xlfn.XLOOKUP(E38,Product_List!$B$2:$B$61,Product_List!$E$2:$E$61,2)</f>
        <v>OfficeHub</v>
      </c>
      <c r="G38" s="3" t="str">
        <f>VLOOKUP(E38,Product_List!$B$2:$C$61,2,FALSE)</f>
        <v>Equipment</v>
      </c>
      <c r="H38" s="3" t="str">
        <f>SUBSTITUTE(SUBSTITUTE('Sales_RAW(BEFORE)'!G39,"kom",""),".","")</f>
        <v>30</v>
      </c>
      <c r="I38" s="6">
        <f>VLOOKUP(E38,Product_List!$B$2:$D$61,3,FALSE)</f>
        <v>1184.7</v>
      </c>
      <c r="J38" s="5">
        <f>IF(IFERROR(VALUE(SUBSTITUTE(SUBSTITUTE(TRIM('Sales_RAW(BEFORE)'!I39), "%", ""), ",", ".")), 0) &gt; 1, IFERROR(VALUE(SUBSTITUTE(SUBSTITUTE(TRIM('Sales_RAW(BEFORE)'!I39), "%", ""), ",", ".")), 0) / 100, IFERROR(VALUE(SUBSTITUTE(SUBSTITUTE(TRIM('Sales_RAW(BEFORE)'!I39), "%", ""), ",", ".")), 0))</f>
        <v>0.1</v>
      </c>
      <c r="K38" s="6">
        <f t="shared" si="0"/>
        <v>35541</v>
      </c>
      <c r="L38" s="6" t="str" cm="1">
        <f t="array" ref="L38">_xlfn.LET(
  _xlpm.valuta, UPPER(TRIM('Sales_RAW(BEFORE)'!K39)),
  _xlfn.IFS(
    _xlpm.valuta = "", "",
    OR(_xlpm.valuta = "USD", _xlpm.valuta = "$"), "$",
    OR(_xlpm.valuta = "EUR", _xlpm.valuta = "€"), "€",
    TRUE, _xlpm.valuta
  )
)</f>
        <v>$</v>
      </c>
      <c r="M38" s="3" t="str">
        <f>"E" &amp; TEXT(VALUE(SUBSTITUTE(SUBSTITUTE(SUBSTITUTE(UPPER(TRIM('Sales_RAW(BEFORE)'!L39)), "EMP", ""), "E", ""), "-", "")),"000")</f>
        <v>E012</v>
      </c>
      <c r="N38" s="3" t="str">
        <f>_xlfn.XLOOKUP(M38,Employees!$D$2:$D$26,Employees!$A$2:$A$26)</f>
        <v>John Smith</v>
      </c>
      <c r="O38" s="3" t="str">
        <f>_xlfn.XLOOKUP(N38,Employees!$A$2:$A$26,Employees!$C$2:$C$26,2)</f>
        <v>Sales</v>
      </c>
      <c r="P38" s="3" t="str">
        <f>PROPER('Sales_RAW(BEFORE)'!N39)</f>
        <v>North</v>
      </c>
      <c r="Q38" s="3" t="str">
        <f>VLOOKUP(N38,Employees!$A$2:$B$26,2,FALSE)</f>
        <v>Miami</v>
      </c>
      <c r="R38" s="3" t="str">
        <f>PROPER('Sales_RAW(BEFORE)'!P39)</f>
        <v>Acme Inc.</v>
      </c>
      <c r="S38" s="3" t="str">
        <f>SUBSTITUTE(SUBSTITUTE('Sales_RAW(BEFORE)'!Q39,"EIN",""),":","")</f>
        <v>499269182</v>
      </c>
      <c r="T38" s="3" t="s">
        <v>818</v>
      </c>
      <c r="U38" s="3" t="s">
        <v>819</v>
      </c>
      <c r="V38" s="3" t="s">
        <v>820</v>
      </c>
      <c r="W38" s="3" t="s">
        <v>821</v>
      </c>
      <c r="X38" s="3" t="s">
        <v>173</v>
      </c>
      <c r="Y38" s="3" t="str">
        <f>PROPER('Sales_RAW(BEFORE)'!W39)</f>
        <v>Wire</v>
      </c>
      <c r="Z38" s="3" t="str">
        <f>PROPER('Sales_RAW(BEFORE)'!X39)</f>
        <v>Delivered</v>
      </c>
      <c r="AA38" s="3" t="str" cm="1">
        <f t="array" ref="AA38">_xlfn.LET(
  _xlpm.val, TRIM(LOWER('Sales_RAW(BEFORE)'!Y39)),
  _xlfn.IFS(
    OR(_xlpm.val="yes", _xlpm.val="paid"), "Paid",
    OR(_xlpm.val="no", _xlpm.val="unpaid"), "Unpaid",
    OR(_xlpm.val="partial", _xlpm.val="partial paid"), "Partial",
    _xlpm.val="", "",
    TRUE, 'Sales_RAW(BEFORE)'!AY39
  )
)</f>
        <v>Unpaid</v>
      </c>
      <c r="AB38" s="3" t="s">
        <v>822</v>
      </c>
      <c r="AC38" s="3" t="str">
        <f>PROPER('Sales_RAW(BEFORE)'!AA39)</f>
        <v>Store</v>
      </c>
      <c r="AD38" s="3" t="str">
        <f>SUBSTITUTE(SUBSTITUTE(SUBSTITUTE(SUBSTITUTE('Sales_RAW(BEFORE)'!AB39,"st",""),"q",""),"Q",""),"uarter","")</f>
        <v>3</v>
      </c>
      <c r="AE38" s="3" t="str">
        <f>TEXT(IFERROR(DATEVALUE('Sales_RAW(BEFORE)'!AC39 &amp; " 1"), IFERROR(DATE(2025, 'Sales_RAW(BEFORE)'!AC39, 1), 'Sales_RAW(BEFORE)'!AC39)), "mmmm")</f>
        <v>January</v>
      </c>
      <c r="AF38" s="3">
        <f>_xlfn.LET(
  _xlpm.raw, TRIM(SUBSTITUTE('Sales_RAW(BEFORE)'!AD39, "'", "")),
  _xlpm.num, IFERROR(VALUE(_xlpm.raw), 0),
  IF(_xlpm.num &lt; 100, 2000 + _xlpm.num, _xlpm.num)
)</f>
        <v>2025</v>
      </c>
      <c r="AG38" s="3" t="str">
        <f>PROPER('Sales_RAW(BEFORE)'!AE39)</f>
        <v>Immediate</v>
      </c>
      <c r="AH38" s="3" cm="1">
        <f t="array" ref="AH38">_xlfn.LET(
  _xlpm.val, LOWER(TRIM('Sales_RAW(BEFORE)'!AF39)),
  _xlfn.IFS(
    OR(_xlpm.val="", _xlpm.val="null", _xlpm.val="N/A", _xlpm.val="-", _xlpm.val="#N/A"), 0,
    ISNUMBER('Sales_RAW(BEFORE)'!AF39), 'Sales_RAW(BEFORE)'!AF39,
    TRUE, IFERROR(_xlfn.NUMBERVALUE(_xlpm.val), 0)
  )
)</f>
        <v>84</v>
      </c>
      <c r="AI38" s="5">
        <f>IF(IFERROR(VALUE(SUBSTITUTE(SUBSTITUTE(TRIM('Sales_RAW(BEFORE)'!AG39), "%", ""), ",", ".")), 0) &gt; 1, IFERROR(VALUE(SUBSTITUTE(SUBSTITUTE(TRIM('Sales_RAW(BEFORE)'!AG39), "%", ""), ",", ".")), 0) / 100, IFERROR(VALUE(SUBSTITUTE(SUBSTITUTE(TRIM('Sales_RAW(BEFORE)'!AG39), "%", ""), ",", ".")), 0))</f>
        <v>0.08</v>
      </c>
      <c r="AJ38" s="6">
        <f t="shared" si="1"/>
        <v>2843.28</v>
      </c>
      <c r="AK38" s="6">
        <f t="shared" si="2"/>
        <v>38384.28</v>
      </c>
      <c r="AL38" s="6">
        <f>IFERROR(VALUE(SUBSTITUTE(SUBSTITUTE(SUBSTITUTE('Sales_RAW(BEFORE)'!AJ39,"$",""),"USD",""),",",".")),0)</f>
        <v>21.04</v>
      </c>
      <c r="AM38" s="3" t="str">
        <f>SUBSTITUTE(SUBSTITUTE(PROPER('Sales_RAW(BEFORE)'!AK39), "Fed Ex", "FedEx"),"Fedex","FedEx")</f>
        <v>Ups</v>
      </c>
      <c r="AN38" s="3" t="s">
        <v>824</v>
      </c>
      <c r="AO38" s="3" t="str">
        <f>SUBSTITUTE('Sales_RAW(BEFORE)'!AM39,"kg","")</f>
        <v xml:space="preserve">25.4 </v>
      </c>
      <c r="AP38" s="3" t="str">
        <f>_xlfn.LET(
  _xlpm.raw, UPPER(TRIM('Sales_RAW(BEFORE)'!AN39)),
  _xlpm.clean, RIGHT(_xlpm.raw, 1),
  IF(OR(_xlpm.raw="", _xlpm.raw="null"), "N/A", _xlpm.clean)
)</f>
        <v>B</v>
      </c>
      <c r="AQ38" s="3">
        <v>197</v>
      </c>
      <c r="AR38" s="3" cm="1">
        <f t="array" ref="AR38">_xlfn.LET(
  _xlpm.raw, LOWER(TRIM('Sales_RAW(BEFORE)'!AP39)),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38" s="3"/>
      <c r="AT38" s="3"/>
      <c r="AU38" s="3"/>
      <c r="AV38" s="8">
        <f>IF(IFERROR(VALUE(SUBSTITUTE(SUBSTITUTE(TRIM('Sales_RAW(BEFORE)'!AT39), "%", ""), ",", ".")), 0) &gt; 1, IFERROR(VALUE(SUBSTITUTE(SUBSTITUTE(TRIM('Sales_RAW(BEFORE)'!AT39), "%", ""), ",", ".")), 0) / 100, IFERROR(VALUE(SUBSTITUTE(SUBSTITUTE(TRIM('Sales_RAW(BEFORE)'!AT39), "%", ""), ",", ".")), 0))</f>
        <v>0</v>
      </c>
      <c r="AW38" s="6">
        <f>BA38*(_xlfn.XLOOKUP(N38,Employees!$A$2:$A$26,Employees!$E$2:$E$26,2))</f>
        <v>614.14847999999995</v>
      </c>
      <c r="AX38" s="3" t="str">
        <f>PROPER('Sales_RAW(BEFORE)'!AV39)</f>
        <v>Laura Williams</v>
      </c>
      <c r="AY38" s="3" t="str">
        <f t="shared" si="3"/>
        <v>Laura Williams</v>
      </c>
      <c r="AZ38" s="3"/>
      <c r="BA38" s="24">
        <f>AK38*(1-(_xlfn.XLOOKUP(G38, Exchange_Rates!$B$8:$F$8, Exchange_Rates!$B$9:$F$9, 0)+J38))</f>
        <v>30707.423999999999</v>
      </c>
      <c r="BB38" s="7" cm="1">
        <f t="array" ref="BB38">_xlfn.LET(
  _xlpm.raw_dt, SUBSTITUTE(TRIM(C38), ".", "/"),
  _xlpm.dt, IFERROR(DATEVALUE(_xlpm.raw_dt), C38),
  _xlpm.p_code, TRIM(E38),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46448</v>
      </c>
      <c r="BC38" s="25">
        <f t="shared" si="4"/>
        <v>0</v>
      </c>
    </row>
    <row r="39" spans="1:55" ht="15.75" thickBot="1" x14ac:dyDescent="0.3">
      <c r="A39" s="3" t="s">
        <v>828</v>
      </c>
      <c r="B39" s="10">
        <v>45839</v>
      </c>
      <c r="C39" s="4">
        <v>45695</v>
      </c>
      <c r="D39" s="3" t="str">
        <f>"P-" &amp; TEXT(VALUE(SUBSTITUTE(SUBSTITUTE(SUBSTITUTE(UPPER(TRIM('Sales_RAW(BEFORE)'!D40)), "P", ""), "-", ""), "_", "")),"000")</f>
        <v>P-018</v>
      </c>
      <c r="E39" s="3" t="str">
        <f>VLOOKUP(D39,Product_List!$A$2:$B$61,2,FALSE)</f>
        <v>License Basic 18</v>
      </c>
      <c r="F39" s="3" t="str">
        <f>_xlfn.XLOOKUP(E39,Product_List!$B$2:$B$61,Product_List!$E$2:$E$61,2)</f>
        <v>Global Distrib</v>
      </c>
      <c r="G39" s="3" t="str">
        <f>VLOOKUP(E39,Product_List!$B$2:$C$61,2,FALSE)</f>
        <v>Equipment</v>
      </c>
      <c r="H39" s="3" t="str">
        <f>SUBSTITUTE(SUBSTITUTE('Sales_RAW(BEFORE)'!G40,"kom",""),".","")</f>
        <v xml:space="preserve">17 </v>
      </c>
      <c r="I39" s="6">
        <f>VLOOKUP(E39,Product_List!$B$2:$D$61,3,FALSE)</f>
        <v>1470.36</v>
      </c>
      <c r="J39" s="5">
        <f>IF(IFERROR(VALUE(SUBSTITUTE(SUBSTITUTE(TRIM('Sales_RAW(BEFORE)'!I40), "%", ""), ",", ".")), 0) &gt; 1, IFERROR(VALUE(SUBSTITUTE(SUBSTITUTE(TRIM('Sales_RAW(BEFORE)'!I40), "%", ""), ",", ".")), 0) / 100, IFERROR(VALUE(SUBSTITUTE(SUBSTITUTE(TRIM('Sales_RAW(BEFORE)'!I40), "%", ""), ",", ".")), 0))</f>
        <v>0</v>
      </c>
      <c r="K39" s="6">
        <f t="shared" si="0"/>
        <v>24996.12</v>
      </c>
      <c r="L39" s="6" t="str" cm="1">
        <f t="array" ref="L39">_xlfn.LET(
  _xlpm.valuta, UPPER(TRIM('Sales_RAW(BEFORE)'!K40)),
  _xlfn.IFS(
    _xlpm.valuta = "", "",
    OR(_xlpm.valuta = "USD", _xlpm.valuta = "$"), "$",
    OR(_xlpm.valuta = "EUR", _xlpm.valuta = "€"), "€",
    TRUE, _xlpm.valuta
  )
)</f>
        <v>$</v>
      </c>
      <c r="M39" s="3" t="str">
        <f>"E" &amp; TEXT(VALUE(SUBSTITUTE(SUBSTITUTE(SUBSTITUTE(UPPER(TRIM('Sales_RAW(BEFORE)'!L40)), "EMP", ""), "E", ""), "-", "")),"000")</f>
        <v>E023</v>
      </c>
      <c r="N39" s="3" t="str">
        <f>_xlfn.XLOOKUP(M39,Employees!$D$2:$D$26,Employees!$A$2:$A$26)</f>
        <v>Laura Anderson</v>
      </c>
      <c r="O39" s="3" t="str">
        <f>_xlfn.XLOOKUP(N39,Employees!$A$2:$A$26,Employees!$C$2:$C$26,2)</f>
        <v>Sales</v>
      </c>
      <c r="P39" s="3" t="str">
        <f>PROPER('Sales_RAW(BEFORE)'!N40)</f>
        <v>West</v>
      </c>
      <c r="Q39" s="3" t="str">
        <f>VLOOKUP(N39,Employees!$A$2:$B$26,2,FALSE)</f>
        <v>Seattle</v>
      </c>
      <c r="R39" s="3" t="str">
        <f>PROPER('Sales_RAW(BEFORE)'!P40)</f>
        <v>Acme Inc</v>
      </c>
      <c r="S39" s="3" t="str">
        <f>SUBSTITUTE(SUBSTITUTE('Sales_RAW(BEFORE)'!Q40,"EIN",""),":","")</f>
        <v xml:space="preserve"> 755957168</v>
      </c>
      <c r="T39" s="3" t="s">
        <v>420</v>
      </c>
      <c r="U39" s="3" t="s">
        <v>838</v>
      </c>
      <c r="V39" s="3" t="s">
        <v>839</v>
      </c>
      <c r="W39" s="3" t="s">
        <v>840</v>
      </c>
      <c r="X39" s="3" t="s">
        <v>173</v>
      </c>
      <c r="Y39" s="3" t="str">
        <f>PROPER('Sales_RAW(BEFORE)'!W40)</f>
        <v>Wire Transfer</v>
      </c>
      <c r="Z39" s="3" t="str">
        <f>PROPER('Sales_RAW(BEFORE)'!X40)</f>
        <v>Pending</v>
      </c>
      <c r="AA39" s="3" t="str" cm="1">
        <f t="array" ref="AA39">_xlfn.LET(
  _xlpm.val, TRIM(LOWER('Sales_RAW(BEFORE)'!Y40)),
  _xlfn.IFS(
    OR(_xlpm.val="yes", _xlpm.val="paid"), "Paid",
    OR(_xlpm.val="no", _xlpm.val="unpaid"), "Unpaid",
    OR(_xlpm.val="partial", _xlpm.val="partial paid"), "Partial",
    _xlpm.val="", "",
    TRUE, 'Sales_RAW(BEFORE)'!AY40
  )
)</f>
        <v>Unpaid</v>
      </c>
      <c r="AB39" s="3" t="s">
        <v>841</v>
      </c>
      <c r="AC39" s="3" t="str">
        <f>PROPER('Sales_RAW(BEFORE)'!AA40)</f>
        <v>Phone</v>
      </c>
      <c r="AD39" s="3" t="str">
        <f>SUBSTITUTE(SUBSTITUTE(SUBSTITUTE(SUBSTITUTE('Sales_RAW(BEFORE)'!AB40,"st",""),"q",""),"Q",""),"uarter","")</f>
        <v>3</v>
      </c>
      <c r="AE39" s="3" t="str">
        <f>TEXT(IFERROR(DATEVALUE('Sales_RAW(BEFORE)'!AC40 &amp; " 1"), IFERROR(DATE(2025, 'Sales_RAW(BEFORE)'!AC40, 1), 'Sales_RAW(BEFORE)'!AC40)), "mmmm")</f>
        <v>July</v>
      </c>
      <c r="AF39" s="3">
        <f>_xlfn.LET(
  _xlpm.raw, TRIM(SUBSTITUTE('Sales_RAW(BEFORE)'!AD40, "'", "")),
  _xlpm.num, IFERROR(VALUE(_xlpm.raw), 0),
  IF(_xlpm.num &lt; 100, 2000 + _xlpm.num, _xlpm.num)
)</f>
        <v>2025</v>
      </c>
      <c r="AG39" s="3" t="str">
        <f>PROPER('Sales_RAW(BEFORE)'!AE40)</f>
        <v>Immediate</v>
      </c>
      <c r="AH39" s="3" cm="1">
        <f t="array" ref="AH39">_xlfn.LET(
  _xlpm.val, LOWER(TRIM('Sales_RAW(BEFORE)'!AF40)),
  _xlfn.IFS(
    OR(_xlpm.val="", _xlpm.val="null", _xlpm.val="N/A", _xlpm.val="-", _xlpm.val="#N/A"), 0,
    ISNUMBER('Sales_RAW(BEFORE)'!AF40), 'Sales_RAW(BEFORE)'!AF40,
    TRUE, IFERROR(_xlfn.NUMBERVALUE(_xlpm.val), 0)
  )
)</f>
        <v>30</v>
      </c>
      <c r="AI39" s="5">
        <f>IF(IFERROR(VALUE(SUBSTITUTE(SUBSTITUTE(TRIM('Sales_RAW(BEFORE)'!AG40), "%", ""), ",", ".")), 0) &gt; 1, IFERROR(VALUE(SUBSTITUTE(SUBSTITUTE(TRIM('Sales_RAW(BEFORE)'!AG40), "%", ""), ",", ".")), 0) / 100, IFERROR(VALUE(SUBSTITUTE(SUBSTITUTE(TRIM('Sales_RAW(BEFORE)'!AG40), "%", ""), ",", ".")), 0))</f>
        <v>0.08</v>
      </c>
      <c r="AJ39" s="6">
        <f t="shared" si="1"/>
        <v>1999.6895999999999</v>
      </c>
      <c r="AK39" s="6">
        <f t="shared" si="2"/>
        <v>26995.809600000001</v>
      </c>
      <c r="AL39" s="6">
        <f>IFERROR(VALUE(SUBSTITUTE(SUBSTITUTE(SUBSTITUTE('Sales_RAW(BEFORE)'!AJ40,"$",""),"USD",""),",",".")),0)</f>
        <v>17.760000000000002</v>
      </c>
      <c r="AM39" s="3" t="str">
        <f>SUBSTITUTE(SUBSTITUTE(PROPER('Sales_RAW(BEFORE)'!AK40), "Fed Ex", "FedEx"),"Fedex","FedEx")</f>
        <v>Dhl</v>
      </c>
      <c r="AN39" s="3" t="s">
        <v>843</v>
      </c>
      <c r="AO39" s="3" t="str">
        <f>SUBSTITUTE('Sales_RAW(BEFORE)'!AM40,"kg","")</f>
        <v>2,25</v>
      </c>
      <c r="AP39" s="3" t="str">
        <f>_xlfn.LET(
  _xlpm.raw, UPPER(TRIM('Sales_RAW(BEFORE)'!AN40)),
  _xlpm.clean, RIGHT(_xlpm.raw, 1),
  IF(OR(_xlpm.raw="", _xlpm.raw="null"), "N/A", _xlpm.clean)
)</f>
        <v>A</v>
      </c>
      <c r="AQ39" s="3">
        <v>473</v>
      </c>
      <c r="AR39" s="3" cm="1">
        <f t="array" ref="AR39">_xlfn.LET(
  _xlpm.raw, LOWER(TRIM('Sales_RAW(BEFORE)'!AP40)),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39" s="3"/>
      <c r="AT39" s="3"/>
      <c r="AU39" s="3"/>
      <c r="AV39" s="8">
        <f>IF(IFERROR(VALUE(SUBSTITUTE(SUBSTITUTE(TRIM('Sales_RAW(BEFORE)'!AT40), "%", ""), ",", ".")), 0) &gt; 1, IFERROR(VALUE(SUBSTITUTE(SUBSTITUTE(TRIM('Sales_RAW(BEFORE)'!AT40), "%", ""), ",", ".")), 0) / 100, IFERROR(VALUE(SUBSTITUTE(SUBSTITUTE(TRIM('Sales_RAW(BEFORE)'!AT40), "%", ""), ",", ".")), 0))</f>
        <v>0.3</v>
      </c>
      <c r="AW39" s="6">
        <f>BA39*(_xlfn.XLOOKUP(N39,Employees!$A$2:$A$26,Employees!$E$2:$E$26,2))</f>
        <v>485.92457280000002</v>
      </c>
      <c r="AX39" s="3" t="str">
        <f>PROPER('Sales_RAW(BEFORE)'!AV40)</f>
        <v xml:space="preserve">David Johnson   </v>
      </c>
      <c r="AY39" s="3" t="str">
        <f t="shared" si="3"/>
        <v xml:space="preserve">David Johnson   </v>
      </c>
      <c r="AZ39" s="3"/>
      <c r="BA39" s="24">
        <f>AK39*(1-(_xlfn.XLOOKUP(G39, Exchange_Rates!$B$8:$F$8, Exchange_Rates!$B$9:$F$9, 0)+J39))</f>
        <v>24296.228640000001</v>
      </c>
      <c r="BB39" s="7" cm="1">
        <f t="array" ref="BB39">_xlfn.LET(
  _xlpm.raw_dt, SUBSTITUTE(TRIM(C39), ".", "/"),
  _xlpm.dt, IFERROR(DATEVALUE(_xlpm.raw_dt), C39),
  _xlpm.p_code, TRIM(E39),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46060</v>
      </c>
      <c r="BC39" s="25">
        <f t="shared" si="4"/>
        <v>7288.8685919999998</v>
      </c>
    </row>
    <row r="40" spans="1:55" ht="15.75" thickBot="1" x14ac:dyDescent="0.3">
      <c r="A40" s="3" t="s">
        <v>847</v>
      </c>
      <c r="B40" s="10">
        <v>45831</v>
      </c>
      <c r="C40" s="4">
        <f>DATE(2025,7,4)</f>
        <v>45842</v>
      </c>
      <c r="D40" s="3" t="str">
        <f>"P-" &amp; TEXT(VALUE(SUBSTITUTE(SUBSTITUTE(SUBSTITUTE(UPPER(TRIM('Sales_RAW(BEFORE)'!D41)), "P", ""), "-", ""), "_", "")),"000")</f>
        <v>P-014</v>
      </c>
      <c r="E40" s="3" t="str">
        <f>VLOOKUP(D40,Product_List!$A$2:$B$61,2,FALSE)</f>
        <v>License Max 14</v>
      </c>
      <c r="F40" s="3" t="str">
        <f>_xlfn.XLOOKUP(E40,Product_List!$B$2:$B$61,Product_List!$E$2:$E$61,2)</f>
        <v>OfficeHub</v>
      </c>
      <c r="G40" s="3" t="str">
        <f>VLOOKUP(E40,Product_List!$B$2:$C$61,2,FALSE)</f>
        <v>Software</v>
      </c>
      <c r="H40" s="3" t="str">
        <f>SUBSTITUTE(SUBSTITUTE('Sales_RAW(BEFORE)'!G41,"kom",""),".","")</f>
        <v xml:space="preserve">24 </v>
      </c>
      <c r="I40" s="6">
        <f>VLOOKUP(E40,Product_List!$B$2:$D$61,3,FALSE)</f>
        <v>1166.96</v>
      </c>
      <c r="J40" s="5">
        <f>IF(IFERROR(VALUE(SUBSTITUTE(SUBSTITUTE(TRIM('Sales_RAW(BEFORE)'!I41), "%", ""), ",", ".")), 0) &gt; 1, IFERROR(VALUE(SUBSTITUTE(SUBSTITUTE(TRIM('Sales_RAW(BEFORE)'!I41), "%", ""), ",", ".")), 0) / 100, IFERROR(VALUE(SUBSTITUTE(SUBSTITUTE(TRIM('Sales_RAW(BEFORE)'!I41), "%", ""), ",", ".")), 0))</f>
        <v>0.1</v>
      </c>
      <c r="K40" s="6">
        <f t="shared" si="0"/>
        <v>28007.040000000001</v>
      </c>
      <c r="L40" s="6" t="str" cm="1">
        <f t="array" ref="L40">_xlfn.LET(
  _xlpm.valuta, UPPER(TRIM('Sales_RAW(BEFORE)'!K41)),
  _xlfn.IFS(
    _xlpm.valuta = "", "",
    OR(_xlpm.valuta = "USD", _xlpm.valuta = "$"), "$",
    OR(_xlpm.valuta = "EUR", _xlpm.valuta = "€"), "€",
    TRUE, _xlpm.valuta
  )
)</f>
        <v>$</v>
      </c>
      <c r="M40" s="3" t="str">
        <f>"E" &amp; TEXT(VALUE(SUBSTITUTE(SUBSTITUTE(SUBSTITUTE(UPPER(TRIM('Sales_RAW(BEFORE)'!L41)), "EMP", ""), "E", ""), "-", "")),"000")</f>
        <v>E017</v>
      </c>
      <c r="N40" s="3" t="str">
        <f>_xlfn.XLOOKUP(M40,Employees!$D$2:$D$26,Employees!$A$2:$A$26)</f>
        <v>Robert Davis</v>
      </c>
      <c r="O40" s="3" t="str">
        <f>_xlfn.XLOOKUP(N40,Employees!$A$2:$A$26,Employees!$C$2:$C$26,2)</f>
        <v>Wholesale</v>
      </c>
      <c r="P40" s="3" t="str">
        <f>PROPER('Sales_RAW(BEFORE)'!N41)</f>
        <v>East</v>
      </c>
      <c r="Q40" s="3" t="str">
        <f>VLOOKUP(N40,Employees!$A$2:$B$26,2,FALSE)</f>
        <v>Miami</v>
      </c>
      <c r="R40" s="3" t="str">
        <f>PROPER('Sales_RAW(BEFORE)'!P41)</f>
        <v xml:space="preserve">  Globex Llc</v>
      </c>
      <c r="S40" s="3" t="str">
        <f>SUBSTITUTE(SUBSTITUTE('Sales_RAW(BEFORE)'!Q41,"EIN",""),":","")</f>
        <v xml:space="preserve"> 509238663</v>
      </c>
      <c r="T40" s="3" t="s">
        <v>169</v>
      </c>
      <c r="U40" s="3" t="s">
        <v>857</v>
      </c>
      <c r="V40" s="3" t="s">
        <v>858</v>
      </c>
      <c r="W40" s="3" t="s">
        <v>859</v>
      </c>
      <c r="X40" s="3" t="s">
        <v>173</v>
      </c>
      <c r="Y40" s="3" t="str">
        <f>PROPER('Sales_RAW(BEFORE)'!W41)</f>
        <v>Credit Card</v>
      </c>
      <c r="Z40" s="3" t="str">
        <f>PROPER('Sales_RAW(BEFORE)'!X41)</f>
        <v>Delivered</v>
      </c>
      <c r="AA40" s="3" t="str" cm="1">
        <f t="array" ref="AA40">_xlfn.LET(
  _xlpm.val, TRIM(LOWER('Sales_RAW(BEFORE)'!Y41)),
  _xlfn.IFS(
    OR(_xlpm.val="yes", _xlpm.val="paid"), "Paid",
    OR(_xlpm.val="no", _xlpm.val="unpaid"), "Unpaid",
    OR(_xlpm.val="partial", _xlpm.val="partial paid"), "Partial",
    _xlpm.val="", "",
    TRUE, 'Sales_RAW(BEFORE)'!AY41
  )
)</f>
        <v>Unpaid</v>
      </c>
      <c r="AB40" s="3" t="s">
        <v>860</v>
      </c>
      <c r="AC40" s="3" t="str">
        <f>PROPER('Sales_RAW(BEFORE)'!AA41)</f>
        <v>Phone</v>
      </c>
      <c r="AD40" s="3" t="str">
        <f>SUBSTITUTE(SUBSTITUTE(SUBSTITUTE(SUBSTITUTE('Sales_RAW(BEFORE)'!AB41,"st",""),"q",""),"Q",""),"uarter","")</f>
        <v>1</v>
      </c>
      <c r="AE40" s="3" t="str">
        <f>TEXT(IFERROR(DATEVALUE('Sales_RAW(BEFORE)'!AC41 &amp; " 1"), IFERROR(DATE(2025, 'Sales_RAW(BEFORE)'!AC41, 1), 'Sales_RAW(BEFORE)'!AC41)), "mmmm")</f>
        <v>June</v>
      </c>
      <c r="AF40" s="3">
        <f>_xlfn.LET(
  _xlpm.raw, TRIM(SUBSTITUTE('Sales_RAW(BEFORE)'!AD41, "'", "")),
  _xlpm.num, IFERROR(VALUE(_xlpm.raw), 0),
  IF(_xlpm.num &lt; 100, 2000 + _xlpm.num, _xlpm.num)
)</f>
        <v>2025</v>
      </c>
      <c r="AG40" s="3" t="str">
        <f>PROPER('Sales_RAW(BEFORE)'!AE41)</f>
        <v>Immediate</v>
      </c>
      <c r="AH40" s="3" cm="1">
        <f t="array" ref="AH40">_xlfn.LET(
  _xlpm.val, LOWER(TRIM('Sales_RAW(BEFORE)'!AF41)),
  _xlfn.IFS(
    OR(_xlpm.val="", _xlpm.val="null", _xlpm.val="N/A", _xlpm.val="-", _xlpm.val="#N/A"), 0,
    ISNUMBER('Sales_RAW(BEFORE)'!AF41), 'Sales_RAW(BEFORE)'!AF41,
    TRUE, IFERROR(_xlfn.NUMBERVALUE(_xlpm.val), 0)
  )
)</f>
        <v>37</v>
      </c>
      <c r="AI40" s="5">
        <f>IF(IFERROR(VALUE(SUBSTITUTE(SUBSTITUTE(TRIM('Sales_RAW(BEFORE)'!AG41), "%", ""), ",", ".")), 0) &gt; 1, IFERROR(VALUE(SUBSTITUTE(SUBSTITUTE(TRIM('Sales_RAW(BEFORE)'!AG41), "%", ""), ",", ".")), 0) / 100, IFERROR(VALUE(SUBSTITUTE(SUBSTITUTE(TRIM('Sales_RAW(BEFORE)'!AG41), "%", ""), ",", ".")), 0))</f>
        <v>0.08</v>
      </c>
      <c r="AJ40" s="6">
        <f t="shared" si="1"/>
        <v>2240.5632000000001</v>
      </c>
      <c r="AK40" s="6">
        <f t="shared" si="2"/>
        <v>30247.603200000001</v>
      </c>
      <c r="AL40" s="6">
        <f>IFERROR(VALUE(SUBSTITUTE(SUBSTITUTE(SUBSTITUTE('Sales_RAW(BEFORE)'!AJ41,"$",""),"USD",""),",",".")),0)</f>
        <v>46.03</v>
      </c>
      <c r="AM40" s="3" t="str">
        <f>SUBSTITUTE(SUBSTITUTE(PROPER('Sales_RAW(BEFORE)'!AK41), "Fed Ex", "FedEx"),"Fedex","FedEx")</f>
        <v>Ups</v>
      </c>
      <c r="AN40" s="3" t="s">
        <v>861</v>
      </c>
      <c r="AO40" s="3" t="str">
        <f>SUBSTITUTE('Sales_RAW(BEFORE)'!AM41,"kg","")</f>
        <v>12,99</v>
      </c>
      <c r="AP40" s="3" t="str">
        <f>_xlfn.LET(
  _xlpm.raw, UPPER(TRIM('Sales_RAW(BEFORE)'!AN41)),
  _xlpm.clean, RIGHT(_xlpm.raw, 1),
  IF(OR(_xlpm.raw="", _xlpm.raw="null"), "N/A", _xlpm.clean)
)</f>
        <v>B</v>
      </c>
      <c r="AQ40" s="3">
        <v>180</v>
      </c>
      <c r="AR40" s="3" cm="1">
        <f t="array" ref="AR40">_xlfn.LET(
  _xlpm.raw, LOWER(TRIM('Sales_RAW(BEFORE)'!AP41)),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40" s="3"/>
      <c r="AT40" s="3"/>
      <c r="AU40" s="3"/>
      <c r="AV40" s="8">
        <f>IF(IFERROR(VALUE(SUBSTITUTE(SUBSTITUTE(TRIM('Sales_RAW(BEFORE)'!AT41), "%", ""), ",", ".")), 0) &gt; 1, IFERROR(VALUE(SUBSTITUTE(SUBSTITUTE(TRIM('Sales_RAW(BEFORE)'!AT41), "%", ""), ",", ".")), 0) / 100, IFERROR(VALUE(SUBSTITUTE(SUBSTITUTE(TRIM('Sales_RAW(BEFORE)'!AT41), "%", ""), ",", ".")), 0))</f>
        <v>0.3</v>
      </c>
      <c r="AW40" s="6">
        <f>BA40*(_xlfn.XLOOKUP(N40,Employees!$A$2:$A$26,Employees!$E$2:$E$26,2))</f>
        <v>680.57107200000007</v>
      </c>
      <c r="AX40" s="3" t="str">
        <f>PROPER('Sales_RAW(BEFORE)'!AV41)</f>
        <v xml:space="preserve">  Sarah Williams</v>
      </c>
      <c r="AY40" s="3" t="str">
        <f t="shared" si="3"/>
        <v xml:space="preserve">  Sarah Williams</v>
      </c>
      <c r="AZ40" s="3"/>
      <c r="BA40" s="24">
        <f>AK40*(1-(_xlfn.XLOOKUP(G40, Exchange_Rates!$B$8:$F$8, Exchange_Rates!$B$9:$F$9, 0)+J40))</f>
        <v>22685.702400000002</v>
      </c>
      <c r="BB40" s="7" cm="1">
        <f t="array" ref="BB40">_xlfn.LET(
  _xlpm.raw_dt, SUBSTITUTE(TRIM(C40), ".", "/"),
  _xlpm.dt, IFERROR(DATEVALUE(_xlpm.raw_dt), C40),
  _xlpm.p_code, TRIM(E40),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46938</v>
      </c>
      <c r="BC40" s="25">
        <f t="shared" si="4"/>
        <v>6805.71072</v>
      </c>
    </row>
    <row r="41" spans="1:55" ht="15.75" thickBot="1" x14ac:dyDescent="0.3">
      <c r="A41" s="3" t="s">
        <v>865</v>
      </c>
      <c r="B41" s="10">
        <v>45684</v>
      </c>
      <c r="C41" s="4">
        <v>45749</v>
      </c>
      <c r="D41" s="3" t="str">
        <f>"P-" &amp; TEXT(VALUE(SUBSTITUTE(SUBSTITUTE(SUBSTITUTE(UPPER(TRIM('Sales_RAW(BEFORE)'!D42)), "P", ""), "-", ""), "_", "")),"000")</f>
        <v>P-060</v>
      </c>
      <c r="E41" s="3" t="str">
        <f>VLOOKUP(D41,Product_List!$A$2:$B$61,2,FALSE)</f>
        <v>Desk Basic 60</v>
      </c>
      <c r="F41" s="3" t="str">
        <f>_xlfn.XLOOKUP(E41,Product_List!$B$2:$B$61,Product_List!$E$2:$E$61,2)</f>
        <v>Global Distrib</v>
      </c>
      <c r="G41" s="3" t="str">
        <f>VLOOKUP(E41,Product_List!$B$2:$C$61,2,FALSE)</f>
        <v>Electronics</v>
      </c>
      <c r="H41" s="3" t="str">
        <f>SUBSTITUTE(SUBSTITUTE('Sales_RAW(BEFORE)'!G42,"kom",""),".","")</f>
        <v xml:space="preserve">38 </v>
      </c>
      <c r="I41" s="6">
        <f>VLOOKUP(E41,Product_List!$B$2:$D$61,3,FALSE)</f>
        <v>334.59</v>
      </c>
      <c r="J41" s="5">
        <f>IF(IFERROR(VALUE(SUBSTITUTE(SUBSTITUTE(TRIM('Sales_RAW(BEFORE)'!I42), "%", ""), ",", ".")), 0) &gt; 1, IFERROR(VALUE(SUBSTITUTE(SUBSTITUTE(TRIM('Sales_RAW(BEFORE)'!I42), "%", ""), ",", ".")), 0) / 100, IFERROR(VALUE(SUBSTITUTE(SUBSTITUTE(TRIM('Sales_RAW(BEFORE)'!I42), "%", ""), ",", ".")), 0))</f>
        <v>0.1</v>
      </c>
      <c r="K41" s="6">
        <f>(H41*I41)/(HLOOKUP(AE41,Exchange_Rates!$B$1:$M$2,2,FALSE))</f>
        <v>13745.318918918916</v>
      </c>
      <c r="L41" s="6" t="str" cm="1">
        <f t="array" ref="L41">_xlfn.LET(
  _xlpm.valuta, UPPER(TRIM('Sales_RAW(BEFORE)'!K42)),
  _xlfn.IFS(
    _xlpm.valuta = "", "",
    OR(_xlpm.valuta = "USD", _xlpm.valuta = "$"), "$",
    OR(_xlpm.valuta = "EUR", _xlpm.valuta = "€"), "€",
    TRUE, _xlpm.valuta
  )
)</f>
        <v>€</v>
      </c>
      <c r="M41" s="3" t="str">
        <f>"E" &amp; TEXT(VALUE(SUBSTITUTE(SUBSTITUTE(SUBSTITUTE(UPPER(TRIM('Sales_RAW(BEFORE)'!L42)), "EMP", ""), "E", ""), "-", "")),"000")</f>
        <v>E021</v>
      </c>
      <c r="N41" s="3" t="str">
        <f>_xlfn.XLOOKUP(M41,Employees!$D$2:$D$26,Employees!$A$2:$A$26)</f>
        <v>Chris Williams</v>
      </c>
      <c r="O41" s="3" t="str">
        <f>_xlfn.XLOOKUP(N41,Employees!$A$2:$A$26,Employees!$C$2:$C$26,2)</f>
        <v>Sales</v>
      </c>
      <c r="P41" s="3" t="str">
        <f>PROPER('Sales_RAW(BEFORE)'!N42)</f>
        <v>West</v>
      </c>
      <c r="Q41" s="3" t="str">
        <f>VLOOKUP(N41,Employees!$A$2:$B$26,2,FALSE)</f>
        <v>Boston</v>
      </c>
      <c r="R41" s="3" t="str">
        <f>PROPER('Sales_RAW(BEFORE)'!P42)</f>
        <v xml:space="preserve">   Umbrella Llc</v>
      </c>
      <c r="S41" s="3" t="str">
        <f>SUBSTITUTE(SUBSTITUTE('Sales_RAW(BEFORE)'!Q42,"EIN",""),":","")</f>
        <v xml:space="preserve"> 250559903</v>
      </c>
      <c r="T41" s="3" t="s">
        <v>876</v>
      </c>
      <c r="U41" s="3" t="s">
        <v>877</v>
      </c>
      <c r="V41" s="3" t="s">
        <v>878</v>
      </c>
      <c r="W41" s="3" t="s">
        <v>879</v>
      </c>
      <c r="X41" s="3" t="s">
        <v>173</v>
      </c>
      <c r="Y41" s="3" t="str">
        <f>PROPER('Sales_RAW(BEFORE)'!W42)</f>
        <v>Wire</v>
      </c>
      <c r="Z41" s="3" t="str">
        <f>PROPER('Sales_RAW(BEFORE)'!X42)</f>
        <v>Cancelled</v>
      </c>
      <c r="AA41" s="3" t="str" cm="1">
        <f t="array" ref="AA41">_xlfn.LET(
  _xlpm.val, TRIM(LOWER('Sales_RAW(BEFORE)'!Y42)),
  _xlfn.IFS(
    OR(_xlpm.val="yes", _xlpm.val="paid"), "Paid",
    OR(_xlpm.val="no", _xlpm.val="unpaid"), "Unpaid",
    OR(_xlpm.val="partial", _xlpm.val="partial paid"), "Partial",
    _xlpm.val="", "",
    TRUE, 'Sales_RAW(BEFORE)'!AY42
  )
)</f>
        <v>Paid</v>
      </c>
      <c r="AB41" s="3" t="s">
        <v>880</v>
      </c>
      <c r="AC41" s="3" t="str">
        <f>PROPER('Sales_RAW(BEFORE)'!AA42)</f>
        <v>Phone</v>
      </c>
      <c r="AD41" s="3" t="str">
        <f>SUBSTITUTE(SUBSTITUTE(SUBSTITUTE(SUBSTITUTE('Sales_RAW(BEFORE)'!AB42,"st",""),"q",""),"Q",""),"uarter","")</f>
        <v>4</v>
      </c>
      <c r="AE41" s="3" t="str">
        <f>TEXT(IFERROR(DATEVALUE('Sales_RAW(BEFORE)'!AC42 &amp; " 1"), IFERROR(DATE(2025, 'Sales_RAW(BEFORE)'!AC42, 1), 'Sales_RAW(BEFORE)'!AC42)), "mmmm")</f>
        <v>January</v>
      </c>
      <c r="AF41" s="3">
        <f>_xlfn.LET(
  _xlpm.raw, TRIM(SUBSTITUTE('Sales_RAW(BEFORE)'!AD42, "'", "")),
  _xlpm.num, IFERROR(VALUE(_xlpm.raw), 0),
  IF(_xlpm.num &lt; 100, 2000 + _xlpm.num, _xlpm.num)
)</f>
        <v>2025</v>
      </c>
      <c r="AG41" s="3" t="str">
        <f>PROPER('Sales_RAW(BEFORE)'!AE42)</f>
        <v>Net 60</v>
      </c>
      <c r="AH41" s="3" cm="1">
        <f t="array" ref="AH41">_xlfn.LET(
  _xlpm.val, LOWER(TRIM('Sales_RAW(BEFORE)'!AF42)),
  _xlfn.IFS(
    OR(_xlpm.val="", _xlpm.val="null", _xlpm.val="N/A", _xlpm.val="-", _xlpm.val="#N/A"), 0,
    ISNUMBER('Sales_RAW(BEFORE)'!AF42), 'Sales_RAW(BEFORE)'!AF42,
    TRUE, IFERROR(_xlfn.NUMBERVALUE(_xlpm.val), 0)
  )
)</f>
        <v>31</v>
      </c>
      <c r="AI41" s="5">
        <f>IF(IFERROR(VALUE(SUBSTITUTE(SUBSTITUTE(TRIM('Sales_RAW(BEFORE)'!AG42), "%", ""), ",", ".")), 0) &gt; 1, IFERROR(VALUE(SUBSTITUTE(SUBSTITUTE(TRIM('Sales_RAW(BEFORE)'!AG42), "%", ""), ",", ".")), 0) / 100, IFERROR(VALUE(SUBSTITUTE(SUBSTITUTE(TRIM('Sales_RAW(BEFORE)'!AG42), "%", ""), ",", ".")), 0))</f>
        <v>0.08</v>
      </c>
      <c r="AJ41" s="6">
        <f t="shared" si="1"/>
        <v>1099.6255135135134</v>
      </c>
      <c r="AK41" s="6">
        <f t="shared" si="2"/>
        <v>14844.944432432429</v>
      </c>
      <c r="AL41" s="6">
        <f>IFERROR(VALUE(SUBSTITUTE(SUBSTITUTE(SUBSTITUTE('Sales_RAW(BEFORE)'!AJ42,"$",""),"USD",""),",",".")),0)</f>
        <v>42.83</v>
      </c>
      <c r="AM41" s="3" t="str">
        <f>SUBSTITUTE(SUBSTITUTE(PROPER('Sales_RAW(BEFORE)'!AK42), "Fed Ex", "FedEx"),"Fedex","FedEx")</f>
        <v>FedEx</v>
      </c>
      <c r="AN41" s="3" t="s">
        <v>882</v>
      </c>
      <c r="AO41" s="3" t="str">
        <f>SUBSTITUTE('Sales_RAW(BEFORE)'!AM42,"kg","")</f>
        <v xml:space="preserve">11.3 </v>
      </c>
      <c r="AP41" s="3" t="str">
        <f>_xlfn.LET(
  _xlpm.raw, UPPER(TRIM('Sales_RAW(BEFORE)'!AN42)),
  _xlpm.clean, RIGHT(_xlpm.raw, 1),
  IF(OR(_xlpm.raw="", _xlpm.raw="null"), "N/A", _xlpm.clean)
)</f>
        <v>C</v>
      </c>
      <c r="AQ41" s="3">
        <v>72</v>
      </c>
      <c r="AR41" s="3" cm="1">
        <f t="array" ref="AR41">_xlfn.LET(
  _xlpm.raw, LOWER(TRIM('Sales_RAW(BEFORE)'!AP42)),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41" s="3"/>
      <c r="AT41" s="3"/>
      <c r="AU41" s="3"/>
      <c r="AV41" s="8">
        <f>IF(IFERROR(VALUE(SUBSTITUTE(SUBSTITUTE(TRIM('Sales_RAW(BEFORE)'!AT42), "%", ""), ",", ".")), 0) &gt; 1, IFERROR(VALUE(SUBSTITUTE(SUBSTITUTE(TRIM('Sales_RAW(BEFORE)'!AT42), "%", ""), ",", ".")), 0) / 100, IFERROR(VALUE(SUBSTITUTE(SUBSTITUTE(TRIM('Sales_RAW(BEFORE)'!AT42), "%", ""), ",", ".")), 0))</f>
        <v>0.25</v>
      </c>
      <c r="AW41" s="6">
        <f>BA41*(_xlfn.XLOOKUP(N41,Employees!$A$2:$A$26,Employees!$E$2:$E$26,2))</f>
        <v>356.27866637837832</v>
      </c>
      <c r="AX41" s="3" t="str">
        <f>PROPER('Sales_RAW(BEFORE)'!AV42)</f>
        <v>Olivia Wilson</v>
      </c>
      <c r="AY41" s="3" t="str">
        <f t="shared" si="3"/>
        <v>Olivia Wilson</v>
      </c>
      <c r="AZ41" s="3"/>
      <c r="BA41" s="24">
        <f>AK41*(1-(_xlfn.XLOOKUP(G41, Exchange_Rates!$B$8:$F$8, Exchange_Rates!$B$9:$F$9, 0)+J41))</f>
        <v>11875.955545945944</v>
      </c>
      <c r="BB41" s="7" cm="1">
        <f t="array" ref="BB41">_xlfn.LET(
  _xlpm.raw_dt, SUBSTITUTE(TRIM(C41), ".", "/"),
  _xlpm.dt, IFERROR(DATEVALUE(_xlpm.raw_dt), C41),
  _xlpm.p_code, TRIM(E41),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46845</v>
      </c>
      <c r="BC41" s="25">
        <f t="shared" si="4"/>
        <v>2968.9888864864861</v>
      </c>
    </row>
    <row r="42" spans="1:55" ht="15.75" thickBot="1" x14ac:dyDescent="0.3">
      <c r="A42" s="3" t="s">
        <v>885</v>
      </c>
      <c r="B42" s="10">
        <v>46107</v>
      </c>
      <c r="C42" s="4">
        <v>46085</v>
      </c>
      <c r="D42" s="3" t="str">
        <f>"P-" &amp; TEXT(VALUE(SUBSTITUTE(SUBSTITUTE(SUBSTITUTE(UPPER(TRIM('Sales_RAW(BEFORE)'!D43)), "P", ""), "-", ""), "_", "")),"000")</f>
        <v>P-018</v>
      </c>
      <c r="E42" s="3" t="str">
        <f>VLOOKUP(D42,Product_List!$A$2:$B$61,2,FALSE)</f>
        <v>License Basic 18</v>
      </c>
      <c r="F42" s="3" t="str">
        <f>_xlfn.XLOOKUP(E42,Product_List!$B$2:$B$61,Product_List!$E$2:$E$61,2)</f>
        <v>Global Distrib</v>
      </c>
      <c r="G42" s="3" t="str">
        <f>VLOOKUP(E42,Product_List!$B$2:$C$61,2,FALSE)</f>
        <v>Equipment</v>
      </c>
      <c r="H42" s="3" t="str">
        <f>SUBSTITUTE(SUBSTITUTE('Sales_RAW(BEFORE)'!G43,"kom",""),".","")</f>
        <v>13</v>
      </c>
      <c r="I42" s="6">
        <f>VLOOKUP(E42,Product_List!$B$2:$D$61,3,FALSE)</f>
        <v>1470.36</v>
      </c>
      <c r="J42" s="5">
        <f>IF(IFERROR(VALUE(SUBSTITUTE(SUBSTITUTE(TRIM('Sales_RAW(BEFORE)'!I43), "%", ""), ",", ".")), 0) &gt; 1, IFERROR(VALUE(SUBSTITUTE(SUBSTITUTE(TRIM('Sales_RAW(BEFORE)'!I43), "%", ""), ",", ".")), 0) / 100, IFERROR(VALUE(SUBSTITUTE(SUBSTITUTE(TRIM('Sales_RAW(BEFORE)'!I43), "%", ""), ",", ".")), 0))</f>
        <v>0.05</v>
      </c>
      <c r="K42" s="6">
        <f t="shared" si="0"/>
        <v>19114.68</v>
      </c>
      <c r="L42" s="6" t="str" cm="1">
        <f t="array" ref="L42">_xlfn.LET(
  _xlpm.valuta, UPPER(TRIM('Sales_RAW(BEFORE)'!K43)),
  _xlfn.IFS(
    _xlpm.valuta = "", "",
    OR(_xlpm.valuta = "USD", _xlpm.valuta = "$"), "$",
    OR(_xlpm.valuta = "EUR", _xlpm.valuta = "€"), "€",
    TRUE, _xlpm.valuta
  )
)</f>
        <v>$</v>
      </c>
      <c r="M42" s="3" t="str">
        <f>"E" &amp; TEXT(VALUE(SUBSTITUTE(SUBSTITUTE(SUBSTITUTE(UPPER(TRIM('Sales_RAW(BEFORE)'!L43)), "EMP", ""), "E", ""), "-", "")),"000")</f>
        <v>E008</v>
      </c>
      <c r="N42" s="3" t="str">
        <f>_xlfn.XLOOKUP(M42,Employees!$D$2:$D$26,Employees!$A$2:$A$26)</f>
        <v>Michael Williams</v>
      </c>
      <c r="O42" s="3" t="str">
        <f>_xlfn.XLOOKUP(N42,Employees!$A$2:$A$26,Employees!$C$2:$C$26,2)</f>
        <v>Wholesale</v>
      </c>
      <c r="P42" s="3" t="str">
        <f>PROPER('Sales_RAW(BEFORE)'!N43)</f>
        <v>South</v>
      </c>
      <c r="Q42" s="3" t="str">
        <f>VLOOKUP(N42,Employees!$A$2:$B$26,2,FALSE)</f>
        <v>New York</v>
      </c>
      <c r="R42" s="3" t="str">
        <f>PROPER('Sales_RAW(BEFORE)'!P43)</f>
        <v>Vortex Ltd.</v>
      </c>
      <c r="S42" s="3" t="str">
        <f>SUBSTITUTE(SUBSTITUTE('Sales_RAW(BEFORE)'!Q43,"EIN",""),":","")</f>
        <v xml:space="preserve"> 858287081</v>
      </c>
      <c r="T42" s="3" t="s">
        <v>139</v>
      </c>
      <c r="U42" s="3" t="s">
        <v>895</v>
      </c>
      <c r="V42" s="3" t="s">
        <v>896</v>
      </c>
      <c r="W42" s="3" t="s">
        <v>897</v>
      </c>
      <c r="X42" s="3" t="s">
        <v>173</v>
      </c>
      <c r="Y42" s="3" t="str">
        <f>PROPER('Sales_RAW(BEFORE)'!W43)</f>
        <v>Wire</v>
      </c>
      <c r="Z42" s="3" t="str">
        <f>PROPER('Sales_RAW(BEFORE)'!X43)</f>
        <v>Delivered</v>
      </c>
      <c r="AA42" s="3" t="str" cm="1">
        <f t="array" ref="AA42">_xlfn.LET(
  _xlpm.val, TRIM(LOWER('Sales_RAW(BEFORE)'!Y43)),
  _xlfn.IFS(
    OR(_xlpm.val="yes", _xlpm.val="paid"), "Paid",
    OR(_xlpm.val="no", _xlpm.val="unpaid"), "Unpaid",
    OR(_xlpm.val="partial", _xlpm.val="partial paid"), "Partial",
    _xlpm.val="", "",
    TRUE, 'Sales_RAW(BEFORE)'!AY43
  )
)</f>
        <v>Paid</v>
      </c>
      <c r="AB42" s="3" t="s">
        <v>898</v>
      </c>
      <c r="AC42" s="3" t="str">
        <f>PROPER('Sales_RAW(BEFORE)'!AA43)</f>
        <v>Web</v>
      </c>
      <c r="AD42" s="3" t="str">
        <f>SUBSTITUTE(SUBSTITUTE(SUBSTITUTE(SUBSTITUTE('Sales_RAW(BEFORE)'!AB43,"st",""),"q",""),"Q",""),"uarter","")</f>
        <v>2</v>
      </c>
      <c r="AE42" s="3" t="str">
        <f>TEXT(IFERROR(DATEVALUE('Sales_RAW(BEFORE)'!AC43 &amp; " 1"), IFERROR(DATE(2025, 'Sales_RAW(BEFORE)'!AC43, 1), 'Sales_RAW(BEFORE)'!AC43)), "mmmm")</f>
        <v>March</v>
      </c>
      <c r="AF42" s="3">
        <f>_xlfn.LET(
  _xlpm.raw, TRIM(SUBSTITUTE('Sales_RAW(BEFORE)'!AD43, "'", "")),
  _xlpm.num, IFERROR(VALUE(_xlpm.raw), 0),
  IF(_xlpm.num &lt; 100, 2000 + _xlpm.num, _xlpm.num)
)</f>
        <v>2026</v>
      </c>
      <c r="AG42" s="3" t="str">
        <f>PROPER('Sales_RAW(BEFORE)'!AE43)</f>
        <v>Immediate</v>
      </c>
      <c r="AH42" s="3" cm="1">
        <f t="array" ref="AH42">_xlfn.LET(
  _xlpm.val, LOWER(TRIM('Sales_RAW(BEFORE)'!AF43)),
  _xlfn.IFS(
    OR(_xlpm.val="", _xlpm.val="null", _xlpm.val="N/A", _xlpm.val="-", _xlpm.val="#N/A"), 0,
    ISNUMBER('Sales_RAW(BEFORE)'!AF43), 'Sales_RAW(BEFORE)'!AF43,
    TRUE, IFERROR(_xlfn.NUMBERVALUE(_xlpm.val), 0)
  )
)</f>
        <v>19</v>
      </c>
      <c r="AI42" s="5">
        <f>IF(IFERROR(VALUE(SUBSTITUTE(SUBSTITUTE(TRIM('Sales_RAW(BEFORE)'!AG43), "%", ""), ",", ".")), 0) &gt; 1, IFERROR(VALUE(SUBSTITUTE(SUBSTITUTE(TRIM('Sales_RAW(BEFORE)'!AG43), "%", ""), ",", ".")), 0) / 100, IFERROR(VALUE(SUBSTITUTE(SUBSTITUTE(TRIM('Sales_RAW(BEFORE)'!AG43), "%", ""), ",", ".")), 0))</f>
        <v>0.08</v>
      </c>
      <c r="AJ42" s="6">
        <f t="shared" si="1"/>
        <v>1529.1744000000001</v>
      </c>
      <c r="AK42" s="6">
        <f t="shared" si="2"/>
        <v>20643.8544</v>
      </c>
      <c r="AL42" s="6">
        <f>IFERROR(VALUE(SUBSTITUTE(SUBSTITUTE(SUBSTITUTE('Sales_RAW(BEFORE)'!AJ43,"$",""),"USD",""),",",".")),0)</f>
        <v>32.74</v>
      </c>
      <c r="AM42" s="3" t="str">
        <f>SUBSTITUTE(SUBSTITUTE(PROPER('Sales_RAW(BEFORE)'!AK43), "Fed Ex", "FedEx"),"Fedex","FedEx")</f>
        <v>Ups</v>
      </c>
      <c r="AN42" s="3" t="s">
        <v>899</v>
      </c>
      <c r="AO42" s="3" t="str">
        <f>SUBSTITUTE('Sales_RAW(BEFORE)'!AM43,"kg","")</f>
        <v>5.6</v>
      </c>
      <c r="AP42" s="3" t="str">
        <f>_xlfn.LET(
  _xlpm.raw, UPPER(TRIM('Sales_RAW(BEFORE)'!AN43)),
  _xlpm.clean, RIGHT(_xlpm.raw, 1),
  IF(OR(_xlpm.raw="", _xlpm.raw="null"), "N/A", _xlpm.clean)
)</f>
        <v>B</v>
      </c>
      <c r="AQ42" s="3">
        <v>62</v>
      </c>
      <c r="AR42" s="3" cm="1">
        <f t="array" ref="AR42">_xlfn.LET(
  _xlpm.raw, LOWER(TRIM('Sales_RAW(BEFORE)'!AP43)),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42" s="3"/>
      <c r="AT42" s="3"/>
      <c r="AU42" s="3"/>
      <c r="AV42" s="8">
        <f>IF(IFERROR(VALUE(SUBSTITUTE(SUBSTITUTE(TRIM('Sales_RAW(BEFORE)'!AT43), "%", ""), ",", ".")), 0) &gt; 1, IFERROR(VALUE(SUBSTITUTE(SUBSTITUTE(TRIM('Sales_RAW(BEFORE)'!AT43), "%", ""), ",", ".")), 0) / 100, IFERROR(VALUE(SUBSTITUTE(SUBSTITUTE(TRIM('Sales_RAW(BEFORE)'!AT43), "%", ""), ",", ".")), 0))</f>
        <v>0.25</v>
      </c>
      <c r="AW42" s="6">
        <f>BA42*(_xlfn.XLOOKUP(N42,Employees!$A$2:$A$26,Employees!$E$2:$E$26,2))</f>
        <v>877.36381200000005</v>
      </c>
      <c r="AX42" s="3" t="str">
        <f>PROPER('Sales_RAW(BEFORE)'!AV43)</f>
        <v>Emma Brown</v>
      </c>
      <c r="AY42" s="3" t="str">
        <f t="shared" si="3"/>
        <v>Emma Brown</v>
      </c>
      <c r="AZ42" s="3"/>
      <c r="BA42" s="24">
        <f>AK42*(1-(_xlfn.XLOOKUP(G42, Exchange_Rates!$B$8:$F$8, Exchange_Rates!$B$9:$F$9, 0)+J42))</f>
        <v>17547.276239999999</v>
      </c>
      <c r="BB42" s="7" cm="1">
        <f t="array" ref="BB42">_xlfn.LET(
  _xlpm.raw_dt, SUBSTITUTE(TRIM(C42), ".", "/"),
  _xlpm.dt, IFERROR(DATEVALUE(_xlpm.raw_dt), C42),
  _xlpm.p_code, TRIM(E42),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46450</v>
      </c>
      <c r="BC42" s="25">
        <f t="shared" si="4"/>
        <v>4386.8190599999998</v>
      </c>
    </row>
    <row r="43" spans="1:55" ht="15.75" thickBot="1" x14ac:dyDescent="0.3">
      <c r="A43" s="3" t="s">
        <v>903</v>
      </c>
      <c r="B43" s="10">
        <v>45968</v>
      </c>
      <c r="C43" s="4">
        <v>46002</v>
      </c>
      <c r="D43" s="3" t="str">
        <f>"P-" &amp; TEXT(VALUE(SUBSTITUTE(SUBSTITUTE(SUBSTITUTE(UPPER(TRIM('Sales_RAW(BEFORE)'!D44)), "P", ""), "-", ""), "_", "")),"000")</f>
        <v>P-032</v>
      </c>
      <c r="E43" s="3" t="str">
        <f>VLOOKUP(D43,Product_List!$A$2:$B$61,2,FALSE)</f>
        <v>Cable Basic 32</v>
      </c>
      <c r="F43" s="3" t="str">
        <f>_xlfn.XLOOKUP(E43,Product_List!$B$2:$B$61,Product_List!$E$2:$E$61,2)</f>
        <v>OfficeHub</v>
      </c>
      <c r="G43" s="3" t="str">
        <f>VLOOKUP(E43,Product_List!$B$2:$C$61,2,FALSE)</f>
        <v>Software</v>
      </c>
      <c r="H43" s="3" t="str">
        <f>SUBSTITUTE(SUBSTITUTE('Sales_RAW(BEFORE)'!G44,"kom",""),".","")</f>
        <v xml:space="preserve">38 </v>
      </c>
      <c r="I43" s="6">
        <f>VLOOKUP(E43,Product_List!$B$2:$D$61,3,FALSE)</f>
        <v>1479.77</v>
      </c>
      <c r="J43" s="5">
        <f>IF(IFERROR(VALUE(SUBSTITUTE(SUBSTITUTE(TRIM('Sales_RAW(BEFORE)'!I44), "%", ""), ",", ".")), 0) &gt; 1, IFERROR(VALUE(SUBSTITUTE(SUBSTITUTE(TRIM('Sales_RAW(BEFORE)'!I44), "%", ""), ",", ".")), 0) / 100, IFERROR(VALUE(SUBSTITUTE(SUBSTITUTE(TRIM('Sales_RAW(BEFORE)'!I44), "%", ""), ",", ".")), 0))</f>
        <v>0.1</v>
      </c>
      <c r="K43" s="6">
        <f t="shared" si="0"/>
        <v>56231.26</v>
      </c>
      <c r="L43" s="6" t="str" cm="1">
        <f t="array" ref="L43">_xlfn.LET(
  _xlpm.valuta, UPPER(TRIM('Sales_RAW(BEFORE)'!K44)),
  _xlfn.IFS(
    _xlpm.valuta = "", "",
    OR(_xlpm.valuta = "USD", _xlpm.valuta = "$"), "$",
    OR(_xlpm.valuta = "EUR", _xlpm.valuta = "€"), "€",
    TRUE, _xlpm.valuta
  )
)</f>
        <v>$</v>
      </c>
      <c r="M43" s="3" t="str">
        <f>"E" &amp; TEXT(VALUE(SUBSTITUTE(SUBSTITUTE(SUBSTITUTE(UPPER(TRIM('Sales_RAW(BEFORE)'!L44)), "EMP", ""), "E", ""), "-", "")),"000")</f>
        <v>E009</v>
      </c>
      <c r="N43" s="3" t="str">
        <f>_xlfn.XLOOKUP(M43,Employees!$D$2:$D$26,Employees!$A$2:$A$26)</f>
        <v>Olivia Wilson</v>
      </c>
      <c r="O43" s="3" t="str">
        <f>_xlfn.XLOOKUP(N43,Employees!$A$2:$A$26,Employees!$C$2:$C$26,2)</f>
        <v>Wholesale</v>
      </c>
      <c r="P43" s="3" t="str">
        <f>PROPER('Sales_RAW(BEFORE)'!N44)</f>
        <v>West</v>
      </c>
      <c r="Q43" s="3" t="str">
        <f>VLOOKUP(N43,Employees!$A$2:$B$26,2,FALSE)</f>
        <v>Miami</v>
      </c>
      <c r="R43" s="3" t="str">
        <f>PROPER('Sales_RAW(BEFORE)'!P44)</f>
        <v xml:space="preserve">Globex Inc   </v>
      </c>
      <c r="S43" s="3" t="str">
        <f>SUBSTITUTE(SUBSTITUTE('Sales_RAW(BEFORE)'!Q44,"EIN",""),":","")</f>
        <v xml:space="preserve"> 241701002</v>
      </c>
      <c r="T43" s="3" t="s">
        <v>912</v>
      </c>
      <c r="U43" s="3" t="s">
        <v>913</v>
      </c>
      <c r="V43" s="3" t="s">
        <v>914</v>
      </c>
      <c r="W43" s="3" t="s">
        <v>915</v>
      </c>
      <c r="X43" s="3" t="s">
        <v>173</v>
      </c>
      <c r="Y43" s="3" t="str">
        <f>PROPER('Sales_RAW(BEFORE)'!W44)</f>
        <v>Credit Card</v>
      </c>
      <c r="Z43" s="3" t="str">
        <f>PROPER('Sales_RAW(BEFORE)'!X44)</f>
        <v>Cancelled</v>
      </c>
      <c r="AA43" s="3" t="str" cm="1">
        <f t="array" ref="AA43">_xlfn.LET(
  _xlpm.val, TRIM(LOWER('Sales_RAW(BEFORE)'!Y44)),
  _xlfn.IFS(
    OR(_xlpm.val="yes", _xlpm.val="paid"), "Paid",
    OR(_xlpm.val="no", _xlpm.val="unpaid"), "Unpaid",
    OR(_xlpm.val="partial", _xlpm.val="partial paid"), "Partial",
    _xlpm.val="", "",
    TRUE, 'Sales_RAW(BEFORE)'!AY44
  )
)</f>
        <v>Unpaid</v>
      </c>
      <c r="AB43" s="3" t="s">
        <v>916</v>
      </c>
      <c r="AC43" s="3" t="str">
        <f>PROPER('Sales_RAW(BEFORE)'!AA44)</f>
        <v>Online</v>
      </c>
      <c r="AD43" s="3" t="str">
        <f>SUBSTITUTE(SUBSTITUTE(SUBSTITUTE(SUBSTITUTE('Sales_RAW(BEFORE)'!AB44,"st",""),"q",""),"Q",""),"uarter","")</f>
        <v>3</v>
      </c>
      <c r="AE43" s="3" t="str">
        <f>TEXT(IFERROR(DATEVALUE('Sales_RAW(BEFORE)'!AC44 &amp; " 1"), IFERROR(DATE(2025, 'Sales_RAW(BEFORE)'!AC44, 1), 'Sales_RAW(BEFORE)'!AC44)), "mmmm")</f>
        <v>November</v>
      </c>
      <c r="AF43" s="3">
        <f>_xlfn.LET(
  _xlpm.raw, TRIM(SUBSTITUTE('Sales_RAW(BEFORE)'!AD44, "'", "")),
  _xlpm.num, IFERROR(VALUE(_xlpm.raw), 0),
  IF(_xlpm.num &lt; 100, 2000 + _xlpm.num, _xlpm.num)
)</f>
        <v>2025</v>
      </c>
      <c r="AG43" s="3" t="str">
        <f>PROPER('Sales_RAW(BEFORE)'!AE44)</f>
        <v>Immediate</v>
      </c>
      <c r="AH43" s="3" cm="1">
        <f t="array" ref="AH43">_xlfn.LET(
  _xlpm.val, LOWER(TRIM('Sales_RAW(BEFORE)'!AF44)),
  _xlfn.IFS(
    OR(_xlpm.val="", _xlpm.val="null", _xlpm.val="N/A", _xlpm.val="-", _xlpm.val="#N/A"), 0,
    ISNUMBER('Sales_RAW(BEFORE)'!AF44), 'Sales_RAW(BEFORE)'!AF44,
    TRUE, IFERROR(_xlfn.NUMBERVALUE(_xlpm.val), 0)
  )
)</f>
        <v>0</v>
      </c>
      <c r="AI43" s="5">
        <f>IF(IFERROR(VALUE(SUBSTITUTE(SUBSTITUTE(TRIM('Sales_RAW(BEFORE)'!AG44), "%", ""), ",", ".")), 0) &gt; 1, IFERROR(VALUE(SUBSTITUTE(SUBSTITUTE(TRIM('Sales_RAW(BEFORE)'!AG44), "%", ""), ",", ".")), 0) / 100, IFERROR(VALUE(SUBSTITUTE(SUBSTITUTE(TRIM('Sales_RAW(BEFORE)'!AG44), "%", ""), ",", ".")), 0))</f>
        <v>0.08</v>
      </c>
      <c r="AJ43" s="6">
        <f t="shared" si="1"/>
        <v>4498.5008000000007</v>
      </c>
      <c r="AK43" s="6">
        <f t="shared" si="2"/>
        <v>60729.760800000004</v>
      </c>
      <c r="AL43" s="6">
        <f>IFERROR(VALUE(SUBSTITUTE(SUBSTITUTE(SUBSTITUTE('Sales_RAW(BEFORE)'!AJ44,"$",""),"USD",""),",",".")),0)</f>
        <v>25.34</v>
      </c>
      <c r="AM43" s="3" t="str">
        <f>SUBSTITUTE(SUBSTITUTE(PROPER('Sales_RAW(BEFORE)'!AK44), "Fed Ex", "FedEx"),"Fedex","FedEx")</f>
        <v>Ups</v>
      </c>
      <c r="AN43" s="3" t="s">
        <v>918</v>
      </c>
      <c r="AO43" s="3" t="str">
        <f>SUBSTITUTE('Sales_RAW(BEFORE)'!AM44,"kg","")</f>
        <v>7,27</v>
      </c>
      <c r="AP43" s="3" t="str">
        <f>_xlfn.LET(
  _xlpm.raw, UPPER(TRIM('Sales_RAW(BEFORE)'!AN44)),
  _xlpm.clean, RIGHT(_xlpm.raw, 1),
  IF(OR(_xlpm.raw="", _xlpm.raw="null"), "N/A", _xlpm.clean)
)</f>
        <v>C</v>
      </c>
      <c r="AQ43" s="3">
        <v>122</v>
      </c>
      <c r="AR43" s="3" cm="1">
        <f t="array" ref="AR43">_xlfn.LET(
  _xlpm.raw, LOWER(TRIM('Sales_RAW(BEFORE)'!AP44)),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43" s="3"/>
      <c r="AT43" s="3"/>
      <c r="AU43" s="3"/>
      <c r="AV43" s="8">
        <f>IF(IFERROR(VALUE(SUBSTITUTE(SUBSTITUTE(TRIM('Sales_RAW(BEFORE)'!AT44), "%", ""), ",", ".")), 0) &gt; 1, IFERROR(VALUE(SUBSTITUTE(SUBSTITUTE(TRIM('Sales_RAW(BEFORE)'!AT44), "%", ""), ",", ".")), 0) / 100, IFERROR(VALUE(SUBSTITUTE(SUBSTITUTE(TRIM('Sales_RAW(BEFORE)'!AT44), "%", ""), ",", ".")), 0))</f>
        <v>0.15</v>
      </c>
      <c r="AW43" s="6">
        <f>BA43*(_xlfn.XLOOKUP(N43,Employees!$A$2:$A$26,Employees!$E$2:$E$26,2))</f>
        <v>1366.4196180000001</v>
      </c>
      <c r="AX43" s="3" t="str">
        <f>PROPER('Sales_RAW(BEFORE)'!AV44)</f>
        <v xml:space="preserve">Robert Johnson  </v>
      </c>
      <c r="AY43" s="3" t="str">
        <f t="shared" si="3"/>
        <v xml:space="preserve">Robert Johnson  </v>
      </c>
      <c r="AZ43" s="3"/>
      <c r="BA43" s="24">
        <f>AK43*(1-(_xlfn.XLOOKUP(G43, Exchange_Rates!$B$8:$F$8, Exchange_Rates!$B$9:$F$9, 0)+J43))</f>
        <v>45547.320600000006</v>
      </c>
      <c r="BB43" s="7" cm="1">
        <f t="array" ref="BB43">_xlfn.LET(
  _xlpm.raw_dt, SUBSTITUTE(TRIM(C43), ".", "/"),
  _xlpm.dt, IFERROR(DATEVALUE(_xlpm.raw_dt), C43),
  _xlpm.p_code, TRIM(E43),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47098</v>
      </c>
      <c r="BC43" s="25">
        <f t="shared" si="4"/>
        <v>6832.0980900000004</v>
      </c>
    </row>
    <row r="44" spans="1:55" ht="15.75" thickBot="1" x14ac:dyDescent="0.3">
      <c r="A44" s="3" t="s">
        <v>923</v>
      </c>
      <c r="B44" s="10">
        <v>46188</v>
      </c>
      <c r="C44" s="4">
        <v>46192</v>
      </c>
      <c r="D44" s="3" t="str">
        <f>"P-" &amp; TEXT(VALUE(SUBSTITUTE(SUBSTITUTE(SUBSTITUTE(UPPER(TRIM('Sales_RAW(BEFORE)'!D45)), "P", ""), "-", ""), "_", "")),"000")</f>
        <v>P-026</v>
      </c>
      <c r="E44" s="3" t="str">
        <f>VLOOKUP(D44,Product_List!$A$2:$B$61,2,FALSE)</f>
        <v>Printer Basic 26</v>
      </c>
      <c r="F44" s="3" t="str">
        <f>_xlfn.XLOOKUP(E44,Product_List!$B$2:$B$61,Product_List!$E$2:$E$61,2)</f>
        <v>TechSupply Co</v>
      </c>
      <c r="G44" s="3" t="str">
        <f>VLOOKUP(E44,Product_List!$B$2:$C$61,2,FALSE)</f>
        <v>Electronics</v>
      </c>
      <c r="H44" s="3" t="str">
        <f>SUBSTITUTE(SUBSTITUTE('Sales_RAW(BEFORE)'!G45,"kom",""),".","")</f>
        <v xml:space="preserve">19 </v>
      </c>
      <c r="I44" s="6">
        <f>VLOOKUP(E44,Product_List!$B$2:$D$61,3,FALSE)</f>
        <v>1411.27</v>
      </c>
      <c r="J44" s="5">
        <f>IF(IFERROR(VALUE(SUBSTITUTE(SUBSTITUTE(TRIM('Sales_RAW(BEFORE)'!I45), "%", ""), ",", ".")), 0) &gt; 1, IFERROR(VALUE(SUBSTITUTE(SUBSTITUTE(TRIM('Sales_RAW(BEFORE)'!I45), "%", ""), ",", ".")), 0) / 100, IFERROR(VALUE(SUBSTITUTE(SUBSTITUTE(TRIM('Sales_RAW(BEFORE)'!I45), "%", ""), ",", ".")), 0))</f>
        <v>0.1</v>
      </c>
      <c r="K44" s="6">
        <f t="shared" si="0"/>
        <v>26814.13</v>
      </c>
      <c r="L44" s="6" t="str" cm="1">
        <f t="array" ref="L44">_xlfn.LET(
  _xlpm.valuta, UPPER(TRIM('Sales_RAW(BEFORE)'!K45)),
  _xlfn.IFS(
    _xlpm.valuta = "", "",
    OR(_xlpm.valuta = "USD", _xlpm.valuta = "$"), "$",
    OR(_xlpm.valuta = "EUR", _xlpm.valuta = "€"), "€",
    TRUE, _xlpm.valuta
  )
)</f>
        <v>$</v>
      </c>
      <c r="M44" s="3" t="str">
        <f>"E" &amp; TEXT(VALUE(SUBSTITUTE(SUBSTITUTE(SUBSTITUTE(UPPER(TRIM('Sales_RAW(BEFORE)'!L45)), "EMP", ""), "E", ""), "-", "")),"000")</f>
        <v>E020</v>
      </c>
      <c r="N44" s="3" t="str">
        <f>_xlfn.XLOOKUP(M44,Employees!$D$2:$D$26,Employees!$A$2:$A$26)</f>
        <v>Robert Taylor</v>
      </c>
      <c r="O44" s="3" t="str">
        <f>_xlfn.XLOOKUP(N44,Employees!$A$2:$A$26,Employees!$C$2:$C$26,2)</f>
        <v>Retail</v>
      </c>
      <c r="P44" s="3" t="str">
        <f>PROPER('Sales_RAW(BEFORE)'!N45)</f>
        <v>South</v>
      </c>
      <c r="Q44" s="3" t="str">
        <f>VLOOKUP(N44,Employees!$A$2:$B$26,2,FALSE)</f>
        <v>New York</v>
      </c>
      <c r="R44" s="3" t="str">
        <f>PROPER('Sales_RAW(BEFORE)'!P45)</f>
        <v xml:space="preserve">  Acme Ltd.</v>
      </c>
      <c r="S44" s="3" t="str">
        <f>SUBSTITUTE(SUBSTITUTE('Sales_RAW(BEFORE)'!Q45,"EIN",""),":","")</f>
        <v>318762581</v>
      </c>
      <c r="T44" s="3" t="s">
        <v>935</v>
      </c>
      <c r="U44" s="3" t="s">
        <v>936</v>
      </c>
      <c r="V44" s="3" t="s">
        <v>937</v>
      </c>
      <c r="W44" s="3" t="s">
        <v>938</v>
      </c>
      <c r="X44" s="3" t="s">
        <v>173</v>
      </c>
      <c r="Y44" s="3" t="str">
        <f>PROPER('Sales_RAW(BEFORE)'!W45)</f>
        <v>Wire Transfer</v>
      </c>
      <c r="Z44" s="3" t="str">
        <f>PROPER('Sales_RAW(BEFORE)'!X45)</f>
        <v>Delivered</v>
      </c>
      <c r="AA44" s="3" t="str" cm="1">
        <f t="array" ref="AA44">_xlfn.LET(
  _xlpm.val, TRIM(LOWER('Sales_RAW(BEFORE)'!Y45)),
  _xlfn.IFS(
    OR(_xlpm.val="yes", _xlpm.val="paid"), "Paid",
    OR(_xlpm.val="no", _xlpm.val="unpaid"), "Unpaid",
    OR(_xlpm.val="partial", _xlpm.val="partial paid"), "Partial",
    _xlpm.val="", "",
    TRUE, 'Sales_RAW(BEFORE)'!AY45
  )
)</f>
        <v>Unpaid</v>
      </c>
      <c r="AB44" s="3" t="s">
        <v>939</v>
      </c>
      <c r="AC44" s="3" t="str">
        <f>PROPER('Sales_RAW(BEFORE)'!AA45)</f>
        <v>Store</v>
      </c>
      <c r="AD44" s="3" t="str">
        <f>SUBSTITUTE(SUBSTITUTE(SUBSTITUTE(SUBSTITUTE('Sales_RAW(BEFORE)'!AB45,"st",""),"q",""),"Q",""),"uarter","")</f>
        <v>3</v>
      </c>
      <c r="AE44" s="3" t="str">
        <f>TEXT(IFERROR(DATEVALUE('Sales_RAW(BEFORE)'!AC45 &amp; " 1"), IFERROR(DATE(2025, 'Sales_RAW(BEFORE)'!AC45, 1), 'Sales_RAW(BEFORE)'!AC45)), "mmmm")</f>
        <v>June</v>
      </c>
      <c r="AF44" s="3">
        <f>_xlfn.LET(
  _xlpm.raw, TRIM(SUBSTITUTE('Sales_RAW(BEFORE)'!AD45, "'", "")),
  _xlpm.num, IFERROR(VALUE(_xlpm.raw), 0),
  IF(_xlpm.num &lt; 100, 2000 + _xlpm.num, _xlpm.num)
)</f>
        <v>2026</v>
      </c>
      <c r="AG44" s="3" t="str">
        <f>PROPER('Sales_RAW(BEFORE)'!AE45)</f>
        <v>Immediate</v>
      </c>
      <c r="AH44" s="3" cm="1">
        <f t="array" ref="AH44">_xlfn.LET(
  _xlpm.val, LOWER(TRIM('Sales_RAW(BEFORE)'!AF45)),
  _xlfn.IFS(
    OR(_xlpm.val="", _xlpm.val="null", _xlpm.val="N/A", _xlpm.val="-", _xlpm.val="#N/A"), 0,
    ISNUMBER('Sales_RAW(BEFORE)'!AF45), 'Sales_RAW(BEFORE)'!AF45,
    TRUE, IFERROR(_xlfn.NUMBERVALUE(_xlpm.val), 0)
  )
)</f>
        <v>17</v>
      </c>
      <c r="AI44" s="5">
        <f>IF(IFERROR(VALUE(SUBSTITUTE(SUBSTITUTE(TRIM('Sales_RAW(BEFORE)'!AG45), "%", ""), ",", ".")), 0) &gt; 1, IFERROR(VALUE(SUBSTITUTE(SUBSTITUTE(TRIM('Sales_RAW(BEFORE)'!AG45), "%", ""), ",", ".")), 0) / 100, IFERROR(VALUE(SUBSTITUTE(SUBSTITUTE(TRIM('Sales_RAW(BEFORE)'!AG45), "%", ""), ",", ".")), 0))</f>
        <v>0.08</v>
      </c>
      <c r="AJ44" s="6">
        <f t="shared" si="1"/>
        <v>2145.1304</v>
      </c>
      <c r="AK44" s="6">
        <f t="shared" si="2"/>
        <v>28959.260399999999</v>
      </c>
      <c r="AL44" s="6">
        <f>IFERROR(VALUE(SUBSTITUTE(SUBSTITUTE(SUBSTITUTE('Sales_RAW(BEFORE)'!AJ45,"$",""),"USD",""),",",".")),0)</f>
        <v>45.24</v>
      </c>
      <c r="AM44" s="3" t="str">
        <f>SUBSTITUTE(SUBSTITUTE(PROPER('Sales_RAW(BEFORE)'!AK45), "Fed Ex", "FedEx"),"Fedex","FedEx")</f>
        <v>Usps</v>
      </c>
      <c r="AN44" s="3" t="s">
        <v>940</v>
      </c>
      <c r="AO44" s="3" t="str">
        <f>SUBSTITUTE('Sales_RAW(BEFORE)'!AM45,"kg","")</f>
        <v>23,55</v>
      </c>
      <c r="AP44" s="3" t="str">
        <f>_xlfn.LET(
  _xlpm.raw, UPPER(TRIM('Sales_RAW(BEFORE)'!AN45)),
  _xlpm.clean, RIGHT(_xlpm.raw, 1),
  IF(OR(_xlpm.raw="", _xlpm.raw="null"), "N/A", _xlpm.clean)
)</f>
        <v>B</v>
      </c>
      <c r="AQ44" s="3">
        <v>382</v>
      </c>
      <c r="AR44" s="3" cm="1">
        <f t="array" ref="AR44">_xlfn.LET(
  _xlpm.raw, LOWER(TRIM('Sales_RAW(BEFORE)'!AP45)),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44" s="3"/>
      <c r="AT44" s="3"/>
      <c r="AU44" s="3"/>
      <c r="AV44" s="8">
        <f>IF(IFERROR(VALUE(SUBSTITUTE(SUBSTITUTE(TRIM('Sales_RAW(BEFORE)'!AT45), "%", ""), ",", ".")), 0) &gt; 1, IFERROR(VALUE(SUBSTITUTE(SUBSTITUTE(TRIM('Sales_RAW(BEFORE)'!AT45), "%", ""), ",", ".")), 0) / 100, IFERROR(VALUE(SUBSTITUTE(SUBSTITUTE(TRIM('Sales_RAW(BEFORE)'!AT45), "%", ""), ",", ".")), 0))</f>
        <v>0.25</v>
      </c>
      <c r="AW44" s="6">
        <f>BA44*(_xlfn.XLOOKUP(N44,Employees!$A$2:$A$26,Employees!$E$2:$E$26,2))</f>
        <v>695.02224960000001</v>
      </c>
      <c r="AX44" s="3" t="str">
        <f>PROPER('Sales_RAW(BEFORE)'!AV45)</f>
        <v xml:space="preserve">Olivia Johnson </v>
      </c>
      <c r="AY44" s="3" t="str">
        <f t="shared" si="3"/>
        <v xml:space="preserve">Olivia Johnson </v>
      </c>
      <c r="AZ44" s="3"/>
      <c r="BA44" s="24">
        <f>AK44*(1-(_xlfn.XLOOKUP(G44, Exchange_Rates!$B$8:$F$8, Exchange_Rates!$B$9:$F$9, 0)+J44))</f>
        <v>23167.408320000002</v>
      </c>
      <c r="BB44" s="7" cm="1">
        <f t="array" ref="BB44">_xlfn.LET(
  _xlpm.raw_dt, SUBSTITUTE(TRIM(C44), ".", "/"),
  _xlpm.dt, IFERROR(DATEVALUE(_xlpm.raw_dt), C44),
  _xlpm.p_code, TRIM(E44),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46923</v>
      </c>
      <c r="BC44" s="25">
        <f t="shared" si="4"/>
        <v>5791.8520800000006</v>
      </c>
    </row>
    <row r="45" spans="1:55" ht="15.75" thickBot="1" x14ac:dyDescent="0.3">
      <c r="A45" s="3" t="s">
        <v>945</v>
      </c>
      <c r="B45" s="10">
        <v>46246</v>
      </c>
      <c r="C45" s="4">
        <v>46253</v>
      </c>
      <c r="D45" s="3" t="str">
        <f>"P-" &amp; TEXT(VALUE(SUBSTITUTE(SUBSTITUTE(SUBSTITUTE(UPPER(TRIM('Sales_RAW(BEFORE)'!D46)), "P", ""), "-", ""), "_", "")),"000")</f>
        <v>P-016</v>
      </c>
      <c r="E45" s="3" t="str">
        <f>VLOOKUP(D45,Product_List!$A$2:$B$61,2,FALSE)</f>
        <v>Keyboard X 16</v>
      </c>
      <c r="F45" s="3" t="str">
        <f>_xlfn.XLOOKUP(E45,Product_List!$B$2:$B$61,Product_List!$E$2:$E$61,2)</f>
        <v>TechSupply Co</v>
      </c>
      <c r="G45" s="3" t="str">
        <f>VLOOKUP(E45,Product_List!$B$2:$C$61,2,FALSE)</f>
        <v>Office</v>
      </c>
      <c r="H45" s="3" t="str">
        <f>SUBSTITUTE(SUBSTITUTE('Sales_RAW(BEFORE)'!G46,"kom",""),".","")</f>
        <v xml:space="preserve">4 </v>
      </c>
      <c r="I45" s="6">
        <f>VLOOKUP(E45,Product_List!$B$2:$D$61,3,FALSE)</f>
        <v>127.37</v>
      </c>
      <c r="J45" s="5">
        <f>IF(IFERROR(VALUE(SUBSTITUTE(SUBSTITUTE(TRIM('Sales_RAW(BEFORE)'!I46), "%", ""), ",", ".")), 0) &gt; 1, IFERROR(VALUE(SUBSTITUTE(SUBSTITUTE(TRIM('Sales_RAW(BEFORE)'!I46), "%", ""), ",", ".")), 0) / 100, IFERROR(VALUE(SUBSTITUTE(SUBSTITUTE(TRIM('Sales_RAW(BEFORE)'!I46), "%", ""), ",", ".")), 0))</f>
        <v>0.1</v>
      </c>
      <c r="K45" s="6">
        <f t="shared" si="0"/>
        <v>509.48</v>
      </c>
      <c r="L45" s="6" t="str" cm="1">
        <f t="array" ref="L45">_xlfn.LET(
  _xlpm.valuta, UPPER(TRIM('Sales_RAW(BEFORE)'!K46)),
  _xlfn.IFS(
    _xlpm.valuta = "", "",
    OR(_xlpm.valuta = "USD", _xlpm.valuta = "$"), "$",
    OR(_xlpm.valuta = "EUR", _xlpm.valuta = "€"), "€",
    TRUE, _xlpm.valuta
  )
)</f>
        <v>$</v>
      </c>
      <c r="M45" s="3" t="str">
        <f>"E" &amp; TEXT(VALUE(SUBSTITUTE(SUBSTITUTE(SUBSTITUTE(UPPER(TRIM('Sales_RAW(BEFORE)'!L46)), "EMP", ""), "E", ""), "-", "")),"000")</f>
        <v>E016</v>
      </c>
      <c r="N45" s="3" t="str">
        <f>_xlfn.XLOOKUP(M45,Employees!$D$2:$D$26,Employees!$A$2:$A$26)</f>
        <v>Chris Anderson</v>
      </c>
      <c r="O45" s="3" t="str">
        <f>_xlfn.XLOOKUP(N45,Employees!$A$2:$A$26,Employees!$C$2:$C$26,2)</f>
        <v>Online</v>
      </c>
      <c r="P45" s="3" t="str">
        <f>PROPER('Sales_RAW(BEFORE)'!N46)</f>
        <v>East</v>
      </c>
      <c r="Q45" s="3" t="str">
        <f>VLOOKUP(N45,Employees!$A$2:$B$26,2,FALSE)</f>
        <v>Chicago</v>
      </c>
      <c r="R45" s="3" t="str">
        <f>PROPER('Sales_RAW(BEFORE)'!P46)</f>
        <v>Vortex Inc</v>
      </c>
      <c r="S45" s="3" t="str">
        <f>SUBSTITUTE(SUBSTITUTE('Sales_RAW(BEFORE)'!Q46,"EIN",""),":","")</f>
        <v>966650888</v>
      </c>
      <c r="T45" s="3" t="s">
        <v>624</v>
      </c>
      <c r="U45" s="3" t="s">
        <v>957</v>
      </c>
      <c r="V45" s="3" t="s">
        <v>958</v>
      </c>
      <c r="W45" s="3" t="s">
        <v>959</v>
      </c>
      <c r="X45" s="3" t="s">
        <v>173</v>
      </c>
      <c r="Y45" s="3" t="str">
        <f>PROPER('Sales_RAW(BEFORE)'!W46)</f>
        <v>Wire</v>
      </c>
      <c r="Z45" s="3" t="str">
        <f>PROPER('Sales_RAW(BEFORE)'!X46)</f>
        <v>Delivered</v>
      </c>
      <c r="AA45" s="3" t="str" cm="1">
        <f t="array" ref="AA45">_xlfn.LET(
  _xlpm.val, TRIM(LOWER('Sales_RAW(BEFORE)'!Y46)),
  _xlfn.IFS(
    OR(_xlpm.val="yes", _xlpm.val="paid"), "Paid",
    OR(_xlpm.val="no", _xlpm.val="unpaid"), "Unpaid",
    OR(_xlpm.val="partial", _xlpm.val="partial paid"), "Partial",
    _xlpm.val="", "",
    TRUE, 'Sales_RAW(BEFORE)'!AY46
  )
)</f>
        <v>Paid</v>
      </c>
      <c r="AB45" s="3" t="s">
        <v>960</v>
      </c>
      <c r="AC45" s="3" t="str">
        <f>PROPER('Sales_RAW(BEFORE)'!AA46)</f>
        <v>Phone</v>
      </c>
      <c r="AD45" s="3" t="str">
        <f>SUBSTITUTE(SUBSTITUTE(SUBSTITUTE(SUBSTITUTE('Sales_RAW(BEFORE)'!AB46,"st",""),"q",""),"Q",""),"uarter","")</f>
        <v>3</v>
      </c>
      <c r="AE45" s="3" t="str">
        <f>TEXT(IFERROR(DATEVALUE('Sales_RAW(BEFORE)'!AC46 &amp; " 1"), IFERROR(DATE(2025, 'Sales_RAW(BEFORE)'!AC46, 1), 'Sales_RAW(BEFORE)'!AC46)), "mmmm")</f>
        <v>August</v>
      </c>
      <c r="AF45" s="3">
        <f>_xlfn.LET(
  _xlpm.raw, TRIM(SUBSTITUTE('Sales_RAW(BEFORE)'!AD46, "'", "")),
  _xlpm.num, IFERROR(VALUE(_xlpm.raw), 0),
  IF(_xlpm.num &lt; 100, 2000 + _xlpm.num, _xlpm.num)
)</f>
        <v>2026</v>
      </c>
      <c r="AG45" s="3" t="str">
        <f>PROPER('Sales_RAW(BEFORE)'!AE46)</f>
        <v>15</v>
      </c>
      <c r="AH45" s="3" cm="1">
        <f t="array" ref="AH45">_xlfn.LET(
  _xlpm.val, LOWER(TRIM('Sales_RAW(BEFORE)'!AF46)),
  _xlfn.IFS(
    OR(_xlpm.val="", _xlpm.val="null", _xlpm.val="N/A", _xlpm.val="-", _xlpm.val="#N/A"), 0,
    ISNUMBER('Sales_RAW(BEFORE)'!AF46), 'Sales_RAW(BEFORE)'!AF46,
    TRUE, IFERROR(_xlfn.NUMBERVALUE(_xlpm.val), 0)
  )
)</f>
        <v>13</v>
      </c>
      <c r="AI45" s="5">
        <f>IF(IFERROR(VALUE(SUBSTITUTE(SUBSTITUTE(TRIM('Sales_RAW(BEFORE)'!AG46), "%", ""), ",", ".")), 0) &gt; 1, IFERROR(VALUE(SUBSTITUTE(SUBSTITUTE(TRIM('Sales_RAW(BEFORE)'!AG46), "%", ""), ",", ".")), 0) / 100, IFERROR(VALUE(SUBSTITUTE(SUBSTITUTE(TRIM('Sales_RAW(BEFORE)'!AG46), "%", ""), ",", ".")), 0))</f>
        <v>0.08</v>
      </c>
      <c r="AJ45" s="6">
        <f t="shared" si="1"/>
        <v>40.758400000000002</v>
      </c>
      <c r="AK45" s="6">
        <f t="shared" si="2"/>
        <v>550.23840000000007</v>
      </c>
      <c r="AL45" s="6">
        <f>IFERROR(VALUE(SUBSTITUTE(SUBSTITUTE(SUBSTITUTE('Sales_RAW(BEFORE)'!AJ46,"$",""),"USD",""),",",".")),0)</f>
        <v>28.26</v>
      </c>
      <c r="AM45" s="3" t="str">
        <f>SUBSTITUTE(SUBSTITUTE(PROPER('Sales_RAW(BEFORE)'!AK46), "Fed Ex", "FedEx"),"Fedex","FedEx")</f>
        <v>Ups</v>
      </c>
      <c r="AN45" s="3" t="s">
        <v>961</v>
      </c>
      <c r="AO45" s="3" t="str">
        <f>SUBSTITUTE('Sales_RAW(BEFORE)'!AM46,"kg","")</f>
        <v>22,62</v>
      </c>
      <c r="AP45" s="3" t="str">
        <f>_xlfn.LET(
  _xlpm.raw, UPPER(TRIM('Sales_RAW(BEFORE)'!AN46)),
  _xlpm.clean, RIGHT(_xlpm.raw, 1),
  IF(OR(_xlpm.raw="", _xlpm.raw="null"), "N/A", _xlpm.clean)
)</f>
        <v>B</v>
      </c>
      <c r="AQ45" s="3">
        <v>69</v>
      </c>
      <c r="AR45" s="3" cm="1">
        <f t="array" ref="AR45">_xlfn.LET(
  _xlpm.raw, LOWER(TRIM('Sales_RAW(BEFORE)'!AP46)),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45" s="3"/>
      <c r="AT45" s="3"/>
      <c r="AU45" s="3"/>
      <c r="AV45" s="8">
        <f>IF(IFERROR(VALUE(SUBSTITUTE(SUBSTITUTE(TRIM('Sales_RAW(BEFORE)'!AT46), "%", ""), ",", ".")), 0) &gt; 1, IFERROR(VALUE(SUBSTITUTE(SUBSTITUTE(TRIM('Sales_RAW(BEFORE)'!AT46), "%", ""), ",", ".")), 0) / 100, IFERROR(VALUE(SUBSTITUTE(SUBSTITUTE(TRIM('Sales_RAW(BEFORE)'!AT46), "%", ""), ",", ".")), 0))</f>
        <v>0.15</v>
      </c>
      <c r="AW45" s="6">
        <f>BA45*(_xlfn.XLOOKUP(N45,Employees!$A$2:$A$26,Employees!$E$2:$E$26,2))</f>
        <v>13.2057216</v>
      </c>
      <c r="AX45" s="3" t="str">
        <f>PROPER('Sales_RAW(BEFORE)'!AV46)</f>
        <v>James Davis</v>
      </c>
      <c r="AY45" s="3" t="str">
        <f t="shared" si="3"/>
        <v>James Davis</v>
      </c>
      <c r="AZ45" s="3"/>
      <c r="BA45" s="24">
        <f>AK45*(1-(_xlfn.XLOOKUP(G45, Exchange_Rates!$B$8:$F$8, Exchange_Rates!$B$9:$F$9, 0)+J45))</f>
        <v>440.19072000000006</v>
      </c>
      <c r="BB45" s="7" cm="1">
        <f t="array" ref="BB45">_xlfn.LET(
  _xlpm.raw_dt, SUBSTITUTE(TRIM(C45), ".", "/"),
  _xlpm.dt, IFERROR(DATEVALUE(_xlpm.raw_dt), C45),
  _xlpm.p_code, TRIM(E45),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46618</v>
      </c>
      <c r="BC45" s="25">
        <f t="shared" si="4"/>
        <v>66.028608000000006</v>
      </c>
    </row>
    <row r="46" spans="1:55" ht="15.75" thickBot="1" x14ac:dyDescent="0.3">
      <c r="A46" s="3" t="s">
        <v>966</v>
      </c>
      <c r="B46" s="10">
        <v>46144</v>
      </c>
      <c r="C46" s="4">
        <f>DATE(2026,5,11)</f>
        <v>46153</v>
      </c>
      <c r="D46" s="3" t="str">
        <f>"P-" &amp; TEXT(VALUE(SUBSTITUTE(SUBSTITUTE(SUBSTITUTE(UPPER(TRIM('Sales_RAW(BEFORE)'!D47)), "P", ""), "-", ""), "_", "")),"000")</f>
        <v>P-051</v>
      </c>
      <c r="E46" s="3" t="str">
        <f>VLOOKUP(D46,Product_List!$A$2:$B$61,2,FALSE)</f>
        <v>Cable Basic 51</v>
      </c>
      <c r="F46" s="3" t="str">
        <f>_xlfn.XLOOKUP(E46,Product_List!$B$2:$B$61,Product_List!$E$2:$E$61,2)</f>
        <v>TechSupply Co</v>
      </c>
      <c r="G46" s="3" t="str">
        <f>VLOOKUP(E46,Product_List!$B$2:$C$61,2,FALSE)</f>
        <v>Office</v>
      </c>
      <c r="H46" s="3" t="str">
        <f>SUBSTITUTE(SUBSTITUTE('Sales_RAW(BEFORE)'!G47,"kom",""),".","")</f>
        <v>3</v>
      </c>
      <c r="I46" s="6">
        <f>VLOOKUP(E46,Product_List!$B$2:$D$61,3,FALSE)</f>
        <v>1036.6500000000001</v>
      </c>
      <c r="J46" s="5">
        <f>IF(IFERROR(VALUE(SUBSTITUTE(SUBSTITUTE(TRIM('Sales_RAW(BEFORE)'!I47), "%", ""), ",", ".")), 0) &gt; 1, IFERROR(VALUE(SUBSTITUTE(SUBSTITUTE(TRIM('Sales_RAW(BEFORE)'!I47), "%", ""), ",", ".")), 0) / 100, IFERROR(VALUE(SUBSTITUTE(SUBSTITUTE(TRIM('Sales_RAW(BEFORE)'!I47), "%", ""), ",", ".")), 0))</f>
        <v>0.05</v>
      </c>
      <c r="K46" s="6">
        <f t="shared" si="0"/>
        <v>3109.9500000000003</v>
      </c>
      <c r="L46" s="6" t="str" cm="1">
        <f t="array" ref="L46">_xlfn.LET(
  _xlpm.valuta, UPPER(TRIM('Sales_RAW(BEFORE)'!K47)),
  _xlfn.IFS(
    _xlpm.valuta = "", "",
    OR(_xlpm.valuta = "USD", _xlpm.valuta = "$"), "$",
    OR(_xlpm.valuta = "EUR", _xlpm.valuta = "€"), "€",
    TRUE, _xlpm.valuta
  )
)</f>
        <v>$</v>
      </c>
      <c r="M46" s="3" t="str">
        <f>"E" &amp; TEXT(VALUE(SUBSTITUTE(SUBSTITUTE(SUBSTITUTE(UPPER(TRIM('Sales_RAW(BEFORE)'!L47)), "EMP", ""), "E", ""), "-", "")),"000")</f>
        <v>E008</v>
      </c>
      <c r="N46" s="3" t="str">
        <f>_xlfn.XLOOKUP(M46,Employees!$D$2:$D$26,Employees!$A$2:$A$26)</f>
        <v>Michael Williams</v>
      </c>
      <c r="O46" s="3" t="str">
        <f>_xlfn.XLOOKUP(N46,Employees!$A$2:$A$26,Employees!$C$2:$C$26,2)</f>
        <v>Wholesale</v>
      </c>
      <c r="P46" s="3" t="str">
        <f>PROPER('Sales_RAW(BEFORE)'!N47)</f>
        <v>South</v>
      </c>
      <c r="Q46" s="3" t="str">
        <f>VLOOKUP(N46,Employees!$A$2:$B$26,2,FALSE)</f>
        <v>New York</v>
      </c>
      <c r="R46" s="3" t="str">
        <f>PROPER('Sales_RAW(BEFORE)'!P47)</f>
        <v xml:space="preserve">Globex Llc   </v>
      </c>
      <c r="S46" s="3" t="str">
        <f>SUBSTITUTE(SUBSTITUTE('Sales_RAW(BEFORE)'!Q47,"EIN",""),":","")</f>
        <v xml:space="preserve"> 676954297</v>
      </c>
      <c r="T46" s="3" t="s">
        <v>976</v>
      </c>
      <c r="U46" s="3" t="s">
        <v>977</v>
      </c>
      <c r="V46" s="3" t="s">
        <v>978</v>
      </c>
      <c r="W46" s="3" t="s">
        <v>979</v>
      </c>
      <c r="X46" s="3" t="s">
        <v>173</v>
      </c>
      <c r="Y46" s="3" t="str">
        <f>PROPER('Sales_RAW(BEFORE)'!W47)</f>
        <v>Wire</v>
      </c>
      <c r="Z46" s="3" t="str">
        <f>PROPER('Sales_RAW(BEFORE)'!X47)</f>
        <v>Delivered</v>
      </c>
      <c r="AA46" s="3" t="str" cm="1">
        <f t="array" ref="AA46">_xlfn.LET(
  _xlpm.val, TRIM(LOWER('Sales_RAW(BEFORE)'!Y47)),
  _xlfn.IFS(
    OR(_xlpm.val="yes", _xlpm.val="paid"), "Paid",
    OR(_xlpm.val="no", _xlpm.val="unpaid"), "Unpaid",
    OR(_xlpm.val="partial", _xlpm.val="partial paid"), "Partial",
    _xlpm.val="", "",
    TRUE, 'Sales_RAW(BEFORE)'!AY47
  )
)</f>
        <v>Partial</v>
      </c>
      <c r="AB46" s="3" t="s">
        <v>980</v>
      </c>
      <c r="AC46" s="3" t="str">
        <f>PROPER('Sales_RAW(BEFORE)'!AA47)</f>
        <v>Online</v>
      </c>
      <c r="AD46" s="3" t="str">
        <f>SUBSTITUTE(SUBSTITUTE(SUBSTITUTE(SUBSTITUTE('Sales_RAW(BEFORE)'!AB47,"st",""),"q",""),"Q",""),"uarter","")</f>
        <v>4</v>
      </c>
      <c r="AE46" s="3" t="str">
        <f>TEXT(IFERROR(DATEVALUE('Sales_RAW(BEFORE)'!AC47 &amp; " 1"), IFERROR(DATE(2025, 'Sales_RAW(BEFORE)'!AC47, 1), 'Sales_RAW(BEFORE)'!AC47)), "mmmm")</f>
        <v>May</v>
      </c>
      <c r="AF46" s="3">
        <f>_xlfn.LET(
  _xlpm.raw, TRIM(SUBSTITUTE('Sales_RAW(BEFORE)'!AD47, "'", "")),
  _xlpm.num, IFERROR(VALUE(_xlpm.raw), 0),
  IF(_xlpm.num &lt; 100, 2000 + _xlpm.num, _xlpm.num)
)</f>
        <v>2026</v>
      </c>
      <c r="AG46" s="3" t="str">
        <f>PROPER('Sales_RAW(BEFORE)'!AE47)</f>
        <v>Net 60</v>
      </c>
      <c r="AH46" s="3" cm="1">
        <f t="array" ref="AH46">_xlfn.LET(
  _xlpm.val, LOWER(TRIM('Sales_RAW(BEFORE)'!AF47)),
  _xlfn.IFS(
    OR(_xlpm.val="", _xlpm.val="null", _xlpm.val="N/A", _xlpm.val="-", _xlpm.val="#N/A"), 0,
    ISNUMBER('Sales_RAW(BEFORE)'!AF47), 'Sales_RAW(BEFORE)'!AF47,
    TRUE, IFERROR(_xlfn.NUMBERVALUE(_xlpm.val), 0)
  )
)</f>
        <v>43</v>
      </c>
      <c r="AI46" s="5">
        <f>IF(IFERROR(VALUE(SUBSTITUTE(SUBSTITUTE(TRIM('Sales_RAW(BEFORE)'!AG47), "%", ""), ",", ".")), 0) &gt; 1, IFERROR(VALUE(SUBSTITUTE(SUBSTITUTE(TRIM('Sales_RAW(BEFORE)'!AG47), "%", ""), ",", ".")), 0) / 100, IFERROR(VALUE(SUBSTITUTE(SUBSTITUTE(TRIM('Sales_RAW(BEFORE)'!AG47), "%", ""), ",", ".")), 0))</f>
        <v>0.08</v>
      </c>
      <c r="AJ46" s="6">
        <f t="shared" si="1"/>
        <v>248.79600000000002</v>
      </c>
      <c r="AK46" s="6">
        <f t="shared" si="2"/>
        <v>3358.7460000000001</v>
      </c>
      <c r="AL46" s="6">
        <f>IFERROR(VALUE(SUBSTITUTE(SUBSTITUTE(SUBSTITUTE('Sales_RAW(BEFORE)'!AJ47,"$",""),"USD",""),",",".")),0)</f>
        <v>5.85</v>
      </c>
      <c r="AM46" s="3" t="str">
        <f>SUBSTITUTE(SUBSTITUTE(PROPER('Sales_RAW(BEFORE)'!AK47), "Fed Ex", "FedEx"),"Fedex","FedEx")</f>
        <v>FedEx</v>
      </c>
      <c r="AN46" s="3" t="s">
        <v>982</v>
      </c>
      <c r="AO46" s="3" t="str">
        <f>SUBSTITUTE('Sales_RAW(BEFORE)'!AM47,"kg","")</f>
        <v>16.22</v>
      </c>
      <c r="AP46" s="3" t="str">
        <f>_xlfn.LET(
  _xlpm.raw, UPPER(TRIM('Sales_RAW(BEFORE)'!AN47)),
  _xlpm.clean, RIGHT(_xlpm.raw, 1),
  IF(OR(_xlpm.raw="", _xlpm.raw="null"), "N/A", _xlpm.clean)
)</f>
        <v>B</v>
      </c>
      <c r="AQ46" s="3">
        <v>300</v>
      </c>
      <c r="AR46" s="3" cm="1">
        <f t="array" ref="AR46">_xlfn.LET(
  _xlpm.raw, LOWER(TRIM('Sales_RAW(BEFORE)'!AP47)),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46" s="3"/>
      <c r="AT46" s="3"/>
      <c r="AU46" s="3"/>
      <c r="AV46" s="8">
        <f>IF(IFERROR(VALUE(SUBSTITUTE(SUBSTITUTE(TRIM('Sales_RAW(BEFORE)'!AT47), "%", ""), ",", ".")), 0) &gt; 1, IFERROR(VALUE(SUBSTITUTE(SUBSTITUTE(TRIM('Sales_RAW(BEFORE)'!AT47), "%", ""), ",", ".")), 0) / 100, IFERROR(VALUE(SUBSTITUTE(SUBSTITUTE(TRIM('Sales_RAW(BEFORE)'!AT47), "%", ""), ",", ".")), 0))</f>
        <v>0.3</v>
      </c>
      <c r="AW46" s="6">
        <f>BA46*(_xlfn.XLOOKUP(N46,Employees!$A$2:$A$26,Employees!$E$2:$E$26,2))</f>
        <v>142.74670499999999</v>
      </c>
      <c r="AX46" s="3" t="str">
        <f>PROPER('Sales_RAW(BEFORE)'!AV47)</f>
        <v>Sarah Johnson</v>
      </c>
      <c r="AY46" s="3" t="str">
        <f t="shared" si="3"/>
        <v>Sarah Johnson</v>
      </c>
      <c r="AZ46" s="3"/>
      <c r="BA46" s="24">
        <f>AK46*(1-(_xlfn.XLOOKUP(G46, Exchange_Rates!$B$8:$F$8, Exchange_Rates!$B$9:$F$9, 0)+J46))</f>
        <v>2854.9340999999999</v>
      </c>
      <c r="BB46" s="7" cm="1">
        <f t="array" ref="BB46">_xlfn.LET(
  _xlpm.raw_dt, SUBSTITUTE(TRIM(C46), ".", "/"),
  _xlpm.dt, IFERROR(DATEVALUE(_xlpm.raw_dt), C46),
  _xlpm.p_code, TRIM(E46),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46884</v>
      </c>
      <c r="BC46" s="25">
        <f t="shared" si="4"/>
        <v>856.48023000000001</v>
      </c>
    </row>
    <row r="47" spans="1:55" ht="15.75" thickBot="1" x14ac:dyDescent="0.3">
      <c r="A47" s="3" t="s">
        <v>984</v>
      </c>
      <c r="B47" s="10">
        <v>45719</v>
      </c>
      <c r="C47" s="4">
        <f>DATE(2025,3,17)</f>
        <v>45733</v>
      </c>
      <c r="D47" s="3" t="str">
        <f>"P-" &amp; TEXT(VALUE(SUBSTITUTE(SUBSTITUTE(SUBSTITUTE(UPPER(TRIM('Sales_RAW(BEFORE)'!D48)), "P", ""), "-", ""), "_", "")),"000")</f>
        <v>P-052</v>
      </c>
      <c r="E47" s="3" t="str">
        <f>VLOOKUP(D47,Product_List!$A$2:$B$61,2,FALSE)</f>
        <v>Laptop Max 52</v>
      </c>
      <c r="F47" s="3" t="str">
        <f>_xlfn.XLOOKUP(E47,Product_List!$B$2:$B$61,Product_List!$E$2:$E$61,2)</f>
        <v>TechSupply Co</v>
      </c>
      <c r="G47" s="3" t="str">
        <f>VLOOKUP(E47,Product_List!$B$2:$C$61,2,FALSE)</f>
        <v>Furniture</v>
      </c>
      <c r="H47" s="3" t="str">
        <f>SUBSTITUTE(SUBSTITUTE('Sales_RAW(BEFORE)'!G48,"kom",""),".","")</f>
        <v>32</v>
      </c>
      <c r="I47" s="6">
        <f>VLOOKUP(E47,Product_List!$B$2:$D$61,3,FALSE)</f>
        <v>1467.86</v>
      </c>
      <c r="J47" s="5">
        <f>IF(IFERROR(VALUE(SUBSTITUTE(SUBSTITUTE(TRIM('Sales_RAW(BEFORE)'!I48), "%", ""), ",", ".")), 0) &gt; 1, IFERROR(VALUE(SUBSTITUTE(SUBSTITUTE(TRIM('Sales_RAW(BEFORE)'!I48), "%", ""), ",", ".")), 0) / 100, IFERROR(VALUE(SUBSTITUTE(SUBSTITUTE(TRIM('Sales_RAW(BEFORE)'!I48), "%", ""), ",", ".")), 0))</f>
        <v>0</v>
      </c>
      <c r="K47" s="6">
        <f t="shared" si="0"/>
        <v>46971.519999999997</v>
      </c>
      <c r="L47" s="6" t="str" cm="1">
        <f t="array" ref="L47">_xlfn.LET(
  _xlpm.valuta, UPPER(TRIM('Sales_RAW(BEFORE)'!K48)),
  _xlfn.IFS(
    _xlpm.valuta = "", "",
    OR(_xlpm.valuta = "USD", _xlpm.valuta = "$"), "$",
    OR(_xlpm.valuta = "EUR", _xlpm.valuta = "€"), "€",
    TRUE, _xlpm.valuta
  )
)</f>
        <v>$</v>
      </c>
      <c r="M47" s="3" t="str">
        <f>"E" &amp; TEXT(VALUE(SUBSTITUTE(SUBSTITUTE(SUBSTITUTE(UPPER(TRIM('Sales_RAW(BEFORE)'!L48)), "EMP", ""), "E", ""), "-", "")),"000")</f>
        <v>E022</v>
      </c>
      <c r="N47" s="3" t="str">
        <f>_xlfn.XLOOKUP(M47,Employees!$D$2:$D$26,Employees!$A$2:$A$26)</f>
        <v>Chris Williams</v>
      </c>
      <c r="O47" s="3" t="str">
        <f>_xlfn.XLOOKUP(N47,Employees!$A$2:$A$26,Employees!$C$2:$C$26,2)</f>
        <v>Sales</v>
      </c>
      <c r="P47" s="3" t="str">
        <f>PROPER('Sales_RAW(BEFORE)'!N48)</f>
        <v>West</v>
      </c>
      <c r="Q47" s="3" t="str">
        <f>VLOOKUP(N47,Employees!$A$2:$B$26,2,FALSE)</f>
        <v>Boston</v>
      </c>
      <c r="R47" s="3" t="str">
        <f>PROPER('Sales_RAW(BEFORE)'!P48)</f>
        <v>Wayne Inc.</v>
      </c>
      <c r="S47" s="3" t="str">
        <f>SUBSTITUTE(SUBSTITUTE('Sales_RAW(BEFORE)'!Q48,"EIN",""),":","")</f>
        <v xml:space="preserve"> 486805686</v>
      </c>
      <c r="T47" s="3" t="s">
        <v>994</v>
      </c>
      <c r="U47" s="3" t="s">
        <v>995</v>
      </c>
      <c r="V47" s="3" t="s">
        <v>996</v>
      </c>
      <c r="W47" s="3" t="s">
        <v>997</v>
      </c>
      <c r="X47" s="3" t="s">
        <v>173</v>
      </c>
      <c r="Y47" s="3" t="str">
        <f>PROPER('Sales_RAW(BEFORE)'!W48)</f>
        <v>Wire</v>
      </c>
      <c r="Z47" s="3" t="str">
        <f>PROPER('Sales_RAW(BEFORE)'!X48)</f>
        <v>Processing</v>
      </c>
      <c r="AA47" s="3" t="str" cm="1">
        <f t="array" ref="AA47">_xlfn.LET(
  _xlpm.val, TRIM(LOWER('Sales_RAW(BEFORE)'!Y48)),
  _xlfn.IFS(
    OR(_xlpm.val="yes", _xlpm.val="paid"), "Paid",
    OR(_xlpm.val="no", _xlpm.val="unpaid"), "Unpaid",
    OR(_xlpm.val="partial", _xlpm.val="partial paid"), "Partial",
    _xlpm.val="", "",
    TRUE, 'Sales_RAW(BEFORE)'!AY48
  )
)</f>
        <v>Partial</v>
      </c>
      <c r="AB47" s="3" t="s">
        <v>998</v>
      </c>
      <c r="AC47" s="3" t="str">
        <f>PROPER('Sales_RAW(BEFORE)'!AA48)</f>
        <v>Store</v>
      </c>
      <c r="AD47" s="3" t="str">
        <f>SUBSTITUTE(SUBSTITUTE(SUBSTITUTE(SUBSTITUTE('Sales_RAW(BEFORE)'!AB48,"st",""),"q",""),"Q",""),"uarter","")</f>
        <v>4</v>
      </c>
      <c r="AE47" s="3" t="str">
        <f>TEXT(IFERROR(DATEVALUE('Sales_RAW(BEFORE)'!AC48 &amp; " 1"), IFERROR(DATE(2025, 'Sales_RAW(BEFORE)'!AC48, 1), 'Sales_RAW(BEFORE)'!AC48)), "mmmm")</f>
        <v>March</v>
      </c>
      <c r="AF47" s="3">
        <f>_xlfn.LET(
  _xlpm.raw, TRIM(SUBSTITUTE('Sales_RAW(BEFORE)'!AD48, "'", "")),
  _xlpm.num, IFERROR(VALUE(_xlpm.raw), 0),
  IF(_xlpm.num &lt; 100, 2000 + _xlpm.num, _xlpm.num)
)</f>
        <v>2025</v>
      </c>
      <c r="AG47" s="3" t="str">
        <f>PROPER('Sales_RAW(BEFORE)'!AE48)</f>
        <v>Net 60</v>
      </c>
      <c r="AH47" s="3" cm="1">
        <f t="array" ref="AH47">_xlfn.LET(
  _xlpm.val, LOWER(TRIM('Sales_RAW(BEFORE)'!AF48)),
  _xlfn.IFS(
    OR(_xlpm.val="", _xlpm.val="null", _xlpm.val="N/A", _xlpm.val="-", _xlpm.val="#N/A"), 0,
    ISNUMBER('Sales_RAW(BEFORE)'!AF48), 'Sales_RAW(BEFORE)'!AF48,
    TRUE, IFERROR(_xlfn.NUMBERVALUE(_xlpm.val), 0)
  )
)</f>
        <v>0</v>
      </c>
      <c r="AI47" s="5">
        <f>IF(IFERROR(VALUE(SUBSTITUTE(SUBSTITUTE(TRIM('Sales_RAW(BEFORE)'!AG48), "%", ""), ",", ".")), 0) &gt; 1, IFERROR(VALUE(SUBSTITUTE(SUBSTITUTE(TRIM('Sales_RAW(BEFORE)'!AG48), "%", ""), ",", ".")), 0) / 100, IFERROR(VALUE(SUBSTITUTE(SUBSTITUTE(TRIM('Sales_RAW(BEFORE)'!AG48), "%", ""), ",", ".")), 0))</f>
        <v>0.08</v>
      </c>
      <c r="AJ47" s="6">
        <f t="shared" si="1"/>
        <v>3757.7215999999999</v>
      </c>
      <c r="AK47" s="6">
        <f t="shared" si="2"/>
        <v>50729.241599999994</v>
      </c>
      <c r="AL47" s="6">
        <f>IFERROR(VALUE(SUBSTITUTE(SUBSTITUTE(SUBSTITUTE('Sales_RAW(BEFORE)'!AJ48,"$",""),"USD",""),",",".")),0)</f>
        <v>20.149999999999999</v>
      </c>
      <c r="AM47" s="3" t="str">
        <f>SUBSTITUTE(SUBSTITUTE(PROPER('Sales_RAW(BEFORE)'!AK48), "Fed Ex", "FedEx"),"Fedex","FedEx")</f>
        <v>Ups</v>
      </c>
      <c r="AN47" s="3" t="s">
        <v>999</v>
      </c>
      <c r="AO47" s="3" t="str">
        <f>SUBSTITUTE('Sales_RAW(BEFORE)'!AM48,"kg","")</f>
        <v>3,46</v>
      </c>
      <c r="AP47" s="3" t="str">
        <f>_xlfn.LET(
  _xlpm.raw, UPPER(TRIM('Sales_RAW(BEFORE)'!AN48)),
  _xlpm.clean, RIGHT(_xlpm.raw, 1),
  IF(OR(_xlpm.raw="", _xlpm.raw="null"), "N/A", _xlpm.clean)
)</f>
        <v>B</v>
      </c>
      <c r="AQ47" s="3">
        <v>256</v>
      </c>
      <c r="AR47" s="3" cm="1">
        <f t="array" ref="AR47">_xlfn.LET(
  _xlpm.raw, LOWER(TRIM('Sales_RAW(BEFORE)'!AP48)),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47" s="3"/>
      <c r="AT47" s="3"/>
      <c r="AU47" s="3"/>
      <c r="AV47" s="8">
        <f>IF(IFERROR(VALUE(SUBSTITUTE(SUBSTITUTE(TRIM('Sales_RAW(BEFORE)'!AT48), "%", ""), ",", ".")), 0) &gt; 1, IFERROR(VALUE(SUBSTITUTE(SUBSTITUTE(TRIM('Sales_RAW(BEFORE)'!AT48), "%", ""), ",", ".")), 0) / 100, IFERROR(VALUE(SUBSTITUTE(SUBSTITUTE(TRIM('Sales_RAW(BEFORE)'!AT48), "%", ""), ",", ".")), 0))</f>
        <v>0.18</v>
      </c>
      <c r="AW47" s="6">
        <f>BA47*(_xlfn.XLOOKUP(N47,Employees!$A$2:$A$26,Employees!$E$2:$E$26,2))</f>
        <v>1369.6895231999999</v>
      </c>
      <c r="AX47" s="3" t="str">
        <f>PROPER('Sales_RAW(BEFORE)'!AV48)</f>
        <v>Laura Miller</v>
      </c>
      <c r="AY47" s="3" t="str">
        <f t="shared" si="3"/>
        <v>Laura Miller</v>
      </c>
      <c r="AZ47" s="3"/>
      <c r="BA47" s="24">
        <f>AK47*(1-(_xlfn.XLOOKUP(G47, Exchange_Rates!$B$8:$F$8, Exchange_Rates!$B$9:$F$9, 0)+J47))</f>
        <v>45656.317439999999</v>
      </c>
      <c r="BB47" s="7" cm="1">
        <f t="array" ref="BB47">_xlfn.LET(
  _xlpm.raw_dt, SUBSTITUTE(TRIM(C47), ".", "/"),
  _xlpm.dt, IFERROR(DATEVALUE(_xlpm.raw_dt), C47),
  _xlpm.p_code, TRIM(E47),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46829</v>
      </c>
      <c r="BC47" s="25">
        <f t="shared" si="4"/>
        <v>8218.1371392000001</v>
      </c>
    </row>
    <row r="48" spans="1:55" ht="15.75" thickBot="1" x14ac:dyDescent="0.3">
      <c r="A48" s="3" t="s">
        <v>1003</v>
      </c>
      <c r="B48" s="10">
        <v>45916</v>
      </c>
      <c r="C48" s="4">
        <f>DATE(2025,9,21)</f>
        <v>45921</v>
      </c>
      <c r="D48" s="3" t="str">
        <f>"P-" &amp; TEXT(VALUE(SUBSTITUTE(SUBSTITUTE(SUBSTITUTE(UPPER(TRIM('Sales_RAW(BEFORE)'!D49)), "P", ""), "-", ""), "_", "")),"000")</f>
        <v>P-010</v>
      </c>
      <c r="E48" s="3" t="str">
        <f>VLOOKUP(D48,Product_List!$A$2:$B$61,2,FALSE)</f>
        <v>Headphones Basic 10</v>
      </c>
      <c r="F48" s="3" t="str">
        <f>_xlfn.XLOOKUP(E48,Product_List!$B$2:$B$61,Product_List!$E$2:$E$61,2)</f>
        <v>TechSupply Co</v>
      </c>
      <c r="G48" s="3" t="str">
        <f>VLOOKUP(E48,Product_List!$B$2:$C$61,2,FALSE)</f>
        <v>Equipment</v>
      </c>
      <c r="H48" s="3" t="str">
        <f>SUBSTITUTE(SUBSTITUTE('Sales_RAW(BEFORE)'!G49,"kom",""),".","")</f>
        <v>25</v>
      </c>
      <c r="I48" s="6">
        <f>VLOOKUP(E48,Product_List!$B$2:$D$61,3,FALSE)</f>
        <v>1225.1099999999999</v>
      </c>
      <c r="J48" s="5">
        <f>IF(IFERROR(VALUE(SUBSTITUTE(SUBSTITUTE(TRIM('Sales_RAW(BEFORE)'!I49), "%", ""), ",", ".")), 0) &gt; 1, IFERROR(VALUE(SUBSTITUTE(SUBSTITUTE(TRIM('Sales_RAW(BEFORE)'!I49), "%", ""), ",", ".")), 0) / 100, IFERROR(VALUE(SUBSTITUTE(SUBSTITUTE(TRIM('Sales_RAW(BEFORE)'!I49), "%", ""), ",", ".")), 0))</f>
        <v>0.1</v>
      </c>
      <c r="K48" s="6">
        <f t="shared" si="0"/>
        <v>30627.749999999996</v>
      </c>
      <c r="L48" s="6" t="str" cm="1">
        <f t="array" ref="L48">_xlfn.LET(
  _xlpm.valuta, UPPER(TRIM('Sales_RAW(BEFORE)'!K49)),
  _xlfn.IFS(
    _xlpm.valuta = "", "",
    OR(_xlpm.valuta = "USD", _xlpm.valuta = "$"), "$",
    OR(_xlpm.valuta = "EUR", _xlpm.valuta = "€"), "€",
    TRUE, _xlpm.valuta
  )
)</f>
        <v>$</v>
      </c>
      <c r="M48" s="3" t="str">
        <f>"E" &amp; TEXT(VALUE(SUBSTITUTE(SUBSTITUTE(SUBSTITUTE(UPPER(TRIM('Sales_RAW(BEFORE)'!L49)), "EMP", ""), "E", ""), "-", "")),"000")</f>
        <v>E019</v>
      </c>
      <c r="N48" s="3" t="str">
        <f>_xlfn.XLOOKUP(M48,Employees!$D$2:$D$26,Employees!$A$2:$A$26)</f>
        <v>Sophia Taylor</v>
      </c>
      <c r="O48" s="3" t="str">
        <f>_xlfn.XLOOKUP(N48,Employees!$A$2:$A$26,Employees!$C$2:$C$26,2)</f>
        <v>Wholesale</v>
      </c>
      <c r="P48" s="3" t="str">
        <f>PROPER('Sales_RAW(BEFORE)'!N49)</f>
        <v>West</v>
      </c>
      <c r="Q48" s="3" t="str">
        <f>VLOOKUP(N48,Employees!$A$2:$B$26,2,FALSE)</f>
        <v>Los Angeles</v>
      </c>
      <c r="R48" s="3" t="str">
        <f>PROPER('Sales_RAW(BEFORE)'!P49)</f>
        <v>Globex Inc.</v>
      </c>
      <c r="S48" s="3" t="str">
        <f>SUBSTITUTE(SUBSTITUTE('Sales_RAW(BEFORE)'!Q49,"EIN",""),":","")</f>
        <v>115358037</v>
      </c>
      <c r="T48" s="3" t="s">
        <v>229</v>
      </c>
      <c r="U48" s="3" t="s">
        <v>1012</v>
      </c>
      <c r="V48" s="3" t="s">
        <v>1013</v>
      </c>
      <c r="W48" s="3" t="s">
        <v>1014</v>
      </c>
      <c r="X48" s="3" t="s">
        <v>173</v>
      </c>
      <c r="Y48" s="3" t="str">
        <f>PROPER('Sales_RAW(BEFORE)'!W49)</f>
        <v>Credit Card</v>
      </c>
      <c r="Z48" s="3" t="str">
        <f>PROPER('Sales_RAW(BEFORE)'!X49)</f>
        <v>Cancelled</v>
      </c>
      <c r="AA48" s="3" t="str" cm="1">
        <f t="array" ref="AA48">_xlfn.LET(
  _xlpm.val, TRIM(LOWER('Sales_RAW(BEFORE)'!Y49)),
  _xlfn.IFS(
    OR(_xlpm.val="yes", _xlpm.val="paid"), "Paid",
    OR(_xlpm.val="no", _xlpm.val="unpaid"), "Unpaid",
    OR(_xlpm.val="partial", _xlpm.val="partial paid"), "Partial",
    _xlpm.val="", "",
    TRUE, 'Sales_RAW(BEFORE)'!AY49
  )
)</f>
        <v>Unpaid</v>
      </c>
      <c r="AB48" s="3" t="s">
        <v>1015</v>
      </c>
      <c r="AC48" s="3" t="str">
        <f>PROPER('Sales_RAW(BEFORE)'!AA49)</f>
        <v>Phone</v>
      </c>
      <c r="AD48" s="3" t="str">
        <f>SUBSTITUTE(SUBSTITUTE(SUBSTITUTE(SUBSTITUTE('Sales_RAW(BEFORE)'!AB49,"st",""),"q",""),"Q",""),"uarter","")</f>
        <v>4</v>
      </c>
      <c r="AE48" s="3" t="str">
        <f>TEXT(IFERROR(DATEVALUE('Sales_RAW(BEFORE)'!AC49 &amp; " 1"), IFERROR(DATE(2025, 'Sales_RAW(BEFORE)'!AC49, 1), 'Sales_RAW(BEFORE)'!AC49)), "mmmm")</f>
        <v>September</v>
      </c>
      <c r="AF48" s="3">
        <f>_xlfn.LET(
  _xlpm.raw, TRIM(SUBSTITUTE('Sales_RAW(BEFORE)'!AD49, "'", "")),
  _xlpm.num, IFERROR(VALUE(_xlpm.raw), 0),
  IF(_xlpm.num &lt; 100, 2000 + _xlpm.num, _xlpm.num)
)</f>
        <v>2025</v>
      </c>
      <c r="AG48" s="3" t="str">
        <f>PROPER('Sales_RAW(BEFORE)'!AE49)</f>
        <v>15</v>
      </c>
      <c r="AH48" s="3" cm="1">
        <f t="array" ref="AH48">_xlfn.LET(
  _xlpm.val, LOWER(TRIM('Sales_RAW(BEFORE)'!AF49)),
  _xlfn.IFS(
    OR(_xlpm.val="", _xlpm.val="null", _xlpm.val="N/A", _xlpm.val="-", _xlpm.val="#N/A"), 0,
    ISNUMBER('Sales_RAW(BEFORE)'!AF49), 'Sales_RAW(BEFORE)'!AF49,
    TRUE, IFERROR(_xlfn.NUMBERVALUE(_xlpm.val), 0)
  )
)</f>
        <v>79</v>
      </c>
      <c r="AI48" s="5">
        <f>IF(IFERROR(VALUE(SUBSTITUTE(SUBSTITUTE(TRIM('Sales_RAW(BEFORE)'!AG49), "%", ""), ",", ".")), 0) &gt; 1, IFERROR(VALUE(SUBSTITUTE(SUBSTITUTE(TRIM('Sales_RAW(BEFORE)'!AG49), "%", ""), ",", ".")), 0) / 100, IFERROR(VALUE(SUBSTITUTE(SUBSTITUTE(TRIM('Sales_RAW(BEFORE)'!AG49), "%", ""), ",", ".")), 0))</f>
        <v>0.08</v>
      </c>
      <c r="AJ48" s="6">
        <f t="shared" si="1"/>
        <v>2450.2199999999998</v>
      </c>
      <c r="AK48" s="6">
        <f t="shared" si="2"/>
        <v>33077.969999999994</v>
      </c>
      <c r="AL48" s="6">
        <f>IFERROR(VALUE(SUBSTITUTE(SUBSTITUTE(SUBSTITUTE('Sales_RAW(BEFORE)'!AJ49,"$",""),"USD",""),",",".")),0)</f>
        <v>0</v>
      </c>
      <c r="AM48" s="3" t="str">
        <f>SUBSTITUTE(SUBSTITUTE(PROPER('Sales_RAW(BEFORE)'!AK49), "Fed Ex", "FedEx"),"Fedex","FedEx")</f>
        <v>Ups</v>
      </c>
      <c r="AN48" s="3" t="s">
        <v>1016</v>
      </c>
      <c r="AO48" s="3" t="str">
        <f>SUBSTITUTE('Sales_RAW(BEFORE)'!AM49,"kg","")</f>
        <v>26.05</v>
      </c>
      <c r="AP48" s="3" t="str">
        <f>_xlfn.LET(
  _xlpm.raw, UPPER(TRIM('Sales_RAW(BEFORE)'!AN49)),
  _xlpm.clean, RIGHT(_xlpm.raw, 1),
  IF(OR(_xlpm.raw="", _xlpm.raw="null"), "N/A", _xlpm.clean)
)</f>
        <v>A</v>
      </c>
      <c r="AQ48" s="3">
        <v>0</v>
      </c>
      <c r="AR48" s="3" cm="1">
        <f t="array" ref="AR48">_xlfn.LET(
  _xlpm.raw, LOWER(TRIM('Sales_RAW(BEFORE)'!AP49)),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48" s="3"/>
      <c r="AT48" s="3"/>
      <c r="AU48" s="3"/>
      <c r="AV48" s="8">
        <f>IF(IFERROR(VALUE(SUBSTITUTE(SUBSTITUTE(TRIM('Sales_RAW(BEFORE)'!AT49), "%", ""), ",", ".")), 0) &gt; 1, IFERROR(VALUE(SUBSTITUTE(SUBSTITUTE(TRIM('Sales_RAW(BEFORE)'!AT49), "%", ""), ",", ".")), 0) / 100, IFERROR(VALUE(SUBSTITUTE(SUBSTITUTE(TRIM('Sales_RAW(BEFORE)'!AT49), "%", ""), ",", ".")), 0))</f>
        <v>0.25</v>
      </c>
      <c r="AW48" s="6">
        <f>BA48*(_xlfn.XLOOKUP(N48,Employees!$A$2:$A$26,Employees!$E$2:$E$26,2))</f>
        <v>793.87127999999984</v>
      </c>
      <c r="AX48" s="3" t="str">
        <f>PROPER('Sales_RAW(BEFORE)'!AV49)</f>
        <v xml:space="preserve">Chris Jones   </v>
      </c>
      <c r="AY48" s="3" t="str">
        <f t="shared" si="3"/>
        <v xml:space="preserve">Chris Jones   </v>
      </c>
      <c r="AZ48" s="3"/>
      <c r="BA48" s="24">
        <f>AK48*(1-(_xlfn.XLOOKUP(G48, Exchange_Rates!$B$8:$F$8, Exchange_Rates!$B$9:$F$9, 0)+J48))</f>
        <v>26462.375999999997</v>
      </c>
      <c r="BB48" s="7" cm="1">
        <f t="array" ref="BB48">_xlfn.LET(
  _xlpm.raw_dt, SUBSTITUTE(TRIM(C48), ".", "/"),
  _xlpm.dt, IFERROR(DATEVALUE(_xlpm.raw_dt), C48),
  _xlpm.p_code, TRIM(E48),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46651</v>
      </c>
      <c r="BC48" s="25">
        <f t="shared" si="4"/>
        <v>6615.5939999999991</v>
      </c>
    </row>
    <row r="49" spans="1:55" ht="15.75" thickBot="1" x14ac:dyDescent="0.3">
      <c r="A49" s="3" t="s">
        <v>1020</v>
      </c>
      <c r="B49" s="10">
        <v>46063</v>
      </c>
      <c r="C49" s="4">
        <v>46064</v>
      </c>
      <c r="D49" s="3" t="str">
        <f>"P-" &amp; TEXT(VALUE(SUBSTITUTE(SUBSTITUTE(SUBSTITUTE(UPPER(TRIM('Sales_RAW(BEFORE)'!D50)), "P", ""), "-", ""), "_", "")),"000")</f>
        <v>P-026</v>
      </c>
      <c r="E49" s="3" t="str">
        <f>VLOOKUP(D49,Product_List!$A$2:$B$61,2,FALSE)</f>
        <v>Printer Basic 26</v>
      </c>
      <c r="F49" s="3" t="str">
        <f>_xlfn.XLOOKUP(E49,Product_List!$B$2:$B$61,Product_List!$E$2:$E$61,2)</f>
        <v>TechSupply Co</v>
      </c>
      <c r="G49" s="3" t="str">
        <f>VLOOKUP(E49,Product_List!$B$2:$C$61,2,FALSE)</f>
        <v>Electronics</v>
      </c>
      <c r="H49" s="3" t="str">
        <f>SUBSTITUTE(SUBSTITUTE('Sales_RAW(BEFORE)'!G50,"kom",""),".","")</f>
        <v xml:space="preserve">19 </v>
      </c>
      <c r="I49" s="6">
        <f>VLOOKUP(E49,Product_List!$B$2:$D$61,3,FALSE)</f>
        <v>1411.27</v>
      </c>
      <c r="J49" s="5">
        <f>IF(IFERROR(VALUE(SUBSTITUTE(SUBSTITUTE(TRIM('Sales_RAW(BEFORE)'!I50), "%", ""), ",", ".")), 0) &gt; 1, IFERROR(VALUE(SUBSTITUTE(SUBSTITUTE(TRIM('Sales_RAW(BEFORE)'!I50), "%", ""), ",", ".")), 0) / 100, IFERROR(VALUE(SUBSTITUTE(SUBSTITUTE(TRIM('Sales_RAW(BEFORE)'!I50), "%", ""), ",", ".")), 0))</f>
        <v>0.1</v>
      </c>
      <c r="K49" s="6">
        <f t="shared" si="0"/>
        <v>26814.13</v>
      </c>
      <c r="L49" s="6" t="str" cm="1">
        <f t="array" ref="L49">_xlfn.LET(
  _xlpm.valuta, UPPER(TRIM('Sales_RAW(BEFORE)'!K50)),
  _xlfn.IFS(
    _xlpm.valuta = "", "",
    OR(_xlpm.valuta = "USD", _xlpm.valuta = "$"), "$",
    OR(_xlpm.valuta = "EUR", _xlpm.valuta = "€"), "€",
    TRUE, _xlpm.valuta
  )
)</f>
        <v>$</v>
      </c>
      <c r="M49" s="3" t="str">
        <f>"E" &amp; TEXT(VALUE(SUBSTITUTE(SUBSTITUTE(SUBSTITUTE(UPPER(TRIM('Sales_RAW(BEFORE)'!L50)), "EMP", ""), "E", ""), "-", "")),"000")</f>
        <v>E012</v>
      </c>
      <c r="N49" s="3" t="str">
        <f>_xlfn.XLOOKUP(M49,Employees!$D$2:$D$26,Employees!$A$2:$A$26)</f>
        <v>John Smith</v>
      </c>
      <c r="O49" s="3" t="str">
        <f>_xlfn.XLOOKUP(N49,Employees!$A$2:$A$26,Employees!$C$2:$C$26,2)</f>
        <v>Sales</v>
      </c>
      <c r="P49" s="3" t="str">
        <f>PROPER('Sales_RAW(BEFORE)'!N50)</f>
        <v>West</v>
      </c>
      <c r="Q49" s="3" t="str">
        <f>VLOOKUP(N49,Employees!$A$2:$B$26,2,FALSE)</f>
        <v>Miami</v>
      </c>
      <c r="R49" s="3" t="str">
        <f>PROPER('Sales_RAW(BEFORE)'!P50)</f>
        <v xml:space="preserve"> Initech Llc</v>
      </c>
      <c r="S49" s="3" t="str">
        <f>SUBSTITUTE(SUBSTITUTE('Sales_RAW(BEFORE)'!Q50,"EIN",""),":","")</f>
        <v xml:space="preserve"> 544142395</v>
      </c>
      <c r="T49" s="3" t="s">
        <v>258</v>
      </c>
      <c r="U49" s="3" t="s">
        <v>1031</v>
      </c>
      <c r="V49" s="3" t="s">
        <v>1032</v>
      </c>
      <c r="W49" s="3" t="s">
        <v>1033</v>
      </c>
      <c r="X49" s="3" t="s">
        <v>173</v>
      </c>
      <c r="Y49" s="3" t="str">
        <f>PROPER('Sales_RAW(BEFORE)'!W50)</f>
        <v>Credit Card</v>
      </c>
      <c r="Z49" s="3" t="str">
        <f>PROPER('Sales_RAW(BEFORE)'!X50)</f>
        <v>Delivered</v>
      </c>
      <c r="AA49" s="3" t="str" cm="1">
        <f t="array" ref="AA49">_xlfn.LET(
  _xlpm.val, TRIM(LOWER('Sales_RAW(BEFORE)'!Y50)),
  _xlfn.IFS(
    OR(_xlpm.val="yes", _xlpm.val="paid"), "Paid",
    OR(_xlpm.val="no", _xlpm.val="unpaid"), "Unpaid",
    OR(_xlpm.val="partial", _xlpm.val="partial paid"), "Partial",
    _xlpm.val="", "",
    TRUE, 'Sales_RAW(BEFORE)'!AY50
  )
)</f>
        <v>Unpaid</v>
      </c>
      <c r="AB49" s="3" t="s">
        <v>1034</v>
      </c>
      <c r="AC49" s="3" t="str">
        <f>PROPER('Sales_RAW(BEFORE)'!AA50)</f>
        <v>Web</v>
      </c>
      <c r="AD49" s="3" t="str">
        <f>SUBSTITUTE(SUBSTITUTE(SUBSTITUTE(SUBSTITUTE('Sales_RAW(BEFORE)'!AB50,"st",""),"q",""),"Q",""),"uarter","")</f>
        <v>3</v>
      </c>
      <c r="AE49" s="3" t="str">
        <f>TEXT(IFERROR(DATEVALUE('Sales_RAW(BEFORE)'!AC50 &amp; " 1"), IFERROR(DATE(2025, 'Sales_RAW(BEFORE)'!AC50, 1), 'Sales_RAW(BEFORE)'!AC50)), "mmmm")</f>
        <v>February</v>
      </c>
      <c r="AF49" s="3">
        <f>_xlfn.LET(
  _xlpm.raw, TRIM(SUBSTITUTE('Sales_RAW(BEFORE)'!AD50, "'", "")),
  _xlpm.num, IFERROR(VALUE(_xlpm.raw), 0),
  IF(_xlpm.num &lt; 100, 2000 + _xlpm.num, _xlpm.num)
)</f>
        <v>2026</v>
      </c>
      <c r="AG49" s="3" t="str">
        <f>PROPER('Sales_RAW(BEFORE)'!AE50)</f>
        <v>Net 30</v>
      </c>
      <c r="AH49" s="3" cm="1">
        <f t="array" ref="AH49">_xlfn.LET(
  _xlpm.val, LOWER(TRIM('Sales_RAW(BEFORE)'!AF50)),
  _xlfn.IFS(
    OR(_xlpm.val="", _xlpm.val="null", _xlpm.val="N/A", _xlpm.val="-", _xlpm.val="#N/A"), 0,
    ISNUMBER('Sales_RAW(BEFORE)'!AF50), 'Sales_RAW(BEFORE)'!AF50,
    TRUE, IFERROR(_xlfn.NUMBERVALUE(_xlpm.val), 0)
  )
)</f>
        <v>83</v>
      </c>
      <c r="AI49" s="5">
        <f>IF(IFERROR(VALUE(SUBSTITUTE(SUBSTITUTE(TRIM('Sales_RAW(BEFORE)'!AG50), "%", ""), ",", ".")), 0) &gt; 1, IFERROR(VALUE(SUBSTITUTE(SUBSTITUTE(TRIM('Sales_RAW(BEFORE)'!AG50), "%", ""), ",", ".")), 0) / 100, IFERROR(VALUE(SUBSTITUTE(SUBSTITUTE(TRIM('Sales_RAW(BEFORE)'!AG50), "%", ""), ",", ".")), 0))</f>
        <v>0.08</v>
      </c>
      <c r="AJ49" s="6">
        <f t="shared" si="1"/>
        <v>2145.1304</v>
      </c>
      <c r="AK49" s="6">
        <f t="shared" si="2"/>
        <v>28959.260399999999</v>
      </c>
      <c r="AL49" s="6">
        <f>IFERROR(VALUE(SUBSTITUTE(SUBSTITUTE(SUBSTITUTE('Sales_RAW(BEFORE)'!AJ50,"$",""),"USD",""),",",".")),0)</f>
        <v>6.56</v>
      </c>
      <c r="AM49" s="3" t="str">
        <f>SUBSTITUTE(SUBSTITUTE(PROPER('Sales_RAW(BEFORE)'!AK50), "Fed Ex", "FedEx"),"Fedex","FedEx")</f>
        <v>Ups</v>
      </c>
      <c r="AN49" s="3" t="s">
        <v>1035</v>
      </c>
      <c r="AO49" s="3" t="str">
        <f>SUBSTITUTE('Sales_RAW(BEFORE)'!AM50,"kg","")</f>
        <v>18,18</v>
      </c>
      <c r="AP49" s="3" t="str">
        <f>_xlfn.LET(
  _xlpm.raw, UPPER(TRIM('Sales_RAW(BEFORE)'!AN50)),
  _xlpm.clean, RIGHT(_xlpm.raw, 1),
  IF(OR(_xlpm.raw="", _xlpm.raw="null"), "N/A", _xlpm.clean)
)</f>
        <v>B</v>
      </c>
      <c r="AQ49" s="3">
        <v>311</v>
      </c>
      <c r="AR49" s="3" cm="1">
        <f t="array" ref="AR49">_xlfn.LET(
  _xlpm.raw, LOWER(TRIM('Sales_RAW(BEFORE)'!AP50)),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49" s="3"/>
      <c r="AT49" s="3"/>
      <c r="AU49" s="3"/>
      <c r="AV49" s="8">
        <f>IF(IFERROR(VALUE(SUBSTITUTE(SUBSTITUTE(TRIM('Sales_RAW(BEFORE)'!AT50), "%", ""), ",", ".")), 0) &gt; 1, IFERROR(VALUE(SUBSTITUTE(SUBSTITUTE(TRIM('Sales_RAW(BEFORE)'!AT50), "%", ""), ",", ".")), 0) / 100, IFERROR(VALUE(SUBSTITUTE(SUBSTITUTE(TRIM('Sales_RAW(BEFORE)'!AT50), "%", ""), ",", ".")), 0))</f>
        <v>0.15</v>
      </c>
      <c r="AW49" s="6">
        <f>BA49*(_xlfn.XLOOKUP(N49,Employees!$A$2:$A$26,Employees!$E$2:$E$26,2))</f>
        <v>463.34816640000008</v>
      </c>
      <c r="AX49" s="3" t="str">
        <f>PROPER('Sales_RAW(BEFORE)'!AV50)</f>
        <v xml:space="preserve">  Sophia Johnson  </v>
      </c>
      <c r="AY49" s="3" t="str">
        <f t="shared" si="3"/>
        <v xml:space="preserve">  Sophia Johnson  </v>
      </c>
      <c r="AZ49" s="3"/>
      <c r="BA49" s="24">
        <f>AK49*(1-(_xlfn.XLOOKUP(G49, Exchange_Rates!$B$8:$F$8, Exchange_Rates!$B$9:$F$9, 0)+J49))</f>
        <v>23167.408320000002</v>
      </c>
      <c r="BB49" s="7" cm="1">
        <f t="array" ref="BB49">_xlfn.LET(
  _xlpm.raw_dt, SUBSTITUTE(TRIM(C49), ".", "/"),
  _xlpm.dt, IFERROR(DATEVALUE(_xlpm.raw_dt), C49),
  _xlpm.p_code, TRIM(E49),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46794</v>
      </c>
      <c r="BC49" s="25">
        <f t="shared" si="4"/>
        <v>3475.1112480000002</v>
      </c>
    </row>
    <row r="50" spans="1:55" ht="15.75" thickBot="1" x14ac:dyDescent="0.3">
      <c r="A50" s="3" t="s">
        <v>1038</v>
      </c>
      <c r="B50" s="10">
        <v>45718</v>
      </c>
      <c r="C50" s="4">
        <v>45964</v>
      </c>
      <c r="D50" s="3" t="str">
        <f>"P-" &amp; TEXT(VALUE(SUBSTITUTE(SUBSTITUTE(SUBSTITUTE(UPPER(TRIM('Sales_RAW(BEFORE)'!D51)), "P", ""), "-", ""), "_", "")),"000")</f>
        <v>P-018</v>
      </c>
      <c r="E50" s="3" t="str">
        <f>VLOOKUP(D50,Product_List!$A$2:$B$61,2,FALSE)</f>
        <v>License Basic 18</v>
      </c>
      <c r="F50" s="3" t="str">
        <f>_xlfn.XLOOKUP(E50,Product_List!$B$2:$B$61,Product_List!$E$2:$E$61,2)</f>
        <v>Global Distrib</v>
      </c>
      <c r="G50" s="3" t="str">
        <f>VLOOKUP(E50,Product_List!$B$2:$C$61,2,FALSE)</f>
        <v>Equipment</v>
      </c>
      <c r="H50" s="3" t="str">
        <f>SUBSTITUTE(SUBSTITUTE('Sales_RAW(BEFORE)'!G51,"kom",""),".","")</f>
        <v>38</v>
      </c>
      <c r="I50" s="6">
        <f>VLOOKUP(E50,Product_List!$B$2:$D$61,3,FALSE)</f>
        <v>1470.36</v>
      </c>
      <c r="J50" s="5">
        <f>IF(IFERROR(VALUE(SUBSTITUTE(SUBSTITUTE(TRIM('Sales_RAW(BEFORE)'!I51), "%", ""), ",", ".")), 0) &gt; 1, IFERROR(VALUE(SUBSTITUTE(SUBSTITUTE(TRIM('Sales_RAW(BEFORE)'!I51), "%", ""), ",", ".")), 0) / 100, IFERROR(VALUE(SUBSTITUTE(SUBSTITUTE(TRIM('Sales_RAW(BEFORE)'!I51), "%", ""), ",", ".")), 0))</f>
        <v>0.1</v>
      </c>
      <c r="K50" s="6">
        <f t="shared" si="0"/>
        <v>55873.679999999993</v>
      </c>
      <c r="L50" s="6" t="str" cm="1">
        <f t="array" ref="L50">_xlfn.LET(
  _xlpm.valuta, UPPER(TRIM('Sales_RAW(BEFORE)'!K51)),
  _xlfn.IFS(
    _xlpm.valuta = "", "",
    OR(_xlpm.valuta = "USD", _xlpm.valuta = "$"), "$",
    OR(_xlpm.valuta = "EUR", _xlpm.valuta = "€"), "€",
    TRUE, _xlpm.valuta
  )
)</f>
        <v>$</v>
      </c>
      <c r="M50" s="3" t="str">
        <f>"E" &amp; TEXT(VALUE(SUBSTITUTE(SUBSTITUTE(SUBSTITUTE(UPPER(TRIM('Sales_RAW(BEFORE)'!L51)), "EMP", ""), "E", ""), "-", "")),"000")</f>
        <v>E017</v>
      </c>
      <c r="N50" s="3" t="str">
        <f>_xlfn.XLOOKUP(M50,Employees!$D$2:$D$26,Employees!$A$2:$A$26)</f>
        <v>Robert Davis</v>
      </c>
      <c r="O50" s="3" t="str">
        <f>_xlfn.XLOOKUP(N50,Employees!$A$2:$A$26,Employees!$C$2:$C$26,2)</f>
        <v>Wholesale</v>
      </c>
      <c r="P50" s="3" t="str">
        <f>PROPER('Sales_RAW(BEFORE)'!N51)</f>
        <v>West</v>
      </c>
      <c r="Q50" s="3" t="str">
        <f>VLOOKUP(N50,Employees!$A$2:$B$26,2,FALSE)</f>
        <v>Miami</v>
      </c>
      <c r="R50" s="3" t="str">
        <f>PROPER('Sales_RAW(BEFORE)'!P51)</f>
        <v xml:space="preserve">Vortex Inc. </v>
      </c>
      <c r="S50" s="3" t="str">
        <f>SUBSTITUTE(SUBSTITUTE('Sales_RAW(BEFORE)'!Q51,"EIN",""),":","")</f>
        <v xml:space="preserve"> 498732700</v>
      </c>
      <c r="T50" s="3" t="s">
        <v>912</v>
      </c>
      <c r="U50" s="3" t="s">
        <v>1050</v>
      </c>
      <c r="V50" s="3" t="s">
        <v>1051</v>
      </c>
      <c r="W50" s="3" t="s">
        <v>1052</v>
      </c>
      <c r="X50" s="3" t="s">
        <v>173</v>
      </c>
      <c r="Y50" s="3" t="str">
        <f>PROPER('Sales_RAW(BEFORE)'!W51)</f>
        <v>Credit Card</v>
      </c>
      <c r="Z50" s="3" t="str">
        <f>PROPER('Sales_RAW(BEFORE)'!X51)</f>
        <v>Delivered</v>
      </c>
      <c r="AA50" s="3" t="str" cm="1">
        <f t="array" ref="AA50">_xlfn.LET(
  _xlpm.val, TRIM(LOWER('Sales_RAW(BEFORE)'!Y51)),
  _xlfn.IFS(
    OR(_xlpm.val="yes", _xlpm.val="paid"), "Paid",
    OR(_xlpm.val="no", _xlpm.val="unpaid"), "Unpaid",
    OR(_xlpm.val="partial", _xlpm.val="partial paid"), "Partial",
    _xlpm.val="", "",
    TRUE, 'Sales_RAW(BEFORE)'!AY51
  )
)</f>
        <v>Unpaid</v>
      </c>
      <c r="AB50" s="3" t="s">
        <v>1053</v>
      </c>
      <c r="AC50" s="3" t="str">
        <f>PROPER('Sales_RAW(BEFORE)'!AA51)</f>
        <v>Online</v>
      </c>
      <c r="AD50" s="3" t="str">
        <f>SUBSTITUTE(SUBSTITUTE(SUBSTITUTE(SUBSTITUTE('Sales_RAW(BEFORE)'!AB51,"st",""),"q",""),"Q",""),"uarter","")</f>
        <v>1</v>
      </c>
      <c r="AE50" s="3" t="str">
        <f>TEXT(IFERROR(DATEVALUE('Sales_RAW(BEFORE)'!AC51 &amp; " 1"), IFERROR(DATE(2025, 'Sales_RAW(BEFORE)'!AC51, 1), 'Sales_RAW(BEFORE)'!AC51)), "mmmm")</f>
        <v>March</v>
      </c>
      <c r="AF50" s="3">
        <f>_xlfn.LET(
  _xlpm.raw, TRIM(SUBSTITUTE('Sales_RAW(BEFORE)'!AD51, "'", "")),
  _xlpm.num, IFERROR(VALUE(_xlpm.raw), 0),
  IF(_xlpm.num &lt; 100, 2000 + _xlpm.num, _xlpm.num)
)</f>
        <v>2025</v>
      </c>
      <c r="AG50" s="3" t="str">
        <f>PROPER('Sales_RAW(BEFORE)'!AE51)</f>
        <v>15</v>
      </c>
      <c r="AH50" s="3" cm="1">
        <f t="array" ref="AH50">_xlfn.LET(
  _xlpm.val, LOWER(TRIM('Sales_RAW(BEFORE)'!AF51)),
  _xlfn.IFS(
    OR(_xlpm.val="", _xlpm.val="null", _xlpm.val="N/A", _xlpm.val="-", _xlpm.val="#N/A"), 0,
    ISNUMBER('Sales_RAW(BEFORE)'!AF51), 'Sales_RAW(BEFORE)'!AF51,
    TRUE, IFERROR(_xlfn.NUMBERVALUE(_xlpm.val), 0)
  )
)</f>
        <v>33</v>
      </c>
      <c r="AI50" s="5">
        <f>IF(IFERROR(VALUE(SUBSTITUTE(SUBSTITUTE(TRIM('Sales_RAW(BEFORE)'!AG51), "%", ""), ",", ".")), 0) &gt; 1, IFERROR(VALUE(SUBSTITUTE(SUBSTITUTE(TRIM('Sales_RAW(BEFORE)'!AG51), "%", ""), ",", ".")), 0) / 100, IFERROR(VALUE(SUBSTITUTE(SUBSTITUTE(TRIM('Sales_RAW(BEFORE)'!AG51), "%", ""), ",", ".")), 0))</f>
        <v>0.08</v>
      </c>
      <c r="AJ50" s="6">
        <f t="shared" si="1"/>
        <v>4469.8943999999992</v>
      </c>
      <c r="AK50" s="6">
        <f t="shared" si="2"/>
        <v>60343.57439999999</v>
      </c>
      <c r="AL50" s="6">
        <f>IFERROR(VALUE(SUBSTITUTE(SUBSTITUTE(SUBSTITUTE('Sales_RAW(BEFORE)'!AJ51,"$",""),"USD",""),",",".")),0)</f>
        <v>37.380000000000003</v>
      </c>
      <c r="AM50" s="3" t="str">
        <f>SUBSTITUTE(SUBSTITUTE(PROPER('Sales_RAW(BEFORE)'!AK51), "Fed Ex", "FedEx"),"Fedex","FedEx")</f>
        <v>Usps</v>
      </c>
      <c r="AN50" s="3" t="s">
        <v>1055</v>
      </c>
      <c r="AO50" s="3" t="str">
        <f>SUBSTITUTE('Sales_RAW(BEFORE)'!AM51,"kg","")</f>
        <v>12,6</v>
      </c>
      <c r="AP50" s="3" t="str">
        <f>_xlfn.LET(
  _xlpm.raw, UPPER(TRIM('Sales_RAW(BEFORE)'!AN51)),
  _xlpm.clean, RIGHT(_xlpm.raw, 1),
  IF(OR(_xlpm.raw="", _xlpm.raw="null"), "N/A", _xlpm.clean)
)</f>
        <v>C</v>
      </c>
      <c r="AQ50" s="3">
        <v>135</v>
      </c>
      <c r="AR50" s="3" cm="1">
        <f t="array" ref="AR50">_xlfn.LET(
  _xlpm.raw, LOWER(TRIM('Sales_RAW(BEFORE)'!AP51)),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50" s="3"/>
      <c r="AT50" s="3"/>
      <c r="AU50" s="3"/>
      <c r="AV50" s="8">
        <f>IF(IFERROR(VALUE(SUBSTITUTE(SUBSTITUTE(TRIM('Sales_RAW(BEFORE)'!AT51), "%", ""), ",", ".")), 0) &gt; 1, IFERROR(VALUE(SUBSTITUTE(SUBSTITUTE(TRIM('Sales_RAW(BEFORE)'!AT51), "%", ""), ",", ".")), 0) / 100, IFERROR(VALUE(SUBSTITUTE(SUBSTITUTE(TRIM('Sales_RAW(BEFORE)'!AT51), "%", ""), ",", ".")), 0))</f>
        <v>0.3</v>
      </c>
      <c r="AW50" s="6">
        <f>BA50*(_xlfn.XLOOKUP(N50,Employees!$A$2:$A$26,Employees!$E$2:$E$26,2))</f>
        <v>1448.2457855999999</v>
      </c>
      <c r="AX50" s="3" t="str">
        <f>PROPER('Sales_RAW(BEFORE)'!AV51)</f>
        <v xml:space="preserve">Robert Anderson   </v>
      </c>
      <c r="AY50" s="3" t="str">
        <f t="shared" si="3"/>
        <v xml:space="preserve">Robert Anderson   </v>
      </c>
      <c r="AZ50" s="3"/>
      <c r="BA50" s="24">
        <f>AK50*(1-(_xlfn.XLOOKUP(G50, Exchange_Rates!$B$8:$F$8, Exchange_Rates!$B$9:$F$9, 0)+J50))</f>
        <v>48274.859519999998</v>
      </c>
      <c r="BB50" s="7" cm="1">
        <f t="array" ref="BB50">_xlfn.LET(
  _xlpm.raw_dt, SUBSTITUTE(TRIM(C50), ".", "/"),
  _xlpm.dt, IFERROR(DATEVALUE(_xlpm.raw_dt), C50),
  _xlpm.p_code, TRIM(E50),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46329</v>
      </c>
      <c r="BC50" s="25">
        <f t="shared" si="4"/>
        <v>14482.457855999999</v>
      </c>
    </row>
    <row r="51" spans="1:55" ht="15.75" thickBot="1" x14ac:dyDescent="0.3">
      <c r="A51" s="3" t="s">
        <v>1058</v>
      </c>
      <c r="B51" s="10">
        <v>45815</v>
      </c>
      <c r="C51" s="4">
        <v>45829</v>
      </c>
      <c r="D51" s="3" t="str">
        <f>"P-" &amp; TEXT(VALUE(SUBSTITUTE(SUBSTITUTE(SUBSTITUTE(UPPER(TRIM('Sales_RAW(BEFORE)'!D52)), "P", ""), "-", ""), "_", "")),"000")</f>
        <v>P-022</v>
      </c>
      <c r="E51" s="3" t="str">
        <f>VLOOKUP(D51,Product_List!$A$2:$B$61,2,FALSE)</f>
        <v>Desk Basic 22</v>
      </c>
      <c r="F51" s="3" t="str">
        <f>_xlfn.XLOOKUP(E51,Product_List!$B$2:$B$61,Product_List!$E$2:$E$61,2)</f>
        <v>BestParts</v>
      </c>
      <c r="G51" s="3" t="str">
        <f>VLOOKUP(E51,Product_List!$B$2:$C$61,2,FALSE)</f>
        <v>Furniture</v>
      </c>
      <c r="H51" s="3" t="str">
        <f>SUBSTITUTE(SUBSTITUTE('Sales_RAW(BEFORE)'!G52,"kom",""),".","")</f>
        <v xml:space="preserve">31 </v>
      </c>
      <c r="I51" s="6">
        <f>VLOOKUP(E51,Product_List!$B$2:$D$61,3,FALSE)</f>
        <v>893.58</v>
      </c>
      <c r="J51" s="5">
        <f>IF(IFERROR(VALUE(SUBSTITUTE(SUBSTITUTE(TRIM('Sales_RAW(BEFORE)'!I52), "%", ""), ",", ".")), 0) &gt; 1, IFERROR(VALUE(SUBSTITUTE(SUBSTITUTE(TRIM('Sales_RAW(BEFORE)'!I52), "%", ""), ",", ".")), 0) / 100, IFERROR(VALUE(SUBSTITUTE(SUBSTITUTE(TRIM('Sales_RAW(BEFORE)'!I52), "%", ""), ",", ".")), 0))</f>
        <v>0.1</v>
      </c>
      <c r="K51" s="6">
        <f t="shared" si="0"/>
        <v>27700.98</v>
      </c>
      <c r="L51" s="6" t="str" cm="1">
        <f t="array" ref="L51">_xlfn.LET(
  _xlpm.valuta, UPPER(TRIM('Sales_RAW(BEFORE)'!K52)),
  _xlfn.IFS(
    _xlpm.valuta = "", "",
    OR(_xlpm.valuta = "USD", _xlpm.valuta = "$"), "$",
    OR(_xlpm.valuta = "EUR", _xlpm.valuta = "€"), "€",
    TRUE, _xlpm.valuta
  )
)</f>
        <v>$</v>
      </c>
      <c r="M51" s="3" t="str">
        <f>"E" &amp; TEXT(VALUE(SUBSTITUTE(SUBSTITUTE(SUBSTITUTE(UPPER(TRIM('Sales_RAW(BEFORE)'!L52)), "EMP", ""), "E", ""), "-", "")),"000")</f>
        <v>E004</v>
      </c>
      <c r="N51" s="3" t="str">
        <f>_xlfn.XLOOKUP(M51,Employees!$D$2:$D$26,Employees!$A$2:$A$26)</f>
        <v>Sophia Johnson</v>
      </c>
      <c r="O51" s="3" t="str">
        <f>_xlfn.XLOOKUP(N51,Employees!$A$2:$A$26,Employees!$C$2:$C$26,2)</f>
        <v>Wholesale</v>
      </c>
      <c r="P51" s="3" t="str">
        <f>PROPER('Sales_RAW(BEFORE)'!N52)</f>
        <v>North</v>
      </c>
      <c r="Q51" s="3" t="str">
        <f>VLOOKUP(N51,Employees!$A$2:$B$26,2,FALSE)</f>
        <v>Houston</v>
      </c>
      <c r="R51" s="3" t="str">
        <f>PROPER('Sales_RAW(BEFORE)'!P52)</f>
        <v xml:space="preserve">   Initech Inc</v>
      </c>
      <c r="S51" s="3" t="str">
        <f>SUBSTITUTE(SUBSTITUTE('Sales_RAW(BEFORE)'!Q52,"EIN",""),":","")</f>
        <v xml:space="preserve"> 447211740</v>
      </c>
      <c r="T51" s="3" t="s">
        <v>201</v>
      </c>
      <c r="U51" s="3" t="s">
        <v>1068</v>
      </c>
      <c r="V51" s="3" t="s">
        <v>1069</v>
      </c>
      <c r="W51" s="3" t="s">
        <v>1070</v>
      </c>
      <c r="X51" s="3" t="s">
        <v>173</v>
      </c>
      <c r="Y51" s="3" t="str">
        <f>PROPER('Sales_RAW(BEFORE)'!W52)</f>
        <v>Paypal</v>
      </c>
      <c r="Z51" s="3" t="str">
        <f>PROPER('Sales_RAW(BEFORE)'!X52)</f>
        <v>Pending</v>
      </c>
      <c r="AA51" s="3" t="str" cm="1">
        <f t="array" ref="AA51">_xlfn.LET(
  _xlpm.val, TRIM(LOWER('Sales_RAW(BEFORE)'!Y52)),
  _xlfn.IFS(
    OR(_xlpm.val="yes", _xlpm.val="paid"), "Paid",
    OR(_xlpm.val="no", _xlpm.val="unpaid"), "Unpaid",
    OR(_xlpm.val="partial", _xlpm.val="partial paid"), "Partial",
    _xlpm.val="", "",
    TRUE, 'Sales_RAW(BEFORE)'!AY52
  )
)</f>
        <v>Unpaid</v>
      </c>
      <c r="AB51" s="3" t="s">
        <v>1071</v>
      </c>
      <c r="AC51" s="3" t="str">
        <f>PROPER('Sales_RAW(BEFORE)'!AA52)</f>
        <v>Phone</v>
      </c>
      <c r="AD51" s="3" t="str">
        <f>SUBSTITUTE(SUBSTITUTE(SUBSTITUTE(SUBSTITUTE('Sales_RAW(BEFORE)'!AB52,"st",""),"q",""),"Q",""),"uarter","")</f>
        <v>1</v>
      </c>
      <c r="AE51" s="3" t="str">
        <f>TEXT(IFERROR(DATEVALUE('Sales_RAW(BEFORE)'!AC52 &amp; " 1"), IFERROR(DATE(2025, 'Sales_RAW(BEFORE)'!AC52, 1), 'Sales_RAW(BEFORE)'!AC52)), "mmmm")</f>
        <v>June</v>
      </c>
      <c r="AF51" s="3">
        <f>_xlfn.LET(
  _xlpm.raw, TRIM(SUBSTITUTE('Sales_RAW(BEFORE)'!AD52, "'", "")),
  _xlpm.num, IFERROR(VALUE(_xlpm.raw), 0),
  IF(_xlpm.num &lt; 100, 2000 + _xlpm.num, _xlpm.num)
)</f>
        <v>2025</v>
      </c>
      <c r="AG51" s="3" t="str">
        <f>PROPER('Sales_RAW(BEFORE)'!AE52)</f>
        <v>Net 30</v>
      </c>
      <c r="AH51" s="3" cm="1">
        <f t="array" ref="AH51">_xlfn.LET(
  _xlpm.val, LOWER(TRIM('Sales_RAW(BEFORE)'!AF52)),
  _xlfn.IFS(
    OR(_xlpm.val="", _xlpm.val="null", _xlpm.val="N/A", _xlpm.val="-", _xlpm.val="#N/A"), 0,
    ISNUMBER('Sales_RAW(BEFORE)'!AF52), 'Sales_RAW(BEFORE)'!AF52,
    TRUE, IFERROR(_xlfn.NUMBERVALUE(_xlpm.val), 0)
  )
)</f>
        <v>0</v>
      </c>
      <c r="AI51" s="5">
        <f>IF(IFERROR(VALUE(SUBSTITUTE(SUBSTITUTE(TRIM('Sales_RAW(BEFORE)'!AG52), "%", ""), ",", ".")), 0) &gt; 1, IFERROR(VALUE(SUBSTITUTE(SUBSTITUTE(TRIM('Sales_RAW(BEFORE)'!AG52), "%", ""), ",", ".")), 0) / 100, IFERROR(VALUE(SUBSTITUTE(SUBSTITUTE(TRIM('Sales_RAW(BEFORE)'!AG52), "%", ""), ",", ".")), 0))</f>
        <v>0.08</v>
      </c>
      <c r="AJ51" s="6">
        <f t="shared" si="1"/>
        <v>2216.0783999999999</v>
      </c>
      <c r="AK51" s="6">
        <f t="shared" si="2"/>
        <v>29917.058399999998</v>
      </c>
      <c r="AL51" s="6">
        <f>IFERROR(VALUE(SUBSTITUTE(SUBSTITUTE(SUBSTITUTE('Sales_RAW(BEFORE)'!AJ52,"$",""),"USD",""),",",".")),0)</f>
        <v>35</v>
      </c>
      <c r="AM51" s="3" t="str">
        <f>SUBSTITUTE(SUBSTITUTE(PROPER('Sales_RAW(BEFORE)'!AK52), "Fed Ex", "FedEx"),"Fedex","FedEx")</f>
        <v>FedEx</v>
      </c>
      <c r="AN51" s="3" t="s">
        <v>1073</v>
      </c>
      <c r="AO51" s="3" t="str">
        <f>SUBSTITUTE('Sales_RAW(BEFORE)'!AM52,"kg","")</f>
        <v>11.51</v>
      </c>
      <c r="AP51" s="3" t="str">
        <f>_xlfn.LET(
  _xlpm.raw, UPPER(TRIM('Sales_RAW(BEFORE)'!AN52)),
  _xlpm.clean, RIGHT(_xlpm.raw, 1),
  IF(OR(_xlpm.raw="", _xlpm.raw="null"), "N/A", _xlpm.clean)
)</f>
        <v>A</v>
      </c>
      <c r="AQ51" s="3">
        <v>200</v>
      </c>
      <c r="AR51" s="3" cm="1">
        <f t="array" ref="AR51">_xlfn.LET(
  _xlpm.raw, LOWER(TRIM('Sales_RAW(BEFORE)'!AP52)),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51" s="3"/>
      <c r="AT51" s="3"/>
      <c r="AU51" s="3"/>
      <c r="AV51" s="8">
        <f>IF(IFERROR(VALUE(SUBSTITUTE(SUBSTITUTE(TRIM('Sales_RAW(BEFORE)'!AT52), "%", ""), ",", ".")), 0) &gt; 1, IFERROR(VALUE(SUBSTITUTE(SUBSTITUTE(TRIM('Sales_RAW(BEFORE)'!AT52), "%", ""), ",", ".")), 0) / 100, IFERROR(VALUE(SUBSTITUTE(SUBSTITUTE(TRIM('Sales_RAW(BEFORE)'!AT52), "%", ""), ",", ".")), 0))</f>
        <v>0.18</v>
      </c>
      <c r="AW51" s="6">
        <f>BA51*(_xlfn.XLOOKUP(N51,Employees!$A$2:$A$26,Employees!$E$2:$E$26,2))</f>
        <v>1196.6823360000001</v>
      </c>
      <c r="AX51" s="3" t="str">
        <f>PROPER('Sales_RAW(BEFORE)'!AV52)</f>
        <v xml:space="preserve">  Laura Johnson </v>
      </c>
      <c r="AY51" s="3" t="str">
        <f t="shared" si="3"/>
        <v xml:space="preserve">  Laura Johnson </v>
      </c>
      <c r="AZ51" s="3"/>
      <c r="BA51" s="24">
        <f>AK51*(1-(_xlfn.XLOOKUP(G51, Exchange_Rates!$B$8:$F$8, Exchange_Rates!$B$9:$F$9, 0)+J51))</f>
        <v>23933.646720000001</v>
      </c>
      <c r="BB51" s="7" cm="1">
        <f t="array" ref="BB51">_xlfn.LET(
  _xlpm.raw_dt, SUBSTITUTE(TRIM(C51), ".", "/"),
  _xlpm.dt, IFERROR(DATEVALUE(_xlpm.raw_dt), C51),
  _xlpm.p_code, TRIM(E51),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46194</v>
      </c>
      <c r="BC51" s="25">
        <f t="shared" si="4"/>
        <v>4308.0564095999998</v>
      </c>
    </row>
    <row r="52" spans="1:55" ht="15.75" thickBot="1" x14ac:dyDescent="0.3">
      <c r="A52" s="3" t="s">
        <v>1076</v>
      </c>
      <c r="B52" s="10">
        <v>46249</v>
      </c>
      <c r="C52" s="4">
        <v>46262</v>
      </c>
      <c r="D52" s="3" t="str">
        <f>"P-" &amp; TEXT(VALUE(SUBSTITUTE(SUBSTITUTE(SUBSTITUTE(UPPER(TRIM('Sales_RAW(BEFORE)'!D53)), "P", ""), "-", ""), "_", "")),"000")</f>
        <v>P-060</v>
      </c>
      <c r="E52" s="3" t="str">
        <f>VLOOKUP(D52,Product_List!$A$2:$B$61,2,FALSE)</f>
        <v>Desk Basic 60</v>
      </c>
      <c r="F52" s="3" t="str">
        <f>_xlfn.XLOOKUP(E52,Product_List!$B$2:$B$61,Product_List!$E$2:$E$61,2)</f>
        <v>Global Distrib</v>
      </c>
      <c r="G52" s="3" t="str">
        <f>VLOOKUP(E52,Product_List!$B$2:$C$61,2,FALSE)</f>
        <v>Electronics</v>
      </c>
      <c r="H52" s="3" t="str">
        <f>SUBSTITUTE(SUBSTITUTE('Sales_RAW(BEFORE)'!G53,"kom",""),".","")</f>
        <v>17</v>
      </c>
      <c r="I52" s="6">
        <f>VLOOKUP(E52,Product_List!$B$2:$D$61,3,FALSE)</f>
        <v>334.59</v>
      </c>
      <c r="J52" s="5">
        <f>IF(IFERROR(VALUE(SUBSTITUTE(SUBSTITUTE(TRIM('Sales_RAW(BEFORE)'!I53), "%", ""), ",", ".")), 0) &gt; 1, IFERROR(VALUE(SUBSTITUTE(SUBSTITUTE(TRIM('Sales_RAW(BEFORE)'!I53), "%", ""), ",", ".")), 0) / 100, IFERROR(VALUE(SUBSTITUTE(SUBSTITUTE(TRIM('Sales_RAW(BEFORE)'!I53), "%", ""), ",", ".")), 0))</f>
        <v>0</v>
      </c>
      <c r="K52" s="6">
        <f>(H52*I52)/(HLOOKUP(AE52,Exchange_Rates!$B$1:$M$2,2,FALSE))</f>
        <v>6169.2299349240775</v>
      </c>
      <c r="L52" s="6" t="str" cm="1">
        <f t="array" ref="L52">_xlfn.LET(
  _xlpm.valuta, UPPER(TRIM('Sales_RAW(BEFORE)'!K53)),
  _xlfn.IFS(
    _xlpm.valuta = "", "",
    OR(_xlpm.valuta = "USD", _xlpm.valuta = "$"), "$",
    OR(_xlpm.valuta = "EUR", _xlpm.valuta = "€"), "€",
    TRUE, _xlpm.valuta
  )
)</f>
        <v>€</v>
      </c>
      <c r="M52" s="3" t="str">
        <f>"E" &amp; TEXT(VALUE(SUBSTITUTE(SUBSTITUTE(SUBSTITUTE(UPPER(TRIM('Sales_RAW(BEFORE)'!L53)), "EMP", ""), "E", ""), "-", "")),"000")</f>
        <v>E018</v>
      </c>
      <c r="N52" s="3" t="str">
        <f>_xlfn.XLOOKUP(M52,Employees!$D$2:$D$26,Employees!$A$2:$A$26)</f>
        <v>John Miller</v>
      </c>
      <c r="O52" s="3" t="str">
        <f>_xlfn.XLOOKUP(N52,Employees!$A$2:$A$26,Employees!$C$2:$C$26,2)</f>
        <v>Retail</v>
      </c>
      <c r="P52" s="3" t="str">
        <f>PROPER('Sales_RAW(BEFORE)'!N53)</f>
        <v>West</v>
      </c>
      <c r="Q52" s="3" t="str">
        <f>VLOOKUP(N52,Employees!$A$2:$B$26,2,FALSE)</f>
        <v>Houston</v>
      </c>
      <c r="R52" s="3" t="str">
        <f>PROPER('Sales_RAW(BEFORE)'!P53)</f>
        <v xml:space="preserve"> Umbrella Inc.</v>
      </c>
      <c r="S52" s="3" t="str">
        <f>SUBSTITUTE(SUBSTITUTE('Sales_RAW(BEFORE)'!Q53,"EIN",""),":","")</f>
        <v xml:space="preserve"> 999035931</v>
      </c>
      <c r="T52" s="3" t="s">
        <v>665</v>
      </c>
      <c r="U52" s="3" t="s">
        <v>1084</v>
      </c>
      <c r="V52" s="3" t="s">
        <v>1085</v>
      </c>
      <c r="W52" s="3" t="s">
        <v>1086</v>
      </c>
      <c r="X52" s="3" t="s">
        <v>173</v>
      </c>
      <c r="Y52" s="3" t="str">
        <f>PROPER('Sales_RAW(BEFORE)'!W53)</f>
        <v>Credit Card</v>
      </c>
      <c r="Z52" s="3" t="str">
        <f>PROPER('Sales_RAW(BEFORE)'!X53)</f>
        <v>Processing</v>
      </c>
      <c r="AA52" s="3" t="str" cm="1">
        <f t="array" ref="AA52">_xlfn.LET(
  _xlpm.val, TRIM(LOWER('Sales_RAW(BEFORE)'!Y53)),
  _xlfn.IFS(
    OR(_xlpm.val="yes", _xlpm.val="paid"), "Paid",
    OR(_xlpm.val="no", _xlpm.val="unpaid"), "Unpaid",
    OR(_xlpm.val="partial", _xlpm.val="partial paid"), "Partial",
    _xlpm.val="", "",
    TRUE, 'Sales_RAW(BEFORE)'!AY53
  )
)</f>
        <v>Unpaid</v>
      </c>
      <c r="AB52" s="3" t="s">
        <v>1087</v>
      </c>
      <c r="AC52" s="3" t="str">
        <f>PROPER('Sales_RAW(BEFORE)'!AA53)</f>
        <v>Store</v>
      </c>
      <c r="AD52" s="3" t="str">
        <f>SUBSTITUTE(SUBSTITUTE(SUBSTITUTE(SUBSTITUTE('Sales_RAW(BEFORE)'!AB53,"st",""),"q",""),"Q",""),"uarter","")</f>
        <v xml:space="preserve">1 </v>
      </c>
      <c r="AE52" s="3" t="str">
        <f>TEXT(IFERROR(DATEVALUE('Sales_RAW(BEFORE)'!AC53 &amp; " 1"), IFERROR(DATE(2025, 'Sales_RAW(BEFORE)'!AC53, 1), 'Sales_RAW(BEFORE)'!AC53)), "mmmm")</f>
        <v>August</v>
      </c>
      <c r="AF52" s="3">
        <f>_xlfn.LET(
  _xlpm.raw, TRIM(SUBSTITUTE('Sales_RAW(BEFORE)'!AD53, "'", "")),
  _xlpm.num, IFERROR(VALUE(_xlpm.raw), 0),
  IF(_xlpm.num &lt; 100, 2000 + _xlpm.num, _xlpm.num)
)</f>
        <v>2026</v>
      </c>
      <c r="AG52" s="3" t="str">
        <f>PROPER('Sales_RAW(BEFORE)'!AE53)</f>
        <v>Immediate</v>
      </c>
      <c r="AH52" s="3" cm="1">
        <f t="array" ref="AH52">_xlfn.LET(
  _xlpm.val, LOWER(TRIM('Sales_RAW(BEFORE)'!AF53)),
  _xlfn.IFS(
    OR(_xlpm.val="", _xlpm.val="null", _xlpm.val="N/A", _xlpm.val="-", _xlpm.val="#N/A"), 0,
    ISNUMBER('Sales_RAW(BEFORE)'!AF53), 'Sales_RAW(BEFORE)'!AF53,
    TRUE, IFERROR(_xlfn.NUMBERVALUE(_xlpm.val), 0)
  )
)</f>
        <v>77</v>
      </c>
      <c r="AI52" s="5">
        <f>IF(IFERROR(VALUE(SUBSTITUTE(SUBSTITUTE(TRIM('Sales_RAW(BEFORE)'!AG53), "%", ""), ",", ".")), 0) &gt; 1, IFERROR(VALUE(SUBSTITUTE(SUBSTITUTE(TRIM('Sales_RAW(BEFORE)'!AG53), "%", ""), ",", ".")), 0) / 100, IFERROR(VALUE(SUBSTITUTE(SUBSTITUTE(TRIM('Sales_RAW(BEFORE)'!AG53), "%", ""), ",", ".")), 0))</f>
        <v>0.08</v>
      </c>
      <c r="AJ52" s="6">
        <f t="shared" si="1"/>
        <v>493.53839479392622</v>
      </c>
      <c r="AK52" s="6">
        <f t="shared" si="2"/>
        <v>6662.7683297180038</v>
      </c>
      <c r="AL52" s="6">
        <f>IFERROR(VALUE(SUBSTITUTE(SUBSTITUTE(SUBSTITUTE('Sales_RAW(BEFORE)'!AJ53,"$",""),"USD",""),",",".")),0)</f>
        <v>38.44</v>
      </c>
      <c r="AM52" s="3" t="str">
        <f>SUBSTITUTE(SUBSTITUTE(PROPER('Sales_RAW(BEFORE)'!AK53), "Fed Ex", "FedEx"),"Fedex","FedEx")</f>
        <v>FedEx</v>
      </c>
      <c r="AN52" s="3" t="s">
        <v>1089</v>
      </c>
      <c r="AO52" s="3" t="str">
        <f>SUBSTITUTE('Sales_RAW(BEFORE)'!AM53,"kg","")</f>
        <v xml:space="preserve">18.0 </v>
      </c>
      <c r="AP52" s="3" t="str">
        <f>_xlfn.LET(
  _xlpm.raw, UPPER(TRIM('Sales_RAW(BEFORE)'!AN53)),
  _xlpm.clean, RIGHT(_xlpm.raw, 1),
  IF(OR(_xlpm.raw="", _xlpm.raw="null"), "N/A", _xlpm.clean)
)</f>
        <v>B</v>
      </c>
      <c r="AQ52" s="3">
        <v>472</v>
      </c>
      <c r="AR52" s="3" cm="1">
        <f t="array" ref="AR52">_xlfn.LET(
  _xlpm.raw, LOWER(TRIM('Sales_RAW(BEFORE)'!AP53)),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52" s="3"/>
      <c r="AT52" s="3"/>
      <c r="AU52" s="3"/>
      <c r="AV52" s="8">
        <f>IF(IFERROR(VALUE(SUBSTITUTE(SUBSTITUTE(TRIM('Sales_RAW(BEFORE)'!AT53), "%", ""), ",", ".")), 0) &gt; 1, IFERROR(VALUE(SUBSTITUTE(SUBSTITUTE(TRIM('Sales_RAW(BEFORE)'!AT53), "%", ""), ",", ".")), 0) / 100, IFERROR(VALUE(SUBSTITUTE(SUBSTITUTE(TRIM('Sales_RAW(BEFORE)'!AT53), "%", ""), ",", ".")), 0))</f>
        <v>0.25</v>
      </c>
      <c r="AW52" s="6">
        <f>BA52*(_xlfn.XLOOKUP(N52,Employees!$A$2:$A$26,Employees!$E$2:$E$26,2))</f>
        <v>119.92982993492407</v>
      </c>
      <c r="AX52" s="3" t="str">
        <f>PROPER('Sales_RAW(BEFORE)'!AV53)</f>
        <v xml:space="preserve">  John Williams</v>
      </c>
      <c r="AY52" s="3" t="str">
        <f t="shared" si="3"/>
        <v xml:space="preserve">  John Williams</v>
      </c>
      <c r="AZ52" s="3"/>
      <c r="BA52" s="24">
        <f>AK52*(1-(_xlfn.XLOOKUP(G52, Exchange_Rates!$B$8:$F$8, Exchange_Rates!$B$9:$F$9, 0)+J52))</f>
        <v>5996.4914967462037</v>
      </c>
      <c r="BB52" s="7" cm="1">
        <f t="array" ref="BB52">_xlfn.LET(
  _xlpm.raw_dt, SUBSTITUTE(TRIM(C52), ".", "/"),
  _xlpm.dt, IFERROR(DATEVALUE(_xlpm.raw_dt), C52),
  _xlpm.p_code, TRIM(E52),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47358</v>
      </c>
      <c r="BC52" s="25">
        <f t="shared" si="4"/>
        <v>1499.1228741865509</v>
      </c>
    </row>
    <row r="53" spans="1:55" ht="15.75" thickBot="1" x14ac:dyDescent="0.3">
      <c r="A53" s="3" t="s">
        <v>1092</v>
      </c>
      <c r="B53" s="10">
        <v>46110</v>
      </c>
      <c r="C53" s="4">
        <v>46116</v>
      </c>
      <c r="D53" s="3" t="str">
        <f>"P-" &amp; TEXT(VALUE(SUBSTITUTE(SUBSTITUTE(SUBSTITUTE(UPPER(TRIM('Sales_RAW(BEFORE)'!D54)), "P", ""), "-", ""), "_", "")),"000")</f>
        <v>P-040</v>
      </c>
      <c r="E53" s="3" t="str">
        <f>VLOOKUP(D53,Product_List!$A$2:$B$61,2,FALSE)</f>
        <v>Monitor Plus 40</v>
      </c>
      <c r="F53" s="3" t="str">
        <f>_xlfn.XLOOKUP(E53,Product_List!$B$2:$B$61,Product_List!$E$2:$E$61,2)</f>
        <v>TechSupply Co</v>
      </c>
      <c r="G53" s="3" t="str">
        <f>VLOOKUP(E53,Product_List!$B$2:$C$61,2,FALSE)</f>
        <v>Software</v>
      </c>
      <c r="H53" s="3" t="str">
        <f>SUBSTITUTE(SUBSTITUTE('Sales_RAW(BEFORE)'!G54,"kom",""),".","")</f>
        <v>9</v>
      </c>
      <c r="I53" s="6">
        <f>VLOOKUP(E53,Product_List!$B$2:$D$61,3,FALSE)</f>
        <v>98.06</v>
      </c>
      <c r="J53" s="5">
        <f>IF(IFERROR(VALUE(SUBSTITUTE(SUBSTITUTE(TRIM('Sales_RAW(BEFORE)'!I54), "%", ""), ",", ".")), 0) &gt; 1, IFERROR(VALUE(SUBSTITUTE(SUBSTITUTE(TRIM('Sales_RAW(BEFORE)'!I54), "%", ""), ",", ".")), 0) / 100, IFERROR(VALUE(SUBSTITUTE(SUBSTITUTE(TRIM('Sales_RAW(BEFORE)'!I54), "%", ""), ",", ".")), 0))</f>
        <v>0.1</v>
      </c>
      <c r="K53" s="6">
        <f t="shared" si="0"/>
        <v>882.54</v>
      </c>
      <c r="L53" s="6" t="str" cm="1">
        <f t="array" ref="L53">_xlfn.LET(
  _xlpm.valuta, UPPER(TRIM('Sales_RAW(BEFORE)'!K54)),
  _xlfn.IFS(
    _xlpm.valuta = "", "",
    OR(_xlpm.valuta = "USD", _xlpm.valuta = "$"), "$",
    OR(_xlpm.valuta = "EUR", _xlpm.valuta = "€"), "€",
    TRUE, _xlpm.valuta
  )
)</f>
        <v>$</v>
      </c>
      <c r="M53" s="3" t="str">
        <f>"E" &amp; TEXT(VALUE(SUBSTITUTE(SUBSTITUTE(SUBSTITUTE(UPPER(TRIM('Sales_RAW(BEFORE)'!L54)), "EMP", ""), "E", ""), "-", "")),"000")</f>
        <v>E010</v>
      </c>
      <c r="N53" s="3" t="str">
        <f>_xlfn.XLOOKUP(M53,Employees!$D$2:$D$26,Employees!$A$2:$A$26)</f>
        <v>Olivia Anderson</v>
      </c>
      <c r="O53" s="3" t="str">
        <f>_xlfn.XLOOKUP(N53,Employees!$A$2:$A$26,Employees!$C$2:$C$26,2)</f>
        <v>Online</v>
      </c>
      <c r="P53" s="3" t="str">
        <f>PROPER('Sales_RAW(BEFORE)'!N54)</f>
        <v>North</v>
      </c>
      <c r="Q53" s="3" t="str">
        <f>VLOOKUP(N53,Employees!$A$2:$B$26,2,FALSE)</f>
        <v>Houston</v>
      </c>
      <c r="R53" s="3" t="str">
        <f>PROPER('Sales_RAW(BEFORE)'!P54)</f>
        <v>Vortex Inc</v>
      </c>
      <c r="S53" s="3" t="str">
        <f>SUBSTITUTE(SUBSTITUTE('Sales_RAW(BEFORE)'!Q54,"EIN",""),":","")</f>
        <v xml:space="preserve"> 461801009</v>
      </c>
      <c r="T53" s="3" t="s">
        <v>420</v>
      </c>
      <c r="U53" s="3" t="s">
        <v>1103</v>
      </c>
      <c r="V53" s="3" t="s">
        <v>1104</v>
      </c>
      <c r="W53" s="3" t="s">
        <v>1105</v>
      </c>
      <c r="X53" s="3" t="s">
        <v>173</v>
      </c>
      <c r="Y53" s="3" t="str">
        <f>PROPER('Sales_RAW(BEFORE)'!W54)</f>
        <v>Paypal</v>
      </c>
      <c r="Z53" s="3" t="str">
        <f>PROPER('Sales_RAW(BEFORE)'!X54)</f>
        <v>Processing</v>
      </c>
      <c r="AA53" s="3" t="str" cm="1">
        <f t="array" ref="AA53">_xlfn.LET(
  _xlpm.val, TRIM(LOWER('Sales_RAW(BEFORE)'!Y54)),
  _xlfn.IFS(
    OR(_xlpm.val="yes", _xlpm.val="paid"), "Paid",
    OR(_xlpm.val="no", _xlpm.val="unpaid"), "Unpaid",
    OR(_xlpm.val="partial", _xlpm.val="partial paid"), "Partial",
    _xlpm.val="", "",
    TRUE, 'Sales_RAW(BEFORE)'!AY54
  )
)</f>
        <v>Partial</v>
      </c>
      <c r="AB53" s="3" t="s">
        <v>1106</v>
      </c>
      <c r="AC53" s="3" t="str">
        <f>PROPER('Sales_RAW(BEFORE)'!AA54)</f>
        <v>Online</v>
      </c>
      <c r="AD53" s="3" t="str">
        <f>SUBSTITUTE(SUBSTITUTE(SUBSTITUTE(SUBSTITUTE('Sales_RAW(BEFORE)'!AB54,"st",""),"q",""),"Q",""),"uarter","")</f>
        <v>1</v>
      </c>
      <c r="AE53" s="3" t="str">
        <f>TEXT(IFERROR(DATEVALUE('Sales_RAW(BEFORE)'!AC54 &amp; " 1"), IFERROR(DATE(2025, 'Sales_RAW(BEFORE)'!AC54, 1), 'Sales_RAW(BEFORE)'!AC54)), "mmmm")</f>
        <v>March</v>
      </c>
      <c r="AF53" s="3">
        <f>_xlfn.LET(
  _xlpm.raw, TRIM(SUBSTITUTE('Sales_RAW(BEFORE)'!AD54, "'", "")),
  _xlpm.num, IFERROR(VALUE(_xlpm.raw), 0),
  IF(_xlpm.num &lt; 100, 2000 + _xlpm.num, _xlpm.num)
)</f>
        <v>2026</v>
      </c>
      <c r="AG53" s="3" t="str">
        <f>PROPER('Sales_RAW(BEFORE)'!AE54)</f>
        <v>15</v>
      </c>
      <c r="AH53" s="3" cm="1">
        <f t="array" ref="AH53">_xlfn.LET(
  _xlpm.val, LOWER(TRIM('Sales_RAW(BEFORE)'!AF54)),
  _xlfn.IFS(
    OR(_xlpm.val="", _xlpm.val="null", _xlpm.val="N/A", _xlpm.val="-", _xlpm.val="#N/A"), 0,
    ISNUMBER('Sales_RAW(BEFORE)'!AF54), 'Sales_RAW(BEFORE)'!AF54,
    TRUE, IFERROR(_xlfn.NUMBERVALUE(_xlpm.val), 0)
  )
)</f>
        <v>88</v>
      </c>
      <c r="AI53" s="5">
        <f>IF(IFERROR(VALUE(SUBSTITUTE(SUBSTITUTE(TRIM('Sales_RAW(BEFORE)'!AG54), "%", ""), ",", ".")), 0) &gt; 1, IFERROR(VALUE(SUBSTITUTE(SUBSTITUTE(TRIM('Sales_RAW(BEFORE)'!AG54), "%", ""), ",", ".")), 0) / 100, IFERROR(VALUE(SUBSTITUTE(SUBSTITUTE(TRIM('Sales_RAW(BEFORE)'!AG54), "%", ""), ",", ".")), 0))</f>
        <v>0.08</v>
      </c>
      <c r="AJ53" s="6">
        <f t="shared" si="1"/>
        <v>70.603200000000001</v>
      </c>
      <c r="AK53" s="6">
        <f t="shared" si="2"/>
        <v>953.14319999999998</v>
      </c>
      <c r="AL53" s="6">
        <f>IFERROR(VALUE(SUBSTITUTE(SUBSTITUTE(SUBSTITUTE('Sales_RAW(BEFORE)'!AJ54,"$",""),"USD",""),",",".")),0)</f>
        <v>37.659999999999997</v>
      </c>
      <c r="AM53" s="3" t="str">
        <f>SUBSTITUTE(SUBSTITUTE(PROPER('Sales_RAW(BEFORE)'!AK54), "Fed Ex", "FedEx"),"Fedex","FedEx")</f>
        <v>FedEx</v>
      </c>
      <c r="AN53" s="3" t="s">
        <v>1109</v>
      </c>
      <c r="AO53" s="3" t="str">
        <f>SUBSTITUTE('Sales_RAW(BEFORE)'!AM54,"kg","")</f>
        <v>18,59</v>
      </c>
      <c r="AP53" s="3" t="str">
        <f>_xlfn.LET(
  _xlpm.raw, UPPER(TRIM('Sales_RAW(BEFORE)'!AN54)),
  _xlpm.clean, RIGHT(_xlpm.raw, 1),
  IF(OR(_xlpm.raw="", _xlpm.raw="null"), "N/A", _xlpm.clean)
)</f>
        <v>C</v>
      </c>
      <c r="AQ53" s="3">
        <v>72</v>
      </c>
      <c r="AR53" s="3" cm="1">
        <f t="array" ref="AR53">_xlfn.LET(
  _xlpm.raw, LOWER(TRIM('Sales_RAW(BEFORE)'!AP54)),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53" s="3"/>
      <c r="AT53" s="3"/>
      <c r="AU53" s="3"/>
      <c r="AV53" s="8">
        <f>IF(IFERROR(VALUE(SUBSTITUTE(SUBSTITUTE(TRIM('Sales_RAW(BEFORE)'!AT54), "%", ""), ",", ".")), 0) &gt; 1, IFERROR(VALUE(SUBSTITUTE(SUBSTITUTE(TRIM('Sales_RAW(BEFORE)'!AT54), "%", ""), ",", ".")), 0) / 100, IFERROR(VALUE(SUBSTITUTE(SUBSTITUTE(TRIM('Sales_RAW(BEFORE)'!AT54), "%", ""), ",", ".")), 0))</f>
        <v>0.25</v>
      </c>
      <c r="AW53" s="6">
        <f>BA53*(_xlfn.XLOOKUP(N53,Employees!$A$2:$A$26,Employees!$E$2:$E$26,2))</f>
        <v>21.445722</v>
      </c>
      <c r="AX53" s="3" t="str">
        <f>PROPER('Sales_RAW(BEFORE)'!AV54)</f>
        <v xml:space="preserve"> David Jones </v>
      </c>
      <c r="AY53" s="3" t="str">
        <f t="shared" si="3"/>
        <v xml:space="preserve"> David Jones </v>
      </c>
      <c r="AZ53" s="3"/>
      <c r="BA53" s="24">
        <f>AK53*(1-(_xlfn.XLOOKUP(G53, Exchange_Rates!$B$8:$F$8, Exchange_Rates!$B$9:$F$9, 0)+J53))</f>
        <v>714.85739999999998</v>
      </c>
      <c r="BB53" s="7" cm="1">
        <f t="array" ref="BB53">_xlfn.LET(
  _xlpm.raw_dt, SUBSTITUTE(TRIM(C53), ".", "/"),
  _xlpm.dt, IFERROR(DATEVALUE(_xlpm.raw_dt), C53),
  _xlpm.p_code, TRIM(E53),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46847</v>
      </c>
      <c r="BC53" s="25">
        <f t="shared" si="4"/>
        <v>178.71435</v>
      </c>
    </row>
    <row r="54" spans="1:55" ht="15.75" thickBot="1" x14ac:dyDescent="0.3">
      <c r="A54" s="3" t="s">
        <v>1114</v>
      </c>
      <c r="B54" s="10">
        <f>DATE(2026,4,6)</f>
        <v>46118</v>
      </c>
      <c r="C54" s="4">
        <v>46130</v>
      </c>
      <c r="D54" s="3" t="str">
        <f>"P-" &amp; TEXT(VALUE(SUBSTITUTE(SUBSTITUTE(SUBSTITUTE(UPPER(TRIM('Sales_RAW(BEFORE)'!D55)), "P", ""), "-", ""), "_", "")),"000")</f>
        <v>P-045</v>
      </c>
      <c r="E54" s="3" t="str">
        <f>VLOOKUP(D54,Product_List!$A$2:$B$61,2,FALSE)</f>
        <v>Keyboard Max 45</v>
      </c>
      <c r="F54" s="3" t="str">
        <f>_xlfn.XLOOKUP(E54,Product_List!$B$2:$B$61,Product_List!$E$2:$E$61,2)</f>
        <v>TechSupply Co</v>
      </c>
      <c r="G54" s="3" t="str">
        <f>VLOOKUP(E54,Product_List!$B$2:$C$61,2,FALSE)</f>
        <v>Software</v>
      </c>
      <c r="H54" s="3" t="str">
        <f>SUBSTITUTE(SUBSTITUTE('Sales_RAW(BEFORE)'!G55,"kom",""),".","")</f>
        <v xml:space="preserve">7 </v>
      </c>
      <c r="I54" s="6">
        <f>VLOOKUP(E54,Product_List!$B$2:$D$61,3,FALSE)</f>
        <v>227.08</v>
      </c>
      <c r="J54" s="5">
        <f>IF(IFERROR(VALUE(SUBSTITUTE(SUBSTITUTE(TRIM('Sales_RAW(BEFORE)'!I55), "%", ""), ",", ".")), 0) &gt; 1, IFERROR(VALUE(SUBSTITUTE(SUBSTITUTE(TRIM('Sales_RAW(BEFORE)'!I55), "%", ""), ",", ".")), 0) / 100, IFERROR(VALUE(SUBSTITUTE(SUBSTITUTE(TRIM('Sales_RAW(BEFORE)'!I55), "%", ""), ",", ".")), 0))</f>
        <v>0</v>
      </c>
      <c r="K54" s="6">
        <f t="shared" si="0"/>
        <v>1589.5600000000002</v>
      </c>
      <c r="L54" s="6" t="str" cm="1">
        <f t="array" ref="L54">_xlfn.LET(
  _xlpm.valuta, UPPER(TRIM('Sales_RAW(BEFORE)'!K55)),
  _xlfn.IFS(
    _xlpm.valuta = "", "",
    OR(_xlpm.valuta = "USD", _xlpm.valuta = "$"), "$",
    OR(_xlpm.valuta = "EUR", _xlpm.valuta = "€"), "€",
    TRUE, _xlpm.valuta
  )
)</f>
        <v>$</v>
      </c>
      <c r="M54" s="3" t="str">
        <f>"E" &amp; TEXT(VALUE(SUBSTITUTE(SUBSTITUTE(SUBSTITUTE(UPPER(TRIM('Sales_RAW(BEFORE)'!L55)), "EMP", ""), "E", ""), "-", "")),"000")</f>
        <v>E009</v>
      </c>
      <c r="N54" s="3" t="str">
        <f>_xlfn.XLOOKUP(M54,Employees!$D$2:$D$26,Employees!$A$2:$A$26)</f>
        <v>Olivia Wilson</v>
      </c>
      <c r="O54" s="3" t="str">
        <f>_xlfn.XLOOKUP(N54,Employees!$A$2:$A$26,Employees!$C$2:$C$26,2)</f>
        <v>Wholesale</v>
      </c>
      <c r="P54" s="3" t="str">
        <f>PROPER('Sales_RAW(BEFORE)'!N55)</f>
        <v>South</v>
      </c>
      <c r="Q54" s="3" t="str">
        <f>VLOOKUP(N54,Employees!$A$2:$B$26,2,FALSE)</f>
        <v>Miami</v>
      </c>
      <c r="R54" s="3" t="str">
        <f>PROPER('Sales_RAW(BEFORE)'!P55)</f>
        <v xml:space="preserve"> Umbrella Llc</v>
      </c>
      <c r="S54" s="3" t="str">
        <f>SUBSTITUTE(SUBSTITUTE('Sales_RAW(BEFORE)'!Q55,"EIN",""),":","")</f>
        <v>800324313</v>
      </c>
      <c r="T54" s="3" t="s">
        <v>420</v>
      </c>
      <c r="U54" s="3" t="s">
        <v>1125</v>
      </c>
      <c r="V54" s="3" t="s">
        <v>1126</v>
      </c>
      <c r="W54" s="3" t="s">
        <v>1127</v>
      </c>
      <c r="X54" s="3" t="s">
        <v>173</v>
      </c>
      <c r="Y54" s="3" t="str">
        <f>PROPER('Sales_RAW(BEFORE)'!W55)</f>
        <v>Credit Card</v>
      </c>
      <c r="Z54" s="3" t="str">
        <f>PROPER('Sales_RAW(BEFORE)'!X55)</f>
        <v>Delivered</v>
      </c>
      <c r="AA54" s="3" t="str" cm="1">
        <f t="array" ref="AA54">_xlfn.LET(
  _xlpm.val, TRIM(LOWER('Sales_RAW(BEFORE)'!Y55)),
  _xlfn.IFS(
    OR(_xlpm.val="yes", _xlpm.val="paid"), "Paid",
    OR(_xlpm.val="no", _xlpm.val="unpaid"), "Unpaid",
    OR(_xlpm.val="partial", _xlpm.val="partial paid"), "Partial",
    _xlpm.val="", "",
    TRUE, 'Sales_RAW(BEFORE)'!AY55
  )
)</f>
        <v>Unpaid</v>
      </c>
      <c r="AB54" s="3" t="s">
        <v>1128</v>
      </c>
      <c r="AC54" s="3" t="str">
        <f>PROPER('Sales_RAW(BEFORE)'!AA55)</f>
        <v>Phone</v>
      </c>
      <c r="AD54" s="3" t="str">
        <f>SUBSTITUTE(SUBSTITUTE(SUBSTITUTE(SUBSTITUTE('Sales_RAW(BEFORE)'!AB55,"st",""),"q",""),"Q",""),"uarter","")</f>
        <v>1</v>
      </c>
      <c r="AE54" s="3" t="str">
        <f>TEXT(IFERROR(DATEVALUE('Sales_RAW(BEFORE)'!AC55 &amp; " 1"), IFERROR(DATE(2025, 'Sales_RAW(BEFORE)'!AC55, 1), 'Sales_RAW(BEFORE)'!AC55)), "mmmm")</f>
        <v>April</v>
      </c>
      <c r="AF54" s="3">
        <f>_xlfn.LET(
  _xlpm.raw, TRIM(SUBSTITUTE('Sales_RAW(BEFORE)'!AD55, "'", "")),
  _xlpm.num, IFERROR(VALUE(_xlpm.raw), 0),
  IF(_xlpm.num &lt; 100, 2000 + _xlpm.num, _xlpm.num)
)</f>
        <v>2026</v>
      </c>
      <c r="AG54" s="3" t="str">
        <f>PROPER('Sales_RAW(BEFORE)'!AE55)</f>
        <v>15</v>
      </c>
      <c r="AH54" s="3" cm="1">
        <f t="array" ref="AH54">_xlfn.LET(
  _xlpm.val, LOWER(TRIM('Sales_RAW(BEFORE)'!AF55)),
  _xlfn.IFS(
    OR(_xlpm.val="", _xlpm.val="null", _xlpm.val="N/A", _xlpm.val="-", _xlpm.val="#N/A"), 0,
    ISNUMBER('Sales_RAW(BEFORE)'!AF55), 'Sales_RAW(BEFORE)'!AF55,
    TRUE, IFERROR(_xlfn.NUMBERVALUE(_xlpm.val), 0)
  )
)</f>
        <v>28</v>
      </c>
      <c r="AI54" s="5">
        <f>IF(IFERROR(VALUE(SUBSTITUTE(SUBSTITUTE(TRIM('Sales_RAW(BEFORE)'!AG55), "%", ""), ",", ".")), 0) &gt; 1, IFERROR(VALUE(SUBSTITUTE(SUBSTITUTE(TRIM('Sales_RAW(BEFORE)'!AG55), "%", ""), ",", ".")), 0) / 100, IFERROR(VALUE(SUBSTITUTE(SUBSTITUTE(TRIM('Sales_RAW(BEFORE)'!AG55), "%", ""), ",", ".")), 0))</f>
        <v>0.08</v>
      </c>
      <c r="AJ54" s="6">
        <f t="shared" si="1"/>
        <v>127.16480000000001</v>
      </c>
      <c r="AK54" s="6">
        <f t="shared" si="2"/>
        <v>1716.7248000000002</v>
      </c>
      <c r="AL54" s="6">
        <f>IFERROR(VALUE(SUBSTITUTE(SUBSTITUTE(SUBSTITUTE('Sales_RAW(BEFORE)'!AJ55,"$",""),"USD",""),",",".")),0)</f>
        <v>12</v>
      </c>
      <c r="AM54" s="3" t="str">
        <f>SUBSTITUTE(SUBSTITUTE(PROPER('Sales_RAW(BEFORE)'!AK55), "Fed Ex", "FedEx"),"Fedex","FedEx")</f>
        <v>FedEx</v>
      </c>
      <c r="AN54" s="3" t="s">
        <v>1130</v>
      </c>
      <c r="AO54" s="3" t="str">
        <f>SUBSTITUTE('Sales_RAW(BEFORE)'!AM55,"kg","")</f>
        <v>19.94</v>
      </c>
      <c r="AP54" s="3" t="str">
        <f>_xlfn.LET(
  _xlpm.raw, UPPER(TRIM('Sales_RAW(BEFORE)'!AN55)),
  _xlpm.clean, RIGHT(_xlpm.raw, 1),
  IF(OR(_xlpm.raw="", _xlpm.raw="null"), "N/A", _xlpm.clean)
)</f>
        <v>B</v>
      </c>
      <c r="AQ54" s="3">
        <v>224</v>
      </c>
      <c r="AR54" s="3" cm="1">
        <f t="array" ref="AR54">_xlfn.LET(
  _xlpm.raw, LOWER(TRIM('Sales_RAW(BEFORE)'!AP55)),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54" s="3"/>
      <c r="AT54" s="3"/>
      <c r="AU54" s="3"/>
      <c r="AV54" s="8">
        <f>IF(IFERROR(VALUE(SUBSTITUTE(SUBSTITUTE(TRIM('Sales_RAW(BEFORE)'!AT55), "%", ""), ",", ".")), 0) &gt; 1, IFERROR(VALUE(SUBSTITUTE(SUBSTITUTE(TRIM('Sales_RAW(BEFORE)'!AT55), "%", ""), ",", ".")), 0) / 100, IFERROR(VALUE(SUBSTITUTE(SUBSTITUTE(TRIM('Sales_RAW(BEFORE)'!AT55), "%", ""), ",", ".")), 0))</f>
        <v>0.25</v>
      </c>
      <c r="AW54" s="6">
        <f>BA54*(_xlfn.XLOOKUP(N54,Employees!$A$2:$A$26,Employees!$E$2:$E$26,2))</f>
        <v>43.776482400000006</v>
      </c>
      <c r="AX54" s="3" t="str">
        <f>PROPER('Sales_RAW(BEFORE)'!AV55)</f>
        <v>David Jones</v>
      </c>
      <c r="AY54" s="3" t="str">
        <f t="shared" si="3"/>
        <v>David Jones</v>
      </c>
      <c r="AZ54" s="3"/>
      <c r="BA54" s="24">
        <f>AK54*(1-(_xlfn.XLOOKUP(G54, Exchange_Rates!$B$8:$F$8, Exchange_Rates!$B$9:$F$9, 0)+J54))</f>
        <v>1459.2160800000001</v>
      </c>
      <c r="BB54" s="7" cm="1">
        <f t="array" ref="BB54">_xlfn.LET(
  _xlpm.raw_dt, SUBSTITUTE(TRIM(C54), ".", "/"),
  _xlpm.dt, IFERROR(DATEVALUE(_xlpm.raw_dt), C54),
  _xlpm.p_code, TRIM(E54),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47226</v>
      </c>
      <c r="BC54" s="25">
        <f t="shared" si="4"/>
        <v>364.80402000000004</v>
      </c>
    </row>
    <row r="55" spans="1:55" ht="15.75" thickBot="1" x14ac:dyDescent="0.3">
      <c r="A55" s="3" t="s">
        <v>1132</v>
      </c>
      <c r="B55" s="10">
        <v>45930</v>
      </c>
      <c r="C55" s="4">
        <v>45932</v>
      </c>
      <c r="D55" s="3" t="str">
        <f>"P-" &amp; TEXT(VALUE(SUBSTITUTE(SUBSTITUTE(SUBSTITUTE(UPPER(TRIM('Sales_RAW(BEFORE)'!D56)), "P", ""), "-", ""), "_", "")),"000")</f>
        <v>P-013</v>
      </c>
      <c r="E55" s="3" t="str">
        <f>VLOOKUP(D55,Product_List!$A$2:$B$61,2,FALSE)</f>
        <v>Monitor Max 13</v>
      </c>
      <c r="F55" s="3" t="str">
        <f>_xlfn.XLOOKUP(E55,Product_List!$B$2:$B$61,Product_List!$E$2:$E$61,2)</f>
        <v>OfficeHub</v>
      </c>
      <c r="G55" s="3" t="str">
        <f>VLOOKUP(E55,Product_List!$B$2:$C$61,2,FALSE)</f>
        <v>Electronics</v>
      </c>
      <c r="H55" s="3" t="str">
        <f>SUBSTITUTE(SUBSTITUTE('Sales_RAW(BEFORE)'!G56,"kom",""),".","")</f>
        <v>29</v>
      </c>
      <c r="I55" s="6">
        <f>VLOOKUP(E55,Product_List!$B$2:$D$61,3,FALSE)</f>
        <v>930.42</v>
      </c>
      <c r="J55" s="5">
        <f>IF(IFERROR(VALUE(SUBSTITUTE(SUBSTITUTE(TRIM('Sales_RAW(BEFORE)'!I56), "%", ""), ",", ".")), 0) &gt; 1, IFERROR(VALUE(SUBSTITUTE(SUBSTITUTE(TRIM('Sales_RAW(BEFORE)'!I56), "%", ""), ",", ".")), 0) / 100, IFERROR(VALUE(SUBSTITUTE(SUBSTITUTE(TRIM('Sales_RAW(BEFORE)'!I56), "%", ""), ",", ".")), 0))</f>
        <v>0.1</v>
      </c>
      <c r="K55" s="6">
        <f t="shared" si="0"/>
        <v>26982.18</v>
      </c>
      <c r="L55" s="6" t="str" cm="1">
        <f t="array" ref="L55">_xlfn.LET(
  _xlpm.valuta, UPPER(TRIM('Sales_RAW(BEFORE)'!K56)),
  _xlfn.IFS(
    _xlpm.valuta = "", "",
    OR(_xlpm.valuta = "USD", _xlpm.valuta = "$"), "$",
    OR(_xlpm.valuta = "EUR", _xlpm.valuta = "€"), "€",
    TRUE, _xlpm.valuta
  )
)</f>
        <v>$</v>
      </c>
      <c r="M55" s="3" t="str">
        <f>"E" &amp; TEXT(VALUE(SUBSTITUTE(SUBSTITUTE(SUBSTITUTE(UPPER(TRIM('Sales_RAW(BEFORE)'!L56)), "EMP", ""), "E", ""), "-", "")),"000")</f>
        <v>E003</v>
      </c>
      <c r="N55" s="3" t="str">
        <f>_xlfn.XLOOKUP(M55,Employees!$D$2:$D$26,Employees!$A$2:$A$26)</f>
        <v>Laura Miller</v>
      </c>
      <c r="O55" s="3" t="str">
        <f>_xlfn.XLOOKUP(N55,Employees!$A$2:$A$26,Employees!$C$2:$C$26,2)</f>
        <v>Sales</v>
      </c>
      <c r="P55" s="3" t="str">
        <f>PROPER('Sales_RAW(BEFORE)'!N56)</f>
        <v>West</v>
      </c>
      <c r="Q55" s="3" t="str">
        <f>VLOOKUP(N55,Employees!$A$2:$B$26,2,FALSE)</f>
        <v>Miami</v>
      </c>
      <c r="R55" s="3" t="str">
        <f>PROPER('Sales_RAW(BEFORE)'!P56)</f>
        <v>Initech Ltd.</v>
      </c>
      <c r="S55" s="3" t="str">
        <f>SUBSTITUTE(SUBSTITUTE('Sales_RAW(BEFORE)'!Q56,"EIN",""),":","")</f>
        <v>376295913</v>
      </c>
      <c r="T55" s="3" t="s">
        <v>201</v>
      </c>
      <c r="U55" s="3" t="s">
        <v>1143</v>
      </c>
      <c r="V55" s="3" t="s">
        <v>1144</v>
      </c>
      <c r="W55" s="3" t="s">
        <v>1145</v>
      </c>
      <c r="X55" s="3" t="s">
        <v>173</v>
      </c>
      <c r="Y55" s="3" t="str">
        <f>PROPER('Sales_RAW(BEFORE)'!W56)</f>
        <v>Cash</v>
      </c>
      <c r="Z55" s="3" t="str">
        <f>PROPER('Sales_RAW(BEFORE)'!X56)</f>
        <v>Pending</v>
      </c>
      <c r="AA55" s="3" t="str" cm="1">
        <f t="array" ref="AA55">_xlfn.LET(
  _xlpm.val, TRIM(LOWER('Sales_RAW(BEFORE)'!Y56)),
  _xlfn.IFS(
    OR(_xlpm.val="yes", _xlpm.val="paid"), "Paid",
    OR(_xlpm.val="no", _xlpm.val="unpaid"), "Unpaid",
    OR(_xlpm.val="partial", _xlpm.val="partial paid"), "Partial",
    _xlpm.val="", "",
    TRUE, 'Sales_RAW(BEFORE)'!AY56
  )
)</f>
        <v>Paid</v>
      </c>
      <c r="AB55" s="3" t="s">
        <v>1146</v>
      </c>
      <c r="AC55" s="3" t="str">
        <f>PROPER('Sales_RAW(BEFORE)'!AA56)</f>
        <v>Store</v>
      </c>
      <c r="AD55" s="3" t="str">
        <f>SUBSTITUTE(SUBSTITUTE(SUBSTITUTE(SUBSTITUTE('Sales_RAW(BEFORE)'!AB56,"st",""),"q",""),"Q",""),"uarter","")</f>
        <v>4</v>
      </c>
      <c r="AE55" s="3" t="str">
        <f>TEXT(IFERROR(DATEVALUE('Sales_RAW(BEFORE)'!AC56 &amp; " 1"), IFERROR(DATE(2025, 'Sales_RAW(BEFORE)'!AC56, 1), 'Sales_RAW(BEFORE)'!AC56)), "mmmm")</f>
        <v>September</v>
      </c>
      <c r="AF55" s="3">
        <f>_xlfn.LET(
  _xlpm.raw, TRIM(SUBSTITUTE('Sales_RAW(BEFORE)'!AD56, "'", "")),
  _xlpm.num, IFERROR(VALUE(_xlpm.raw), 0),
  IF(_xlpm.num &lt; 100, 2000 + _xlpm.num, _xlpm.num)
)</f>
        <v>2025</v>
      </c>
      <c r="AG55" s="3" t="str">
        <f>PROPER('Sales_RAW(BEFORE)'!AE56)</f>
        <v>15</v>
      </c>
      <c r="AH55" s="3" cm="1">
        <f t="array" ref="AH55">_xlfn.LET(
  _xlpm.val, LOWER(TRIM('Sales_RAW(BEFORE)'!AF56)),
  _xlfn.IFS(
    OR(_xlpm.val="", _xlpm.val="null", _xlpm.val="N/A", _xlpm.val="-", _xlpm.val="#N/A"), 0,
    ISNUMBER('Sales_RAW(BEFORE)'!AF56), 'Sales_RAW(BEFORE)'!AF56,
    TRUE, IFERROR(_xlfn.NUMBERVALUE(_xlpm.val), 0)
  )
)</f>
        <v>2</v>
      </c>
      <c r="AI55" s="5">
        <f>IF(IFERROR(VALUE(SUBSTITUTE(SUBSTITUTE(TRIM('Sales_RAW(BEFORE)'!AG56), "%", ""), ",", ".")), 0) &gt; 1, IFERROR(VALUE(SUBSTITUTE(SUBSTITUTE(TRIM('Sales_RAW(BEFORE)'!AG56), "%", ""), ",", ".")), 0) / 100, IFERROR(VALUE(SUBSTITUTE(SUBSTITUTE(TRIM('Sales_RAW(BEFORE)'!AG56), "%", ""), ",", ".")), 0))</f>
        <v>0.08</v>
      </c>
      <c r="AJ55" s="6">
        <f t="shared" si="1"/>
        <v>2158.5744</v>
      </c>
      <c r="AK55" s="6">
        <f t="shared" si="2"/>
        <v>29140.754400000002</v>
      </c>
      <c r="AL55" s="6">
        <f>IFERROR(VALUE(SUBSTITUTE(SUBSTITUTE(SUBSTITUTE('Sales_RAW(BEFORE)'!AJ56,"$",""),"USD",""),",",".")),0)</f>
        <v>0</v>
      </c>
      <c r="AM55" s="3" t="str">
        <f>SUBSTITUTE(SUBSTITUTE(PROPER('Sales_RAW(BEFORE)'!AK56), "Fed Ex", "FedEx"),"Fedex","FedEx")</f>
        <v>FedEx</v>
      </c>
      <c r="AN55" s="3" t="s">
        <v>1148</v>
      </c>
      <c r="AO55" s="3" t="str">
        <f>SUBSTITUTE('Sales_RAW(BEFORE)'!AM56,"kg","")</f>
        <v xml:space="preserve">17.5 </v>
      </c>
      <c r="AP55" s="3" t="str">
        <f>_xlfn.LET(
  _xlpm.raw, UPPER(TRIM('Sales_RAW(BEFORE)'!AN56)),
  _xlpm.clean, RIGHT(_xlpm.raw, 1),
  IF(OR(_xlpm.raw="", _xlpm.raw="null"), "N/A", _xlpm.clean)
)</f>
        <v>A</v>
      </c>
      <c r="AQ55" s="3">
        <v>347</v>
      </c>
      <c r="AR55" s="3" cm="1">
        <f t="array" ref="AR55">_xlfn.LET(
  _xlpm.raw, LOWER(TRIM('Sales_RAW(BEFORE)'!AP56)),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55" s="3"/>
      <c r="AT55" s="3"/>
      <c r="AU55" s="3"/>
      <c r="AV55" s="8">
        <f>IF(IFERROR(VALUE(SUBSTITUTE(SUBSTITUTE(TRIM('Sales_RAW(BEFORE)'!AT56), "%", ""), ",", ".")), 0) &gt; 1, IFERROR(VALUE(SUBSTITUTE(SUBSTITUTE(TRIM('Sales_RAW(BEFORE)'!AT56), "%", ""), ",", ".")), 0) / 100, IFERROR(VALUE(SUBSTITUTE(SUBSTITUTE(TRIM('Sales_RAW(BEFORE)'!AT56), "%", ""), ",", ".")), 0))</f>
        <v>0</v>
      </c>
      <c r="AW55" s="6">
        <f>BA55*(_xlfn.XLOOKUP(N55,Employees!$A$2:$A$26,Employees!$E$2:$E$26,2))</f>
        <v>1165.6301760000003</v>
      </c>
      <c r="AX55" s="3" t="str">
        <f>PROPER('Sales_RAW(BEFORE)'!AV56)</f>
        <v>Laura Brown</v>
      </c>
      <c r="AY55" s="3" t="str">
        <f t="shared" si="3"/>
        <v>Laura Brown</v>
      </c>
      <c r="AZ55" s="3"/>
      <c r="BA55" s="24">
        <f>AK55*(1-(_xlfn.XLOOKUP(G55, Exchange_Rates!$B$8:$F$8, Exchange_Rates!$B$9:$F$9, 0)+J55))</f>
        <v>23312.603520000004</v>
      </c>
      <c r="BB55" s="7" cm="1">
        <f t="array" ref="BB55">_xlfn.LET(
  _xlpm.raw_dt, SUBSTITUTE(TRIM(C55), ".", "/"),
  _xlpm.dt, IFERROR(DATEVALUE(_xlpm.raw_dt), C55),
  _xlpm.p_code, TRIM(E55),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47028</v>
      </c>
      <c r="BC55" s="25">
        <f t="shared" si="4"/>
        <v>0</v>
      </c>
    </row>
    <row r="56" spans="1:55" ht="15.75" thickBot="1" x14ac:dyDescent="0.3">
      <c r="A56" s="3" t="s">
        <v>1151</v>
      </c>
      <c r="B56" s="10">
        <v>45864</v>
      </c>
      <c r="C56" s="4">
        <v>45696</v>
      </c>
      <c r="D56" s="3" t="str">
        <f>"P-" &amp; TEXT(VALUE(SUBSTITUTE(SUBSTITUTE(SUBSTITUTE(UPPER(TRIM('Sales_RAW(BEFORE)'!D57)), "P", ""), "-", ""), "_", "")),"000")</f>
        <v>P-054</v>
      </c>
      <c r="E56" s="3" t="str">
        <f>VLOOKUP(D56,Product_List!$A$2:$B$61,2,FALSE)</f>
        <v>Mouse Basic 54</v>
      </c>
      <c r="F56" s="3" t="str">
        <f>_xlfn.XLOOKUP(E56,Product_List!$B$2:$B$61,Product_List!$E$2:$E$61,2)</f>
        <v>OfficeHub</v>
      </c>
      <c r="G56" s="3" t="str">
        <f>VLOOKUP(E56,Product_List!$B$2:$C$61,2,FALSE)</f>
        <v>Office</v>
      </c>
      <c r="H56" s="3" t="str">
        <f>SUBSTITUTE(SUBSTITUTE('Sales_RAW(BEFORE)'!G57,"kom",""),".","")</f>
        <v xml:space="preserve">30 </v>
      </c>
      <c r="I56" s="6">
        <f>VLOOKUP(E56,Product_List!$B$2:$D$61,3,FALSE)</f>
        <v>801.23</v>
      </c>
      <c r="J56" s="5">
        <f>IF(IFERROR(VALUE(SUBSTITUTE(SUBSTITUTE(TRIM('Sales_RAW(BEFORE)'!I57), "%", ""), ",", ".")), 0) &gt; 1, IFERROR(VALUE(SUBSTITUTE(SUBSTITUTE(TRIM('Sales_RAW(BEFORE)'!I57), "%", ""), ",", ".")), 0) / 100, IFERROR(VALUE(SUBSTITUTE(SUBSTITUTE(TRIM('Sales_RAW(BEFORE)'!I57), "%", ""), ",", ".")), 0))</f>
        <v>0</v>
      </c>
      <c r="K56" s="6">
        <f t="shared" si="0"/>
        <v>24036.9</v>
      </c>
      <c r="L56" s="6" t="str" cm="1">
        <f t="array" ref="L56">_xlfn.LET(
  _xlpm.valuta, UPPER(TRIM('Sales_RAW(BEFORE)'!K57)),
  _xlfn.IFS(
    _xlpm.valuta = "", "",
    OR(_xlpm.valuta = "USD", _xlpm.valuta = "$"), "$",
    OR(_xlpm.valuta = "EUR", _xlpm.valuta = "€"), "€",
    TRUE, _xlpm.valuta
  )
)</f>
        <v>$</v>
      </c>
      <c r="M56" s="3" t="str">
        <f>"E" &amp; TEXT(VALUE(SUBSTITUTE(SUBSTITUTE(SUBSTITUTE(UPPER(TRIM('Sales_RAW(BEFORE)'!L57)), "EMP", ""), "E", ""), "-", "")),"000")</f>
        <v>E016</v>
      </c>
      <c r="N56" s="3" t="str">
        <f>_xlfn.XLOOKUP(M56,Employees!$D$2:$D$26,Employees!$A$2:$A$26)</f>
        <v>Chris Anderson</v>
      </c>
      <c r="O56" s="3" t="str">
        <f>_xlfn.XLOOKUP(N56,Employees!$A$2:$A$26,Employees!$C$2:$C$26,2)</f>
        <v>Online</v>
      </c>
      <c r="P56" s="3" t="str">
        <f>PROPER('Sales_RAW(BEFORE)'!N57)</f>
        <v>West</v>
      </c>
      <c r="Q56" s="3" t="str">
        <f>VLOOKUP(N56,Employees!$A$2:$B$26,2,FALSE)</f>
        <v>Chicago</v>
      </c>
      <c r="R56" s="3" t="str">
        <f>PROPER('Sales_RAW(BEFORE)'!P57)</f>
        <v>Vortex Inc</v>
      </c>
      <c r="S56" s="3" t="str">
        <f>SUBSTITUTE(SUBSTITUTE('Sales_RAW(BEFORE)'!Q57,"EIN",""),":","")</f>
        <v>371847290</v>
      </c>
      <c r="T56" s="3" t="s">
        <v>420</v>
      </c>
      <c r="U56" s="3" t="s">
        <v>1159</v>
      </c>
      <c r="V56" s="3" t="s">
        <v>1160</v>
      </c>
      <c r="W56" s="3" t="s">
        <v>1161</v>
      </c>
      <c r="X56" s="3" t="s">
        <v>173</v>
      </c>
      <c r="Y56" s="3" t="str">
        <f>PROPER('Sales_RAW(BEFORE)'!W57)</f>
        <v>Cash</v>
      </c>
      <c r="Z56" s="3" t="str">
        <f>PROPER('Sales_RAW(BEFORE)'!X57)</f>
        <v>Pending</v>
      </c>
      <c r="AA56" s="3" t="str" cm="1">
        <f t="array" ref="AA56">_xlfn.LET(
  _xlpm.val, TRIM(LOWER('Sales_RAW(BEFORE)'!Y57)),
  _xlfn.IFS(
    OR(_xlpm.val="yes", _xlpm.val="paid"), "Paid",
    OR(_xlpm.val="no", _xlpm.val="unpaid"), "Unpaid",
    OR(_xlpm.val="partial", _xlpm.val="partial paid"), "Partial",
    _xlpm.val="", "",
    TRUE, 'Sales_RAW(BEFORE)'!AY57
  )
)</f>
        <v>Unpaid</v>
      </c>
      <c r="AB56" s="3" t="s">
        <v>1162</v>
      </c>
      <c r="AC56" s="3" t="str">
        <f>PROPER('Sales_RAW(BEFORE)'!AA57)</f>
        <v>Online</v>
      </c>
      <c r="AD56" s="3" t="str">
        <f>SUBSTITUTE(SUBSTITUTE(SUBSTITUTE(SUBSTITUTE('Sales_RAW(BEFORE)'!AB57,"st",""),"q",""),"Q",""),"uarter","")</f>
        <v>3</v>
      </c>
      <c r="AE56" s="3" t="str">
        <f>TEXT(IFERROR(DATEVALUE('Sales_RAW(BEFORE)'!AC57 &amp; " 1"), IFERROR(DATE(2025, 'Sales_RAW(BEFORE)'!AC57, 1), 'Sales_RAW(BEFORE)'!AC57)), "mmmm")</f>
        <v>July</v>
      </c>
      <c r="AF56" s="3">
        <f>_xlfn.LET(
  _xlpm.raw, TRIM(SUBSTITUTE('Sales_RAW(BEFORE)'!AD57, "'", "")),
  _xlpm.num, IFERROR(VALUE(_xlpm.raw), 0),
  IF(_xlpm.num &lt; 100, 2000 + _xlpm.num, _xlpm.num)
)</f>
        <v>2025</v>
      </c>
      <c r="AG56" s="3" t="str">
        <f>PROPER('Sales_RAW(BEFORE)'!AE57)</f>
        <v>15</v>
      </c>
      <c r="AH56" s="3" cm="1">
        <f t="array" ref="AH56">_xlfn.LET(
  _xlpm.val, LOWER(TRIM('Sales_RAW(BEFORE)'!AF57)),
  _xlfn.IFS(
    OR(_xlpm.val="", _xlpm.val="null", _xlpm.val="N/A", _xlpm.val="-", _xlpm.val="#N/A"), 0,
    ISNUMBER('Sales_RAW(BEFORE)'!AF57), 'Sales_RAW(BEFORE)'!AF57,
    TRUE, IFERROR(_xlfn.NUMBERVALUE(_xlpm.val), 0)
  )
)</f>
        <v>63</v>
      </c>
      <c r="AI56" s="5">
        <f>IF(IFERROR(VALUE(SUBSTITUTE(SUBSTITUTE(TRIM('Sales_RAW(BEFORE)'!AG57), "%", ""), ",", ".")), 0) &gt; 1, IFERROR(VALUE(SUBSTITUTE(SUBSTITUTE(TRIM('Sales_RAW(BEFORE)'!AG57), "%", ""), ",", ".")), 0) / 100, IFERROR(VALUE(SUBSTITUTE(SUBSTITUTE(TRIM('Sales_RAW(BEFORE)'!AG57), "%", ""), ",", ".")), 0))</f>
        <v>0.08</v>
      </c>
      <c r="AJ56" s="6">
        <f t="shared" si="1"/>
        <v>1922.9520000000002</v>
      </c>
      <c r="AK56" s="6">
        <f t="shared" si="2"/>
        <v>25959.852000000003</v>
      </c>
      <c r="AL56" s="6">
        <f>IFERROR(VALUE(SUBSTITUTE(SUBSTITUTE(SUBSTITUTE('Sales_RAW(BEFORE)'!AJ57,"$",""),"USD",""),",",".")),0)</f>
        <v>44.94</v>
      </c>
      <c r="AM56" s="3" t="str">
        <f>SUBSTITUTE(SUBSTITUTE(PROPER('Sales_RAW(BEFORE)'!AK57), "Fed Ex", "FedEx"),"Fedex","FedEx")</f>
        <v>FedEx</v>
      </c>
      <c r="AN56" s="3" t="s">
        <v>1164</v>
      </c>
      <c r="AO56" s="3" t="str">
        <f>SUBSTITUTE('Sales_RAW(BEFORE)'!AM57,"kg","")</f>
        <v xml:space="preserve">5.5 </v>
      </c>
      <c r="AP56" s="3" t="str">
        <f>_xlfn.LET(
  _xlpm.raw, UPPER(TRIM('Sales_RAW(BEFORE)'!AN57)),
  _xlpm.clean, RIGHT(_xlpm.raw, 1),
  IF(OR(_xlpm.raw="", _xlpm.raw="null"), "N/A", _xlpm.clean)
)</f>
        <v>A</v>
      </c>
      <c r="AQ56" s="3">
        <v>210</v>
      </c>
      <c r="AR56" s="3" cm="1">
        <f t="array" ref="AR56">_xlfn.LET(
  _xlpm.raw, LOWER(TRIM('Sales_RAW(BEFORE)'!AP57)),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56" s="3"/>
      <c r="AT56" s="3"/>
      <c r="AU56" s="3"/>
      <c r="AV56" s="8">
        <f>IF(IFERROR(VALUE(SUBSTITUTE(SUBSTITUTE(TRIM('Sales_RAW(BEFORE)'!AT57), "%", ""), ",", ".")), 0) &gt; 1, IFERROR(VALUE(SUBSTITUTE(SUBSTITUTE(TRIM('Sales_RAW(BEFORE)'!AT57), "%", ""), ",", ".")), 0) / 100, IFERROR(VALUE(SUBSTITUTE(SUBSTITUTE(TRIM('Sales_RAW(BEFORE)'!AT57), "%", ""), ",", ".")), 0))</f>
        <v>0.25</v>
      </c>
      <c r="AW56" s="6">
        <f>BA56*(_xlfn.XLOOKUP(N56,Employees!$A$2:$A$26,Employees!$E$2:$E$26,2))</f>
        <v>700.91600400000004</v>
      </c>
      <c r="AX56" s="3" t="str">
        <f>PROPER('Sales_RAW(BEFORE)'!AV57)</f>
        <v>David Brown</v>
      </c>
      <c r="AY56" s="3" t="str">
        <f t="shared" si="3"/>
        <v>David Brown</v>
      </c>
      <c r="AZ56" s="3"/>
      <c r="BA56" s="24">
        <f>AK56*(1-(_xlfn.XLOOKUP(G56, Exchange_Rates!$B$8:$F$8, Exchange_Rates!$B$9:$F$9, 0)+J56))</f>
        <v>23363.866800000003</v>
      </c>
      <c r="BB56" s="7" cm="1">
        <f t="array" ref="BB56">_xlfn.LET(
  _xlpm.raw_dt, SUBSTITUTE(TRIM(C56), ".", "/"),
  _xlpm.dt, IFERROR(DATEVALUE(_xlpm.raw_dt), C56),
  _xlpm.p_code, TRIM(E56),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46426</v>
      </c>
      <c r="BC56" s="25">
        <f t="shared" si="4"/>
        <v>5840.9667000000009</v>
      </c>
    </row>
    <row r="57" spans="1:55" ht="15.75" thickBot="1" x14ac:dyDescent="0.3">
      <c r="A57" s="3" t="s">
        <v>1168</v>
      </c>
      <c r="B57" s="10">
        <v>45842</v>
      </c>
      <c r="C57" s="4">
        <v>45851</v>
      </c>
      <c r="D57" s="3" t="str">
        <f>"P-" &amp; TEXT(VALUE(SUBSTITUTE(SUBSTITUTE(SUBSTITUTE(UPPER(TRIM('Sales_RAW(BEFORE)'!D58)), "P", ""), "-", ""), "_", "")),"000")</f>
        <v>P-022</v>
      </c>
      <c r="E57" s="3" t="str">
        <f>VLOOKUP(D57,Product_List!$A$2:$B$61,2,FALSE)</f>
        <v>Desk Basic 22</v>
      </c>
      <c r="F57" s="3" t="str">
        <f>_xlfn.XLOOKUP(E57,Product_List!$B$2:$B$61,Product_List!$E$2:$E$61,2)</f>
        <v>BestParts</v>
      </c>
      <c r="G57" s="3" t="str">
        <f>VLOOKUP(E57,Product_List!$B$2:$C$61,2,FALSE)</f>
        <v>Furniture</v>
      </c>
      <c r="H57" s="3" t="str">
        <f>SUBSTITUTE(SUBSTITUTE('Sales_RAW(BEFORE)'!G58,"kom",""),".","")</f>
        <v xml:space="preserve">21 </v>
      </c>
      <c r="I57" s="6">
        <f>VLOOKUP(E57,Product_List!$B$2:$D$61,3,FALSE)</f>
        <v>893.58</v>
      </c>
      <c r="J57" s="5">
        <f>IF(IFERROR(VALUE(SUBSTITUTE(SUBSTITUTE(TRIM('Sales_RAW(BEFORE)'!I58), "%", ""), ",", ".")), 0) &gt; 1, IFERROR(VALUE(SUBSTITUTE(SUBSTITUTE(TRIM('Sales_RAW(BEFORE)'!I58), "%", ""), ",", ".")), 0) / 100, IFERROR(VALUE(SUBSTITUTE(SUBSTITUTE(TRIM('Sales_RAW(BEFORE)'!I58), "%", ""), ",", ".")), 0))</f>
        <v>0.1</v>
      </c>
      <c r="K57" s="6">
        <f t="shared" si="0"/>
        <v>18765.18</v>
      </c>
      <c r="L57" s="6" t="str" cm="1">
        <f t="array" ref="L57">_xlfn.LET(
  _xlpm.valuta, UPPER(TRIM('Sales_RAW(BEFORE)'!K58)),
  _xlfn.IFS(
    _xlpm.valuta = "", "",
    OR(_xlpm.valuta = "USD", _xlpm.valuta = "$"), "$",
    OR(_xlpm.valuta = "EUR", _xlpm.valuta = "€"), "€",
    TRUE, _xlpm.valuta
  )
)</f>
        <v>$</v>
      </c>
      <c r="M57" s="3" t="str">
        <f>"E" &amp; TEXT(VALUE(SUBSTITUTE(SUBSTITUTE(SUBSTITUTE(UPPER(TRIM('Sales_RAW(BEFORE)'!L58)), "EMP", ""), "E", ""), "-", "")),"000")</f>
        <v>E022</v>
      </c>
      <c r="N57" s="3" t="str">
        <f>_xlfn.XLOOKUP(M57,Employees!$D$2:$D$26,Employees!$A$2:$A$26)</f>
        <v>Chris Williams</v>
      </c>
      <c r="O57" s="3" t="str">
        <f>_xlfn.XLOOKUP(N57,Employees!$A$2:$A$26,Employees!$C$2:$C$26,2)</f>
        <v>Sales</v>
      </c>
      <c r="P57" s="3" t="str">
        <f>PROPER('Sales_RAW(BEFORE)'!N58)</f>
        <v>East</v>
      </c>
      <c r="Q57" s="3" t="str">
        <f>VLOOKUP(N57,Employees!$A$2:$B$26,2,FALSE)</f>
        <v>Boston</v>
      </c>
      <c r="R57" s="3" t="str">
        <f>PROPER('Sales_RAW(BEFORE)'!P58)</f>
        <v>Umbrella Inc.</v>
      </c>
      <c r="S57" s="3" t="str">
        <f>SUBSTITUTE(SUBSTITUTE('Sales_RAW(BEFORE)'!Q58,"EIN",""),":","")</f>
        <v xml:space="preserve"> 272806008</v>
      </c>
      <c r="T57" s="3" t="s">
        <v>1178</v>
      </c>
      <c r="U57" s="3" t="s">
        <v>1179</v>
      </c>
      <c r="V57" s="3" t="s">
        <v>1180</v>
      </c>
      <c r="W57" s="3" t="s">
        <v>1181</v>
      </c>
      <c r="X57" s="3" t="s">
        <v>173</v>
      </c>
      <c r="Y57" s="3" t="str">
        <f>PROPER('Sales_RAW(BEFORE)'!W58)</f>
        <v>Wire Transfer</v>
      </c>
      <c r="Z57" s="3" t="str">
        <f>PROPER('Sales_RAW(BEFORE)'!X58)</f>
        <v>Pending</v>
      </c>
      <c r="AA57" s="3" t="str" cm="1">
        <f t="array" ref="AA57">_xlfn.LET(
  _xlpm.val, TRIM(LOWER('Sales_RAW(BEFORE)'!Y58)),
  _xlfn.IFS(
    OR(_xlpm.val="yes", _xlpm.val="paid"), "Paid",
    OR(_xlpm.val="no", _xlpm.val="unpaid"), "Unpaid",
    OR(_xlpm.val="partial", _xlpm.val="partial paid"), "Partial",
    _xlpm.val="", "",
    TRUE, 'Sales_RAW(BEFORE)'!AY58
  )
)</f>
        <v>Paid</v>
      </c>
      <c r="AB57" s="3" t="s">
        <v>1182</v>
      </c>
      <c r="AC57" s="3" t="str">
        <f>PROPER('Sales_RAW(BEFORE)'!AA58)</f>
        <v>Online</v>
      </c>
      <c r="AD57" s="3" t="str">
        <f>SUBSTITUTE(SUBSTITUTE(SUBSTITUTE(SUBSTITUTE('Sales_RAW(BEFORE)'!AB58,"st",""),"q",""),"Q",""),"uarter","")</f>
        <v>1</v>
      </c>
      <c r="AE57" s="3" t="str">
        <f>TEXT(IFERROR(DATEVALUE('Sales_RAW(BEFORE)'!AC58 &amp; " 1"), IFERROR(DATE(2025, 'Sales_RAW(BEFORE)'!AC58, 1), 'Sales_RAW(BEFORE)'!AC58)), "mmmm")</f>
        <v>July</v>
      </c>
      <c r="AF57" s="3">
        <f>_xlfn.LET(
  _xlpm.raw, TRIM(SUBSTITUTE('Sales_RAW(BEFORE)'!AD58, "'", "")),
  _xlpm.num, IFERROR(VALUE(_xlpm.raw), 0),
  IF(_xlpm.num &lt; 100, 2000 + _xlpm.num, _xlpm.num)
)</f>
        <v>2025</v>
      </c>
      <c r="AG57" s="3" t="str">
        <f>PROPER('Sales_RAW(BEFORE)'!AE58)</f>
        <v>Immediate</v>
      </c>
      <c r="AH57" s="3" cm="1">
        <f t="array" ref="AH57">_xlfn.LET(
  _xlpm.val, LOWER(TRIM('Sales_RAW(BEFORE)'!AF58)),
  _xlfn.IFS(
    OR(_xlpm.val="", _xlpm.val="null", _xlpm.val="N/A", _xlpm.val="-", _xlpm.val="#N/A"), 0,
    ISNUMBER('Sales_RAW(BEFORE)'!AF58), 'Sales_RAW(BEFORE)'!AF58,
    TRUE, IFERROR(_xlfn.NUMBERVALUE(_xlpm.val), 0)
  )
)</f>
        <v>71</v>
      </c>
      <c r="AI57" s="5">
        <f>IF(IFERROR(VALUE(SUBSTITUTE(SUBSTITUTE(TRIM('Sales_RAW(BEFORE)'!AG58), "%", ""), ",", ".")), 0) &gt; 1, IFERROR(VALUE(SUBSTITUTE(SUBSTITUTE(TRIM('Sales_RAW(BEFORE)'!AG58), "%", ""), ",", ".")), 0) / 100, IFERROR(VALUE(SUBSTITUTE(SUBSTITUTE(TRIM('Sales_RAW(BEFORE)'!AG58), "%", ""), ",", ".")), 0))</f>
        <v>0.08</v>
      </c>
      <c r="AJ57" s="6">
        <f t="shared" si="1"/>
        <v>1501.2144000000001</v>
      </c>
      <c r="AK57" s="6">
        <f t="shared" si="2"/>
        <v>20266.394400000001</v>
      </c>
      <c r="AL57" s="6">
        <f>IFERROR(VALUE(SUBSTITUTE(SUBSTITUTE(SUBSTITUTE('Sales_RAW(BEFORE)'!AJ58,"$",""),"USD",""),",",".")),0)</f>
        <v>39.92</v>
      </c>
      <c r="AM57" s="3" t="str">
        <f>SUBSTITUTE(SUBSTITUTE(PROPER('Sales_RAW(BEFORE)'!AK58), "Fed Ex", "FedEx"),"Fedex","FedEx")</f>
        <v>Usps</v>
      </c>
      <c r="AN57" s="3" t="s">
        <v>1184</v>
      </c>
      <c r="AO57" s="3" t="str">
        <f>SUBSTITUTE('Sales_RAW(BEFORE)'!AM58,"kg","")</f>
        <v>5.29</v>
      </c>
      <c r="AP57" s="3" t="str">
        <f>_xlfn.LET(
  _xlpm.raw, UPPER(TRIM('Sales_RAW(BEFORE)'!AN58)),
  _xlpm.clean, RIGHT(_xlpm.raw, 1),
  IF(OR(_xlpm.raw="", _xlpm.raw="null"), "N/A", _xlpm.clean)
)</f>
        <v>A</v>
      </c>
      <c r="AQ57" s="3">
        <v>12</v>
      </c>
      <c r="AR57" s="3" cm="1">
        <f t="array" ref="AR57">_xlfn.LET(
  _xlpm.raw, LOWER(TRIM('Sales_RAW(BEFORE)'!AP58)),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57" s="3"/>
      <c r="AT57" s="3"/>
      <c r="AU57" s="3"/>
      <c r="AV57" s="8">
        <f>IF(IFERROR(VALUE(SUBSTITUTE(SUBSTITUTE(TRIM('Sales_RAW(BEFORE)'!AT58), "%", ""), ",", ".")), 0) &gt; 1, IFERROR(VALUE(SUBSTITUTE(SUBSTITUTE(TRIM('Sales_RAW(BEFORE)'!AT58), "%", ""), ",", ".")), 0) / 100, IFERROR(VALUE(SUBSTITUTE(SUBSTITUTE(TRIM('Sales_RAW(BEFORE)'!AT58), "%", ""), ",", ".")), 0))</f>
        <v>0.3</v>
      </c>
      <c r="AW57" s="6">
        <f>BA57*(_xlfn.XLOOKUP(N57,Employees!$A$2:$A$26,Employees!$E$2:$E$26,2))</f>
        <v>486.39346560000001</v>
      </c>
      <c r="AX57" s="3" t="str">
        <f>PROPER('Sales_RAW(BEFORE)'!AV58)</f>
        <v>Chris Brown</v>
      </c>
      <c r="AY57" s="3" t="str">
        <f t="shared" si="3"/>
        <v>Chris Brown</v>
      </c>
      <c r="AZ57" s="3"/>
      <c r="BA57" s="24">
        <f>AK57*(1-(_xlfn.XLOOKUP(G57, Exchange_Rates!$B$8:$F$8, Exchange_Rates!$B$9:$F$9, 0)+J57))</f>
        <v>16213.115520000001</v>
      </c>
      <c r="BB57" s="7" cm="1">
        <f t="array" ref="BB57">_xlfn.LET(
  _xlpm.raw_dt, SUBSTITUTE(TRIM(C57), ".", "/"),
  _xlpm.dt, IFERROR(DATEVALUE(_xlpm.raw_dt), C57),
  _xlpm.p_code, TRIM(E57),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46216</v>
      </c>
      <c r="BC57" s="25">
        <f t="shared" si="4"/>
        <v>4863.9346560000004</v>
      </c>
    </row>
    <row r="58" spans="1:55" ht="15.75" thickBot="1" x14ac:dyDescent="0.3">
      <c r="A58" s="3" t="s">
        <v>1187</v>
      </c>
      <c r="B58" s="10">
        <f>DATE(2025,9,28)</f>
        <v>45928</v>
      </c>
      <c r="C58" s="4">
        <v>45726</v>
      </c>
      <c r="D58" s="3" t="str">
        <f>"P-" &amp; TEXT(VALUE(SUBSTITUTE(SUBSTITUTE(SUBSTITUTE(UPPER(TRIM('Sales_RAW(BEFORE)'!D59)), "P", ""), "-", ""), "_", "")),"000")</f>
        <v>P-004</v>
      </c>
      <c r="E58" s="3" t="str">
        <f>VLOOKUP(D58,Product_List!$A$2:$B$61,2,FALSE)</f>
        <v>Printer Plus 4</v>
      </c>
      <c r="F58" s="3" t="str">
        <f>_xlfn.XLOOKUP(E58,Product_List!$B$2:$B$61,Product_List!$E$2:$E$61,2)</f>
        <v>OfficeHub</v>
      </c>
      <c r="G58" s="3" t="str">
        <f>VLOOKUP(E58,Product_List!$B$2:$C$61,2,FALSE)</f>
        <v>Electronics</v>
      </c>
      <c r="H58" s="3" t="str">
        <f>SUBSTITUTE(SUBSTITUTE('Sales_RAW(BEFORE)'!G59,"kom",""),".","")</f>
        <v xml:space="preserve">17 </v>
      </c>
      <c r="I58" s="6">
        <f>VLOOKUP(E58,Product_List!$B$2:$D$61,3,FALSE)</f>
        <v>364.79</v>
      </c>
      <c r="J58" s="5">
        <f>IF(IFERROR(VALUE(SUBSTITUTE(SUBSTITUTE(TRIM('Sales_RAW(BEFORE)'!I59), "%", ""), ",", ".")), 0) &gt; 1, IFERROR(VALUE(SUBSTITUTE(SUBSTITUTE(TRIM('Sales_RAW(BEFORE)'!I59), "%", ""), ",", ".")), 0) / 100, IFERROR(VALUE(SUBSTITUTE(SUBSTITUTE(TRIM('Sales_RAW(BEFORE)'!I59), "%", ""), ",", ".")), 0))</f>
        <v>0.05</v>
      </c>
      <c r="K58" s="6">
        <f t="shared" si="0"/>
        <v>6201.43</v>
      </c>
      <c r="L58" s="6" t="str" cm="1">
        <f t="array" ref="L58">_xlfn.LET(
  _xlpm.valuta, UPPER(TRIM('Sales_RAW(BEFORE)'!K59)),
  _xlfn.IFS(
    _xlpm.valuta = "", "",
    OR(_xlpm.valuta = "USD", _xlpm.valuta = "$"), "$",
    OR(_xlpm.valuta = "EUR", _xlpm.valuta = "€"), "€",
    TRUE, _xlpm.valuta
  )
)</f>
        <v>$</v>
      </c>
      <c r="M58" s="3" t="str">
        <f>"E" &amp; TEXT(VALUE(SUBSTITUTE(SUBSTITUTE(SUBSTITUTE(UPPER(TRIM('Sales_RAW(BEFORE)'!L59)), "EMP", ""), "E", ""), "-", "")),"000")</f>
        <v>E003</v>
      </c>
      <c r="N58" s="3" t="str">
        <f>_xlfn.XLOOKUP(M58,Employees!$D$2:$D$26,Employees!$A$2:$A$26)</f>
        <v>Laura Miller</v>
      </c>
      <c r="O58" s="3" t="str">
        <f>_xlfn.XLOOKUP(N58,Employees!$A$2:$A$26,Employees!$C$2:$C$26,2)</f>
        <v>Sales</v>
      </c>
      <c r="P58" s="3" t="str">
        <f>PROPER('Sales_RAW(BEFORE)'!N59)</f>
        <v>South</v>
      </c>
      <c r="Q58" s="3" t="str">
        <f>VLOOKUP(N58,Employees!$A$2:$B$26,2,FALSE)</f>
        <v>Miami</v>
      </c>
      <c r="R58" s="3" t="str">
        <f>PROPER('Sales_RAW(BEFORE)'!P59)</f>
        <v>Stark Inc.</v>
      </c>
      <c r="S58" s="3" t="str">
        <f>SUBSTITUTE(SUBSTITUTE('Sales_RAW(BEFORE)'!Q59,"EIN",""),":","")</f>
        <v>114117891</v>
      </c>
      <c r="T58" s="3" t="s">
        <v>564</v>
      </c>
      <c r="U58" s="3" t="s">
        <v>1198</v>
      </c>
      <c r="V58" s="3" t="s">
        <v>1199</v>
      </c>
      <c r="W58" s="3" t="s">
        <v>1200</v>
      </c>
      <c r="X58" s="3" t="s">
        <v>173</v>
      </c>
      <c r="Y58" s="3" t="str">
        <f>PROPER('Sales_RAW(BEFORE)'!W59)</f>
        <v>Wire</v>
      </c>
      <c r="Z58" s="3" t="str">
        <f>PROPER('Sales_RAW(BEFORE)'!X59)</f>
        <v>Delivered</v>
      </c>
      <c r="AA58" s="3" t="str" cm="1">
        <f t="array" ref="AA58">_xlfn.LET(
  _xlpm.val, TRIM(LOWER('Sales_RAW(BEFORE)'!Y59)),
  _xlfn.IFS(
    OR(_xlpm.val="yes", _xlpm.val="paid"), "Paid",
    OR(_xlpm.val="no", _xlpm.val="unpaid"), "Unpaid",
    OR(_xlpm.val="partial", _xlpm.val="partial paid"), "Partial",
    _xlpm.val="", "",
    TRUE, 'Sales_RAW(BEFORE)'!AY59
  )
)</f>
        <v>Paid</v>
      </c>
      <c r="AB58" s="3" t="s">
        <v>1201</v>
      </c>
      <c r="AC58" s="3" t="str">
        <f>PROPER('Sales_RAW(BEFORE)'!AA59)</f>
        <v>Web</v>
      </c>
      <c r="AD58" s="3" t="str">
        <f>SUBSTITUTE(SUBSTITUTE(SUBSTITUTE(SUBSTITUTE('Sales_RAW(BEFORE)'!AB59,"st",""),"q",""),"Q",""),"uarter","")</f>
        <v xml:space="preserve">1 </v>
      </c>
      <c r="AE58" s="3" t="str">
        <f>TEXT(IFERROR(DATEVALUE('Sales_RAW(BEFORE)'!AC59 &amp; " 1"), IFERROR(DATE(2025, 'Sales_RAW(BEFORE)'!AC59, 1), 'Sales_RAW(BEFORE)'!AC59)), "mmmm")</f>
        <v>September</v>
      </c>
      <c r="AF58" s="3">
        <f>_xlfn.LET(
  _xlpm.raw, TRIM(SUBSTITUTE('Sales_RAW(BEFORE)'!AD59, "'", "")),
  _xlpm.num, IFERROR(VALUE(_xlpm.raw), 0),
  IF(_xlpm.num &lt; 100, 2000 + _xlpm.num, _xlpm.num)
)</f>
        <v>2025</v>
      </c>
      <c r="AG58" s="3" t="str">
        <f>PROPER('Sales_RAW(BEFORE)'!AE59)</f>
        <v>15</v>
      </c>
      <c r="AH58" s="3" cm="1">
        <f t="array" ref="AH58">_xlfn.LET(
  _xlpm.val, LOWER(TRIM('Sales_RAW(BEFORE)'!AF59)),
  _xlfn.IFS(
    OR(_xlpm.val="", _xlpm.val="null", _xlpm.val="N/A", _xlpm.val="-", _xlpm.val="#N/A"), 0,
    ISNUMBER('Sales_RAW(BEFORE)'!AF59), 'Sales_RAW(BEFORE)'!AF59,
    TRUE, IFERROR(_xlfn.NUMBERVALUE(_xlpm.val), 0)
  )
)</f>
        <v>0</v>
      </c>
      <c r="AI58" s="5">
        <f>IF(IFERROR(VALUE(SUBSTITUTE(SUBSTITUTE(TRIM('Sales_RAW(BEFORE)'!AG59), "%", ""), ",", ".")), 0) &gt; 1, IFERROR(VALUE(SUBSTITUTE(SUBSTITUTE(TRIM('Sales_RAW(BEFORE)'!AG59), "%", ""), ",", ".")), 0) / 100, IFERROR(VALUE(SUBSTITUTE(SUBSTITUTE(TRIM('Sales_RAW(BEFORE)'!AG59), "%", ""), ",", ".")), 0))</f>
        <v>0.08</v>
      </c>
      <c r="AJ58" s="6">
        <f t="shared" si="1"/>
        <v>496.11440000000005</v>
      </c>
      <c r="AK58" s="6">
        <f t="shared" si="2"/>
        <v>6697.5444000000007</v>
      </c>
      <c r="AL58" s="6">
        <f>IFERROR(VALUE(SUBSTITUTE(SUBSTITUTE(SUBSTITUTE('Sales_RAW(BEFORE)'!AJ59,"$",""),"USD",""),",",".")),0)</f>
        <v>41.35</v>
      </c>
      <c r="AM58" s="3" t="str">
        <f>SUBSTITUTE(SUBSTITUTE(PROPER('Sales_RAW(BEFORE)'!AK59), "Fed Ex", "FedEx"),"Fedex","FedEx")</f>
        <v>Usps</v>
      </c>
      <c r="AN58" s="3" t="s">
        <v>1202</v>
      </c>
      <c r="AO58" s="3" t="str">
        <f>SUBSTITUTE('Sales_RAW(BEFORE)'!AM59,"kg","")</f>
        <v>1,76</v>
      </c>
      <c r="AP58" s="3" t="str">
        <f>_xlfn.LET(
  _xlpm.raw, UPPER(TRIM('Sales_RAW(BEFORE)'!AN59)),
  _xlpm.clean, RIGHT(_xlpm.raw, 1),
  IF(OR(_xlpm.raw="", _xlpm.raw="null"), "N/A", _xlpm.clean)
)</f>
        <v>B</v>
      </c>
      <c r="AQ58" s="3">
        <v>45</v>
      </c>
      <c r="AR58" s="3" cm="1">
        <f t="array" ref="AR58">_xlfn.LET(
  _xlpm.raw, LOWER(TRIM('Sales_RAW(BEFORE)'!AP59)),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58" s="3"/>
      <c r="AT58" s="3"/>
      <c r="AU58" s="3"/>
      <c r="AV58" s="8">
        <f>IF(IFERROR(VALUE(SUBSTITUTE(SUBSTITUTE(TRIM('Sales_RAW(BEFORE)'!AT59), "%", ""), ",", ".")), 0) &gt; 1, IFERROR(VALUE(SUBSTITUTE(SUBSTITUTE(TRIM('Sales_RAW(BEFORE)'!AT59), "%", ""), ",", ".")), 0) / 100, IFERROR(VALUE(SUBSTITUTE(SUBSTITUTE(TRIM('Sales_RAW(BEFORE)'!AT59), "%", ""), ",", ".")), 0))</f>
        <v>0.18</v>
      </c>
      <c r="AW58" s="6">
        <f>BA58*(_xlfn.XLOOKUP(N58,Employees!$A$2:$A$26,Employees!$E$2:$E$26,2))</f>
        <v>284.64563700000002</v>
      </c>
      <c r="AX58" s="3" t="str">
        <f>PROPER('Sales_RAW(BEFORE)'!AV59)</f>
        <v xml:space="preserve"> Emily Johnson</v>
      </c>
      <c r="AY58" s="3" t="str">
        <f t="shared" si="3"/>
        <v xml:space="preserve"> Emily Johnson</v>
      </c>
      <c r="AZ58" s="3"/>
      <c r="BA58" s="24">
        <f>AK58*(1-(_xlfn.XLOOKUP(G58, Exchange_Rates!$B$8:$F$8, Exchange_Rates!$B$9:$F$9, 0)+J58))</f>
        <v>5692.9127400000007</v>
      </c>
      <c r="BB58" s="7" cm="1">
        <f t="array" ref="BB58">_xlfn.LET(
  _xlpm.raw_dt, SUBSTITUTE(TRIM(C58), ".", "/"),
  _xlpm.dt, IFERROR(DATEVALUE(_xlpm.raw_dt), C58),
  _xlpm.p_code, TRIM(E58),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46456</v>
      </c>
      <c r="BC58" s="25">
        <f t="shared" si="4"/>
        <v>1024.7242932000001</v>
      </c>
    </row>
    <row r="59" spans="1:55" ht="15.75" thickBot="1" x14ac:dyDescent="0.3">
      <c r="A59" s="3" t="s">
        <v>1205</v>
      </c>
      <c r="B59" s="10">
        <v>45734</v>
      </c>
      <c r="C59" s="4">
        <f>DATE(2025,3,23)</f>
        <v>45739</v>
      </c>
      <c r="D59" s="3" t="str">
        <f>"P-" &amp; TEXT(VALUE(SUBSTITUTE(SUBSTITUTE(SUBSTITUTE(UPPER(TRIM('Sales_RAW(BEFORE)'!D60)), "P", ""), "-", ""), "_", "")),"000")</f>
        <v>P-034</v>
      </c>
      <c r="E59" s="3" t="str">
        <f>VLOOKUP(D59,Product_List!$A$2:$B$61,2,FALSE)</f>
        <v>Mouse X 34</v>
      </c>
      <c r="F59" s="3" t="str">
        <f>_xlfn.XLOOKUP(E59,Product_List!$B$2:$B$61,Product_List!$E$2:$E$61,2)</f>
        <v>Global Distrib</v>
      </c>
      <c r="G59" s="3" t="str">
        <f>VLOOKUP(E59,Product_List!$B$2:$C$61,2,FALSE)</f>
        <v>Office</v>
      </c>
      <c r="H59" s="3" t="str">
        <f>SUBSTITUTE(SUBSTITUTE('Sales_RAW(BEFORE)'!G60,"kom",""),".","")</f>
        <v>5</v>
      </c>
      <c r="I59" s="6">
        <f>VLOOKUP(E59,Product_List!$B$2:$D$61,3,FALSE)</f>
        <v>23.03</v>
      </c>
      <c r="J59" s="5">
        <f>IF(IFERROR(VALUE(SUBSTITUTE(SUBSTITUTE(TRIM('Sales_RAW(BEFORE)'!I60), "%", ""), ",", ".")), 0) &gt; 1, IFERROR(VALUE(SUBSTITUTE(SUBSTITUTE(TRIM('Sales_RAW(BEFORE)'!I60), "%", ""), ",", ".")), 0) / 100, IFERROR(VALUE(SUBSTITUTE(SUBSTITUTE(TRIM('Sales_RAW(BEFORE)'!I60), "%", ""), ",", ".")), 0))</f>
        <v>0.1</v>
      </c>
      <c r="K59" s="6">
        <f t="shared" si="0"/>
        <v>115.15</v>
      </c>
      <c r="L59" s="6" t="str" cm="1">
        <f t="array" ref="L59">_xlfn.LET(
  _xlpm.valuta, UPPER(TRIM('Sales_RAW(BEFORE)'!K60)),
  _xlfn.IFS(
    _xlpm.valuta = "", "",
    OR(_xlpm.valuta = "USD", _xlpm.valuta = "$"), "$",
    OR(_xlpm.valuta = "EUR", _xlpm.valuta = "€"), "€",
    TRUE, _xlpm.valuta
  )
)</f>
        <v>$</v>
      </c>
      <c r="M59" s="3" t="str">
        <f>"E" &amp; TEXT(VALUE(SUBSTITUTE(SUBSTITUTE(SUBSTITUTE(UPPER(TRIM('Sales_RAW(BEFORE)'!L60)), "EMP", ""), "E", ""), "-", "")),"000")</f>
        <v>E010</v>
      </c>
      <c r="N59" s="3" t="str">
        <f>_xlfn.XLOOKUP(M59,Employees!$D$2:$D$26,Employees!$A$2:$A$26)</f>
        <v>Olivia Anderson</v>
      </c>
      <c r="O59" s="3" t="str">
        <f>_xlfn.XLOOKUP(N59,Employees!$A$2:$A$26,Employees!$C$2:$C$26,2)</f>
        <v>Online</v>
      </c>
      <c r="P59" s="3" t="str">
        <f>PROPER('Sales_RAW(BEFORE)'!N60)</f>
        <v>North</v>
      </c>
      <c r="Q59" s="3" t="str">
        <f>VLOOKUP(N59,Employees!$A$2:$B$26,2,FALSE)</f>
        <v>Houston</v>
      </c>
      <c r="R59" s="3" t="str">
        <f>PROPER('Sales_RAW(BEFORE)'!P60)</f>
        <v>Umbrella Llc</v>
      </c>
      <c r="S59" s="3" t="str">
        <f>SUBSTITUTE(SUBSTITUTE('Sales_RAW(BEFORE)'!Q60,"EIN",""),":","")</f>
        <v>465930425</v>
      </c>
      <c r="T59" s="3" t="s">
        <v>876</v>
      </c>
      <c r="U59" s="3" t="s">
        <v>1213</v>
      </c>
      <c r="V59" s="3" t="s">
        <v>1214</v>
      </c>
      <c r="W59" s="3" t="s">
        <v>1215</v>
      </c>
      <c r="X59" s="3" t="s">
        <v>173</v>
      </c>
      <c r="Y59" s="3" t="str">
        <f>PROPER('Sales_RAW(BEFORE)'!W60)</f>
        <v>Wire Transfer</v>
      </c>
      <c r="Z59" s="3" t="str">
        <f>PROPER('Sales_RAW(BEFORE)'!X60)</f>
        <v>Pending</v>
      </c>
      <c r="AA59" s="3" t="str" cm="1">
        <f t="array" ref="AA59">_xlfn.LET(
  _xlpm.val, TRIM(LOWER('Sales_RAW(BEFORE)'!Y60)),
  _xlfn.IFS(
    OR(_xlpm.val="yes", _xlpm.val="paid"), "Paid",
    OR(_xlpm.val="no", _xlpm.val="unpaid"), "Unpaid",
    OR(_xlpm.val="partial", _xlpm.val="partial paid"), "Partial",
    _xlpm.val="", "",
    TRUE, 'Sales_RAW(BEFORE)'!AY60
  )
)</f>
        <v>Unpaid</v>
      </c>
      <c r="AB59" s="3" t="s">
        <v>1216</v>
      </c>
      <c r="AC59" s="3" t="str">
        <f>PROPER('Sales_RAW(BEFORE)'!AA60)</f>
        <v>Store</v>
      </c>
      <c r="AD59" s="3" t="str">
        <f>SUBSTITUTE(SUBSTITUTE(SUBSTITUTE(SUBSTITUTE('Sales_RAW(BEFORE)'!AB60,"st",""),"q",""),"Q",""),"uarter","")</f>
        <v>1</v>
      </c>
      <c r="AE59" s="3" t="str">
        <f>TEXT(IFERROR(DATEVALUE('Sales_RAW(BEFORE)'!AC60 &amp; " 1"), IFERROR(DATE(2025, 'Sales_RAW(BEFORE)'!AC60, 1), 'Sales_RAW(BEFORE)'!AC60)), "mmmm")</f>
        <v>March</v>
      </c>
      <c r="AF59" s="3">
        <f>_xlfn.LET(
  _xlpm.raw, TRIM(SUBSTITUTE('Sales_RAW(BEFORE)'!AD60, "'", "")),
  _xlpm.num, IFERROR(VALUE(_xlpm.raw), 0),
  IF(_xlpm.num &lt; 100, 2000 + _xlpm.num, _xlpm.num)
)</f>
        <v>2025</v>
      </c>
      <c r="AG59" s="3" t="str">
        <f>PROPER('Sales_RAW(BEFORE)'!AE60)</f>
        <v>Net 30</v>
      </c>
      <c r="AH59" s="3" cm="1">
        <f t="array" ref="AH59">_xlfn.LET(
  _xlpm.val, LOWER(TRIM('Sales_RAW(BEFORE)'!AF60)),
  _xlfn.IFS(
    OR(_xlpm.val="", _xlpm.val="null", _xlpm.val="N/A", _xlpm.val="-", _xlpm.val="#N/A"), 0,
    ISNUMBER('Sales_RAW(BEFORE)'!AF60), 'Sales_RAW(BEFORE)'!AF60,
    TRUE, IFERROR(_xlfn.NUMBERVALUE(_xlpm.val), 0)
  )
)</f>
        <v>11</v>
      </c>
      <c r="AI59" s="5">
        <f>IF(IFERROR(VALUE(SUBSTITUTE(SUBSTITUTE(TRIM('Sales_RAW(BEFORE)'!AG60), "%", ""), ",", ".")), 0) &gt; 1, IFERROR(VALUE(SUBSTITUTE(SUBSTITUTE(TRIM('Sales_RAW(BEFORE)'!AG60), "%", ""), ",", ".")), 0) / 100, IFERROR(VALUE(SUBSTITUTE(SUBSTITUTE(TRIM('Sales_RAW(BEFORE)'!AG60), "%", ""), ",", ".")), 0))</f>
        <v>0.08</v>
      </c>
      <c r="AJ59" s="6">
        <f t="shared" si="1"/>
        <v>9.2120000000000015</v>
      </c>
      <c r="AK59" s="6">
        <f t="shared" si="2"/>
        <v>124.36200000000001</v>
      </c>
      <c r="AL59" s="6">
        <f>IFERROR(VALUE(SUBSTITUTE(SUBSTITUTE(SUBSTITUTE('Sales_RAW(BEFORE)'!AJ60,"$",""),"USD",""),",",".")),0)</f>
        <v>23.64</v>
      </c>
      <c r="AM59" s="3" t="str">
        <f>SUBSTITUTE(SUBSTITUTE(PROPER('Sales_RAW(BEFORE)'!AK60), "Fed Ex", "FedEx"),"Fedex","FedEx")</f>
        <v>Ups</v>
      </c>
      <c r="AN59" s="3" t="s">
        <v>1218</v>
      </c>
      <c r="AO59" s="3" t="str">
        <f>SUBSTITUTE('Sales_RAW(BEFORE)'!AM60,"kg","")</f>
        <v>21.51</v>
      </c>
      <c r="AP59" s="3" t="str">
        <f>_xlfn.LET(
  _xlpm.raw, UPPER(TRIM('Sales_RAW(BEFORE)'!AN60)),
  _xlpm.clean, RIGHT(_xlpm.raw, 1),
  IF(OR(_xlpm.raw="", _xlpm.raw="null"), "N/A", _xlpm.clean)
)</f>
        <v>B</v>
      </c>
      <c r="AQ59" s="3">
        <v>54</v>
      </c>
      <c r="AR59" s="3" cm="1">
        <f t="array" ref="AR59">_xlfn.LET(
  _xlpm.raw, LOWER(TRIM('Sales_RAW(BEFORE)'!AP60)),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59" s="3"/>
      <c r="AT59" s="3"/>
      <c r="AU59" s="3"/>
      <c r="AV59" s="8">
        <f>IF(IFERROR(VALUE(SUBSTITUTE(SUBSTITUTE(TRIM('Sales_RAW(BEFORE)'!AT60), "%", ""), ",", ".")), 0) &gt; 1, IFERROR(VALUE(SUBSTITUTE(SUBSTITUTE(TRIM('Sales_RAW(BEFORE)'!AT60), "%", ""), ",", ".")), 0) / 100, IFERROR(VALUE(SUBSTITUTE(SUBSTITUTE(TRIM('Sales_RAW(BEFORE)'!AT60), "%", ""), ",", ".")), 0))</f>
        <v>0.25</v>
      </c>
      <c r="AW59" s="6">
        <f>BA59*(_xlfn.XLOOKUP(N59,Employees!$A$2:$A$26,Employees!$E$2:$E$26,2))</f>
        <v>2.9846880000000002</v>
      </c>
      <c r="AX59" s="3" t="str">
        <f>PROPER('Sales_RAW(BEFORE)'!AV60)</f>
        <v>Olivia Davis</v>
      </c>
      <c r="AY59" s="3" t="str">
        <f t="shared" si="3"/>
        <v>Olivia Davis</v>
      </c>
      <c r="AZ59" s="3"/>
      <c r="BA59" s="24">
        <f>AK59*(1-(_xlfn.XLOOKUP(G59, Exchange_Rates!$B$8:$F$8, Exchange_Rates!$B$9:$F$9, 0)+J59))</f>
        <v>99.48960000000001</v>
      </c>
      <c r="BB59" s="7" cm="1">
        <f t="array" ref="BB59">_xlfn.LET(
  _xlpm.raw_dt, SUBSTITUTE(TRIM(C59), ".", "/"),
  _xlpm.dt, IFERROR(DATEVALUE(_xlpm.raw_dt), C59),
  _xlpm.p_code, TRIM(E59),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46469</v>
      </c>
      <c r="BC59" s="25">
        <f t="shared" si="4"/>
        <v>24.872400000000003</v>
      </c>
    </row>
    <row r="60" spans="1:55" ht="15.75" thickBot="1" x14ac:dyDescent="0.3">
      <c r="A60" s="3" t="s">
        <v>1221</v>
      </c>
      <c r="B60" s="10">
        <v>46007</v>
      </c>
      <c r="C60" s="4" t="s">
        <v>91</v>
      </c>
      <c r="D60" s="3" t="str">
        <f>"P-" &amp; TEXT(VALUE(SUBSTITUTE(SUBSTITUTE(SUBSTITUTE(UPPER(TRIM('Sales_RAW(BEFORE)'!D61)), "P", ""), "-", ""), "_", "")),"000")</f>
        <v>P-012</v>
      </c>
      <c r="E60" s="3" t="str">
        <f>VLOOKUP(D60,Product_List!$A$2:$B$61,2,FALSE)</f>
        <v>Keyboard Basic 12</v>
      </c>
      <c r="F60" s="3" t="str">
        <f>_xlfn.XLOOKUP(E60,Product_List!$B$2:$B$61,Product_List!$E$2:$E$61,2)</f>
        <v>OfficeHub</v>
      </c>
      <c r="G60" s="3" t="str">
        <f>VLOOKUP(E60,Product_List!$B$2:$C$61,2,FALSE)</f>
        <v>Electronics</v>
      </c>
      <c r="H60" s="3" t="str">
        <f>SUBSTITUTE(SUBSTITUTE('Sales_RAW(BEFORE)'!G61,"kom",""),".","")</f>
        <v xml:space="preserve">13 </v>
      </c>
      <c r="I60" s="6">
        <f>VLOOKUP(E60,Product_List!$B$2:$D$61,3,FALSE)</f>
        <v>823.88</v>
      </c>
      <c r="J60" s="5">
        <f>IF(IFERROR(VALUE(SUBSTITUTE(SUBSTITUTE(TRIM('Sales_RAW(BEFORE)'!I61), "%", ""), ",", ".")), 0) &gt; 1, IFERROR(VALUE(SUBSTITUTE(SUBSTITUTE(TRIM('Sales_RAW(BEFORE)'!I61), "%", ""), ",", ".")), 0) / 100, IFERROR(VALUE(SUBSTITUTE(SUBSTITUTE(TRIM('Sales_RAW(BEFORE)'!I61), "%", ""), ",", ".")), 0))</f>
        <v>0.1</v>
      </c>
      <c r="K60" s="6">
        <f t="shared" si="0"/>
        <v>10710.44</v>
      </c>
      <c r="L60" s="6" t="str" cm="1">
        <f t="array" ref="L60">_xlfn.LET(
  _xlpm.valuta, UPPER(TRIM('Sales_RAW(BEFORE)'!K61)),
  _xlfn.IFS(
    _xlpm.valuta = "", "",
    OR(_xlpm.valuta = "USD", _xlpm.valuta = "$"), "$",
    OR(_xlpm.valuta = "EUR", _xlpm.valuta = "€"), "€",
    TRUE, _xlpm.valuta
  )
)</f>
        <v>$</v>
      </c>
      <c r="M60" s="3" t="str">
        <f>"E" &amp; TEXT(VALUE(SUBSTITUTE(SUBSTITUTE(SUBSTITUTE(UPPER(TRIM('Sales_RAW(BEFORE)'!L61)), "EMP", ""), "E", ""), "-", "")),"000")</f>
        <v>E024</v>
      </c>
      <c r="N60" s="3" t="str">
        <f>_xlfn.XLOOKUP(M60,Employees!$D$2:$D$26,Employees!$A$2:$A$26)</f>
        <v>Robert Smith</v>
      </c>
      <c r="O60" s="3" t="str">
        <f>_xlfn.XLOOKUP(N60,Employees!$A$2:$A$26,Employees!$C$2:$C$26,2)</f>
        <v>Retail</v>
      </c>
      <c r="P60" s="3" t="str">
        <f>PROPER('Sales_RAW(BEFORE)'!N61)</f>
        <v>East</v>
      </c>
      <c r="Q60" s="3" t="str">
        <f>VLOOKUP(N60,Employees!$A$2:$B$26,2,FALSE)</f>
        <v>Chicago</v>
      </c>
      <c r="R60" s="3" t="str">
        <f>PROPER('Sales_RAW(BEFORE)'!P61)</f>
        <v>Acme Inc.</v>
      </c>
      <c r="S60" s="3" t="str">
        <f>SUBSTITUTE(SUBSTITUTE('Sales_RAW(BEFORE)'!Q61,"EIN",""),":","")</f>
        <v>429757560</v>
      </c>
      <c r="T60" s="3" t="s">
        <v>1232</v>
      </c>
      <c r="U60" s="3" t="s">
        <v>1233</v>
      </c>
      <c r="V60" s="3" t="s">
        <v>1234</v>
      </c>
      <c r="W60" s="3" t="s">
        <v>1235</v>
      </c>
      <c r="X60" s="3" t="s">
        <v>173</v>
      </c>
      <c r="Y60" s="3" t="str">
        <f>PROPER('Sales_RAW(BEFORE)'!W61)</f>
        <v>Paypal</v>
      </c>
      <c r="Z60" s="3" t="str">
        <f>PROPER('Sales_RAW(BEFORE)'!X61)</f>
        <v>Delivered</v>
      </c>
      <c r="AA60" s="3" t="str" cm="1">
        <f t="array" ref="AA60">_xlfn.LET(
  _xlpm.val, TRIM(LOWER('Sales_RAW(BEFORE)'!Y61)),
  _xlfn.IFS(
    OR(_xlpm.val="yes", _xlpm.val="paid"), "Paid",
    OR(_xlpm.val="no", _xlpm.val="unpaid"), "Unpaid",
    OR(_xlpm.val="partial", _xlpm.val="partial paid"), "Partial",
    _xlpm.val="", "",
    TRUE, 'Sales_RAW(BEFORE)'!AY61
  )
)</f>
        <v>Unpaid</v>
      </c>
      <c r="AB60" s="3" t="s">
        <v>1236</v>
      </c>
      <c r="AC60" s="3" t="str">
        <f>PROPER('Sales_RAW(BEFORE)'!AA61)</f>
        <v>Store</v>
      </c>
      <c r="AD60" s="3" t="str">
        <f>SUBSTITUTE(SUBSTITUTE(SUBSTITUTE(SUBSTITUTE('Sales_RAW(BEFORE)'!AB61,"st",""),"q",""),"Q",""),"uarter","")</f>
        <v xml:space="preserve">1 </v>
      </c>
      <c r="AE60" s="3" t="str">
        <f>TEXT(IFERROR(DATEVALUE('Sales_RAW(BEFORE)'!AC61 &amp; " 1"), IFERROR(DATE(2025, 'Sales_RAW(BEFORE)'!AC61, 1), 'Sales_RAW(BEFORE)'!AC61)), "mmmm")</f>
        <v>December</v>
      </c>
      <c r="AF60" s="3">
        <f>_xlfn.LET(
  _xlpm.raw, TRIM(SUBSTITUTE('Sales_RAW(BEFORE)'!AD61, "'", "")),
  _xlpm.num, IFERROR(VALUE(_xlpm.raw), 0),
  IF(_xlpm.num &lt; 100, 2000 + _xlpm.num, _xlpm.num)
)</f>
        <v>2025</v>
      </c>
      <c r="AG60" s="3" t="str">
        <f>PROPER('Sales_RAW(BEFORE)'!AE61)</f>
        <v>Net 30</v>
      </c>
      <c r="AH60" s="3" cm="1">
        <f t="array" ref="AH60">_xlfn.LET(
  _xlpm.val, LOWER(TRIM('Sales_RAW(BEFORE)'!AF61)),
  _xlfn.IFS(
    OR(_xlpm.val="", _xlpm.val="null", _xlpm.val="N/A", _xlpm.val="-", _xlpm.val="#N/A"), 0,
    ISNUMBER('Sales_RAW(BEFORE)'!AF61), 'Sales_RAW(BEFORE)'!AF61,
    TRUE, IFERROR(_xlfn.NUMBERVALUE(_xlpm.val), 0)
  )
)</f>
        <v>15</v>
      </c>
      <c r="AI60" s="5">
        <f>IF(IFERROR(VALUE(SUBSTITUTE(SUBSTITUTE(TRIM('Sales_RAW(BEFORE)'!AG61), "%", ""), ",", ".")), 0) &gt; 1, IFERROR(VALUE(SUBSTITUTE(SUBSTITUTE(TRIM('Sales_RAW(BEFORE)'!AG61), "%", ""), ",", ".")), 0) / 100, IFERROR(VALUE(SUBSTITUTE(SUBSTITUTE(TRIM('Sales_RAW(BEFORE)'!AG61), "%", ""), ",", ".")), 0))</f>
        <v>0.08</v>
      </c>
      <c r="AJ60" s="6">
        <f t="shared" si="1"/>
        <v>856.8352000000001</v>
      </c>
      <c r="AK60" s="6">
        <f t="shared" si="2"/>
        <v>11567.2752</v>
      </c>
      <c r="AL60" s="6">
        <f>IFERROR(VALUE(SUBSTITUTE(SUBSTITUTE(SUBSTITUTE('Sales_RAW(BEFORE)'!AJ61,"$",""),"USD",""),",",".")),0)</f>
        <v>45.15</v>
      </c>
      <c r="AM60" s="3" t="str">
        <f>SUBSTITUTE(SUBSTITUTE(PROPER('Sales_RAW(BEFORE)'!AK61), "Fed Ex", "FedEx"),"Fedex","FedEx")</f>
        <v>FedEx</v>
      </c>
      <c r="AN60" s="3" t="s">
        <v>1238</v>
      </c>
      <c r="AO60" s="3" t="str">
        <f>SUBSTITUTE('Sales_RAW(BEFORE)'!AM61,"kg","")</f>
        <v>25,81</v>
      </c>
      <c r="AP60" s="3" t="str">
        <f>_xlfn.LET(
  _xlpm.raw, UPPER(TRIM('Sales_RAW(BEFORE)'!AN61)),
  _xlpm.clean, RIGHT(_xlpm.raw, 1),
  IF(OR(_xlpm.raw="", _xlpm.raw="null"), "N/A", _xlpm.clean)
)</f>
        <v>B</v>
      </c>
      <c r="AQ60" s="3">
        <v>159</v>
      </c>
      <c r="AR60" s="3" cm="1">
        <f t="array" ref="AR60">_xlfn.LET(
  _xlpm.raw, LOWER(TRIM('Sales_RAW(BEFORE)'!AP61)),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60" s="3"/>
      <c r="AT60" s="3"/>
      <c r="AU60" s="3"/>
      <c r="AV60" s="8">
        <f>IF(IFERROR(VALUE(SUBSTITUTE(SUBSTITUTE(TRIM('Sales_RAW(BEFORE)'!AT61), "%", ""), ",", ".")), 0) &gt; 1, IFERROR(VALUE(SUBSTITUTE(SUBSTITUTE(TRIM('Sales_RAW(BEFORE)'!AT61), "%", ""), ",", ".")), 0) / 100, IFERROR(VALUE(SUBSTITUTE(SUBSTITUTE(TRIM('Sales_RAW(BEFORE)'!AT61), "%", ""), ",", ".")), 0))</f>
        <v>0</v>
      </c>
      <c r="AW60" s="6">
        <f>BA60*(_xlfn.XLOOKUP(N60,Employees!$A$2:$A$26,Employees!$E$2:$E$26,2))</f>
        <v>185.07640320000002</v>
      </c>
      <c r="AX60" s="3" t="str">
        <f>PROPER('Sales_RAW(BEFORE)'!AV61)</f>
        <v>Daniel Davis</v>
      </c>
      <c r="AY60" s="3" t="str">
        <f t="shared" si="3"/>
        <v>Daniel Davis</v>
      </c>
      <c r="AZ60" s="3"/>
      <c r="BA60" s="24">
        <f>AK60*(1-(_xlfn.XLOOKUP(G60, Exchange_Rates!$B$8:$F$8, Exchange_Rates!$B$9:$F$9, 0)+J60))</f>
        <v>9253.8201600000011</v>
      </c>
      <c r="BB60" s="7" t="str" cm="1">
        <f t="array" ref="BB60">_xlfn.LET(
  _xlpm.raw_dt, SUBSTITUTE(TRIM(C60), ".", "/"),
  _xlpm.dt, IFERROR(DATEVALUE(_xlpm.raw_dt), C60),
  _xlpm.p_code, TRIM(E60),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Empty</v>
      </c>
      <c r="BC60" s="25">
        <f t="shared" si="4"/>
        <v>0</v>
      </c>
    </row>
    <row r="61" spans="1:55" ht="15.75" thickBot="1" x14ac:dyDescent="0.3">
      <c r="A61" s="3" t="s">
        <v>1241</v>
      </c>
      <c r="B61" s="10">
        <v>45696</v>
      </c>
      <c r="C61" s="4">
        <v>45963</v>
      </c>
      <c r="D61" s="3" t="str">
        <f>"P-" &amp; TEXT(VALUE(SUBSTITUTE(SUBSTITUTE(SUBSTITUTE(UPPER(TRIM('Sales_RAW(BEFORE)'!D62)), "P", ""), "-", ""), "_", "")),"000")</f>
        <v>P-006</v>
      </c>
      <c r="E61" s="3" t="str">
        <f>VLOOKUP(D61,Product_List!$A$2:$B$61,2,FALSE)</f>
        <v>Monitor X 6</v>
      </c>
      <c r="F61" s="3" t="str">
        <f>_xlfn.XLOOKUP(E61,Product_List!$B$2:$B$61,Product_List!$E$2:$E$61,2)</f>
        <v>TechSupply Co</v>
      </c>
      <c r="G61" s="3" t="str">
        <f>VLOOKUP(E61,Product_List!$B$2:$C$61,2,FALSE)</f>
        <v>Equipment</v>
      </c>
      <c r="H61" s="3" t="str">
        <f>SUBSTITUTE(SUBSTITUTE('Sales_RAW(BEFORE)'!G62,"kom",""),".","")</f>
        <v xml:space="preserve">14 </v>
      </c>
      <c r="I61" s="6">
        <f>VLOOKUP(E61,Product_List!$B$2:$D$61,3,FALSE)</f>
        <v>1421.82</v>
      </c>
      <c r="J61" s="5">
        <f>IF(IFERROR(VALUE(SUBSTITUTE(SUBSTITUTE(TRIM('Sales_RAW(BEFORE)'!I62), "%", ""), ",", ".")), 0) &gt; 1, IFERROR(VALUE(SUBSTITUTE(SUBSTITUTE(TRIM('Sales_RAW(BEFORE)'!I62), "%", ""), ",", ".")), 0) / 100, IFERROR(VALUE(SUBSTITUTE(SUBSTITUTE(TRIM('Sales_RAW(BEFORE)'!I62), "%", ""), ",", ".")), 0))</f>
        <v>0.1</v>
      </c>
      <c r="K61" s="6">
        <f t="shared" si="0"/>
        <v>19905.48</v>
      </c>
      <c r="L61" s="6" t="str" cm="1">
        <f t="array" ref="L61">_xlfn.LET(
  _xlpm.valuta, UPPER(TRIM('Sales_RAW(BEFORE)'!K62)),
  _xlfn.IFS(
    _xlpm.valuta = "", "",
    OR(_xlpm.valuta = "USD", _xlpm.valuta = "$"), "$",
    OR(_xlpm.valuta = "EUR", _xlpm.valuta = "€"), "€",
    TRUE, _xlpm.valuta
  )
)</f>
        <v>$</v>
      </c>
      <c r="M61" s="3" t="str">
        <f>"E" &amp; TEXT(VALUE(SUBSTITUTE(SUBSTITUTE(SUBSTITUTE(UPPER(TRIM('Sales_RAW(BEFORE)'!L62)), "EMP", ""), "E", ""), "-", "")),"000")</f>
        <v>E015</v>
      </c>
      <c r="N61" s="3" t="str">
        <f>_xlfn.XLOOKUP(M61,Employees!$D$2:$D$26,Employees!$A$2:$A$26)</f>
        <v>Sarah Jones</v>
      </c>
      <c r="O61" s="3" t="str">
        <f>_xlfn.XLOOKUP(N61,Employees!$A$2:$A$26,Employees!$C$2:$C$26,2)</f>
        <v>Wholesale</v>
      </c>
      <c r="P61" s="3" t="str">
        <f>PROPER('Sales_RAW(BEFORE)'!N62)</f>
        <v>West</v>
      </c>
      <c r="Q61" s="3" t="str">
        <f>VLOOKUP(N61,Employees!$A$2:$B$26,2,FALSE)</f>
        <v>Boston</v>
      </c>
      <c r="R61" s="3" t="str">
        <f>PROPER('Sales_RAW(BEFORE)'!P62)</f>
        <v>Initech Llc</v>
      </c>
      <c r="S61" s="3" t="str">
        <f>SUBSTITUTE(SUBSTITUTE('Sales_RAW(BEFORE)'!Q62,"EIN",""),":","")</f>
        <v>891637245</v>
      </c>
      <c r="T61" s="3" t="s">
        <v>1251</v>
      </c>
      <c r="U61" s="3" t="s">
        <v>1252</v>
      </c>
      <c r="V61" s="3" t="s">
        <v>1253</v>
      </c>
      <c r="W61" s="3" t="s">
        <v>1254</v>
      </c>
      <c r="X61" s="3" t="s">
        <v>173</v>
      </c>
      <c r="Y61" s="3" t="str">
        <f>PROPER('Sales_RAW(BEFORE)'!W62)</f>
        <v>Credit Card</v>
      </c>
      <c r="Z61" s="3" t="str">
        <f>PROPER('Sales_RAW(BEFORE)'!X62)</f>
        <v>Delivered</v>
      </c>
      <c r="AA61" s="3" t="str" cm="1">
        <f t="array" ref="AA61">_xlfn.LET(
  _xlpm.val, TRIM(LOWER('Sales_RAW(BEFORE)'!Y62)),
  _xlfn.IFS(
    OR(_xlpm.val="yes", _xlpm.val="paid"), "Paid",
    OR(_xlpm.val="no", _xlpm.val="unpaid"), "Unpaid",
    OR(_xlpm.val="partial", _xlpm.val="partial paid"), "Partial",
    _xlpm.val="", "",
    TRUE, 'Sales_RAW(BEFORE)'!AY62
  )
)</f>
        <v>Paid</v>
      </c>
      <c r="AB61" s="3" t="s">
        <v>1255</v>
      </c>
      <c r="AC61" s="3" t="str">
        <f>PROPER('Sales_RAW(BEFORE)'!AA62)</f>
        <v>Online</v>
      </c>
      <c r="AD61" s="3" t="str">
        <f>SUBSTITUTE(SUBSTITUTE(SUBSTITUTE(SUBSTITUTE('Sales_RAW(BEFORE)'!AB62,"st",""),"q",""),"Q",""),"uarter","")</f>
        <v>2</v>
      </c>
      <c r="AE61" s="3" t="str">
        <f>TEXT(IFERROR(DATEVALUE('Sales_RAW(BEFORE)'!AC62 &amp; " 1"), IFERROR(DATE(2025, 'Sales_RAW(BEFORE)'!AC62, 1), 'Sales_RAW(BEFORE)'!AC62)), "mmmm")</f>
        <v>February</v>
      </c>
      <c r="AF61" s="3">
        <f>_xlfn.LET(
  _xlpm.raw, TRIM(SUBSTITUTE('Sales_RAW(BEFORE)'!AD62, "'", "")),
  _xlpm.num, IFERROR(VALUE(_xlpm.raw), 0),
  IF(_xlpm.num &lt; 100, 2000 + _xlpm.num, _xlpm.num)
)</f>
        <v>2025</v>
      </c>
      <c r="AG61" s="3" t="str">
        <f>PROPER('Sales_RAW(BEFORE)'!AE62)</f>
        <v>Net 30</v>
      </c>
      <c r="AH61" s="3" cm="1">
        <f t="array" ref="AH61">_xlfn.LET(
  _xlpm.val, LOWER(TRIM('Sales_RAW(BEFORE)'!AF62)),
  _xlfn.IFS(
    OR(_xlpm.val="", _xlpm.val="null", _xlpm.val="N/A", _xlpm.val="-", _xlpm.val="#N/A"), 0,
    ISNUMBER('Sales_RAW(BEFORE)'!AF62), 'Sales_RAW(BEFORE)'!AF62,
    TRUE, IFERROR(_xlfn.NUMBERVALUE(_xlpm.val), 0)
  )
)</f>
        <v>60</v>
      </c>
      <c r="AI61" s="5">
        <f>IF(IFERROR(VALUE(SUBSTITUTE(SUBSTITUTE(TRIM('Sales_RAW(BEFORE)'!AG62), "%", ""), ",", ".")), 0) &gt; 1, IFERROR(VALUE(SUBSTITUTE(SUBSTITUTE(TRIM('Sales_RAW(BEFORE)'!AG62), "%", ""), ",", ".")), 0) / 100, IFERROR(VALUE(SUBSTITUTE(SUBSTITUTE(TRIM('Sales_RAW(BEFORE)'!AG62), "%", ""), ",", ".")), 0))</f>
        <v>0.08</v>
      </c>
      <c r="AJ61" s="6">
        <f t="shared" si="1"/>
        <v>1592.4384</v>
      </c>
      <c r="AK61" s="6">
        <f t="shared" si="2"/>
        <v>21497.918399999999</v>
      </c>
      <c r="AL61" s="6">
        <f>IFERROR(VALUE(SUBSTITUTE(SUBSTITUTE(SUBSTITUTE('Sales_RAW(BEFORE)'!AJ62,"$",""),"USD",""),",",".")),0)</f>
        <v>13.63</v>
      </c>
      <c r="AM61" s="3" t="str">
        <f>SUBSTITUTE(SUBSTITUTE(PROPER('Sales_RAW(BEFORE)'!AK62), "Fed Ex", "FedEx"),"Fedex","FedEx")</f>
        <v>Usps</v>
      </c>
      <c r="AN61" s="3" t="s">
        <v>1257</v>
      </c>
      <c r="AO61" s="3" t="str">
        <f>SUBSTITUTE('Sales_RAW(BEFORE)'!AM62,"kg","")</f>
        <v xml:space="preserve">18.1 </v>
      </c>
      <c r="AP61" s="3" t="str">
        <f>_xlfn.LET(
  _xlpm.raw, UPPER(TRIM('Sales_RAW(BEFORE)'!AN62)),
  _xlpm.clean, RIGHT(_xlpm.raw, 1),
  IF(OR(_xlpm.raw="", _xlpm.raw="null"), "N/A", _xlpm.clean)
)</f>
        <v>B</v>
      </c>
      <c r="AQ61" s="3">
        <v>443</v>
      </c>
      <c r="AR61" s="3" cm="1">
        <f t="array" ref="AR61">_xlfn.LET(
  _xlpm.raw, LOWER(TRIM('Sales_RAW(BEFORE)'!AP62)),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61" s="3"/>
      <c r="AT61" s="3"/>
      <c r="AU61" s="3"/>
      <c r="AV61" s="8">
        <f>IF(IFERROR(VALUE(SUBSTITUTE(SUBSTITUTE(TRIM('Sales_RAW(BEFORE)'!AT62), "%", ""), ",", ".")), 0) &gt; 1, IFERROR(VALUE(SUBSTITUTE(SUBSTITUTE(TRIM('Sales_RAW(BEFORE)'!AT62), "%", ""), ",", ".")), 0) / 100, IFERROR(VALUE(SUBSTITUTE(SUBSTITUTE(TRIM('Sales_RAW(BEFORE)'!AT62), "%", ""), ",", ".")), 0))</f>
        <v>0.15</v>
      </c>
      <c r="AW61" s="6">
        <f>BA61*(_xlfn.XLOOKUP(N61,Employees!$A$2:$A$26,Employees!$E$2:$E$26,2))</f>
        <v>515.95004159999996</v>
      </c>
      <c r="AX61" s="3" t="str">
        <f>PROPER('Sales_RAW(BEFORE)'!AV62)</f>
        <v xml:space="preserve">Robert Anderson   </v>
      </c>
      <c r="AY61" s="3" t="str">
        <f t="shared" si="3"/>
        <v xml:space="preserve">Robert Anderson   </v>
      </c>
      <c r="AZ61" s="3"/>
      <c r="BA61" s="24">
        <f>AK61*(1-(_xlfn.XLOOKUP(G61, Exchange_Rates!$B$8:$F$8, Exchange_Rates!$B$9:$F$9, 0)+J61))</f>
        <v>17198.334719999999</v>
      </c>
      <c r="BB61" s="7" cm="1">
        <f t="array" ref="BB61">_xlfn.LET(
  _xlpm.raw_dt, SUBSTITUTE(TRIM(C61), ".", "/"),
  _xlpm.dt, IFERROR(DATEVALUE(_xlpm.raw_dt), C61),
  _xlpm.p_code, TRIM(E61),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46328</v>
      </c>
      <c r="BC61" s="25">
        <f t="shared" si="4"/>
        <v>2579.7502079999999</v>
      </c>
    </row>
    <row r="62" spans="1:55" ht="15.75" thickBot="1" x14ac:dyDescent="0.3">
      <c r="A62" s="3" t="s">
        <v>1260</v>
      </c>
      <c r="B62" s="10">
        <v>45728</v>
      </c>
      <c r="C62" s="4">
        <v>45732</v>
      </c>
      <c r="D62" s="3" t="str">
        <f>"P-" &amp; TEXT(VALUE(SUBSTITUTE(SUBSTITUTE(SUBSTITUTE(UPPER(TRIM('Sales_RAW(BEFORE)'!D64)), "P", ""), "-", ""), "_", "")),"000")</f>
        <v>P-038</v>
      </c>
      <c r="E62" s="3" t="str">
        <f>VLOOKUP(D62,Product_List!$A$2:$B$61,2,FALSE)</f>
        <v>Cable Max 38</v>
      </c>
      <c r="F62" s="3" t="str">
        <f>_xlfn.XLOOKUP(E62,Product_List!$B$2:$B$61,Product_List!$E$2:$E$61,2)</f>
        <v>TechSupply Co</v>
      </c>
      <c r="G62" s="3" t="str">
        <f>VLOOKUP(E62,Product_List!$B$2:$C$61,2,FALSE)</f>
        <v>Electronics</v>
      </c>
      <c r="H62" s="3" t="str">
        <f>SUBSTITUTE(SUBSTITUTE('Sales_RAW(BEFORE)'!G64,"kom",""),".","")</f>
        <v xml:space="preserve">29 </v>
      </c>
      <c r="I62" s="6">
        <f>VLOOKUP(E62,Product_List!$B$2:$D$61,3,FALSE)</f>
        <v>687.68</v>
      </c>
      <c r="J62" s="5">
        <f>IF(IFERROR(VALUE(SUBSTITUTE(SUBSTITUTE(TRIM('Sales_RAW(BEFORE)'!I64), "%", ""), ",", ".")), 0) &gt; 1, IFERROR(VALUE(SUBSTITUTE(SUBSTITUTE(TRIM('Sales_RAW(BEFORE)'!I64), "%", ""), ",", ".")), 0) / 100, IFERROR(VALUE(SUBSTITUTE(SUBSTITUTE(TRIM('Sales_RAW(BEFORE)'!I64), "%", ""), ",", ".")), 0))</f>
        <v>0</v>
      </c>
      <c r="K62" s="6">
        <f t="shared" si="0"/>
        <v>19942.719999999998</v>
      </c>
      <c r="L62" s="6" t="str" cm="1">
        <f t="array" ref="L62">_xlfn.LET(
  _xlpm.valuta, UPPER(TRIM('Sales_RAW(BEFORE)'!K64)),
  _xlfn.IFS(
    _xlpm.valuta = "", "",
    OR(_xlpm.valuta = "USD", _xlpm.valuta = "$"), "$",
    OR(_xlpm.valuta = "EUR", _xlpm.valuta = "€"), "€",
    TRUE, _xlpm.valuta
  )
)</f>
        <v>$</v>
      </c>
      <c r="M62" s="3" t="str">
        <f>"E" &amp; TEXT(VALUE(SUBSTITUTE(SUBSTITUTE(SUBSTITUTE(UPPER(TRIM('Sales_RAW(BEFORE)'!L64)), "EMP", ""), "E", ""), "-", "")),"000")</f>
        <v>E017</v>
      </c>
      <c r="N62" s="3" t="str">
        <f>_xlfn.XLOOKUP(M62,Employees!$D$2:$D$26,Employees!$A$2:$A$26)</f>
        <v>Robert Davis</v>
      </c>
      <c r="O62" s="3" t="str">
        <f>_xlfn.XLOOKUP(N62,Employees!$A$2:$A$26,Employees!$C$2:$C$26,2)</f>
        <v>Wholesale</v>
      </c>
      <c r="P62" s="3" t="str">
        <f>PROPER('Sales_RAW(BEFORE)'!N64)</f>
        <v>West</v>
      </c>
      <c r="Q62" s="3" t="str">
        <f>VLOOKUP(N62,Employees!$A$2:$B$26,2,FALSE)</f>
        <v>Miami</v>
      </c>
      <c r="R62" s="3" t="str">
        <f>PROPER('Sales_RAW(BEFORE)'!P64)</f>
        <v>Wayne Inc</v>
      </c>
      <c r="S62" s="3" t="str">
        <f>SUBSTITUTE(SUBSTITUTE('Sales_RAW(BEFORE)'!Q64,"EIN",""),":","")</f>
        <v>300591442</v>
      </c>
      <c r="T62" s="3" t="s">
        <v>1271</v>
      </c>
      <c r="U62" s="3" t="s">
        <v>1272</v>
      </c>
      <c r="V62" s="3" t="s">
        <v>1273</v>
      </c>
      <c r="W62" s="3" t="s">
        <v>1274</v>
      </c>
      <c r="X62" s="3" t="s">
        <v>173</v>
      </c>
      <c r="Y62" s="3" t="str">
        <f>PROPER('Sales_RAW(BEFORE)'!W64)</f>
        <v>Wire</v>
      </c>
      <c r="Z62" s="3" t="str">
        <f>PROPER('Sales_RAW(BEFORE)'!X64)</f>
        <v>Cancelled</v>
      </c>
      <c r="AA62" s="3" t="str" cm="1">
        <f t="array" ref="AA62">_xlfn.LET(
  _xlpm.val, TRIM(LOWER('Sales_RAW(BEFORE)'!Y64)),
  _xlfn.IFS(
    OR(_xlpm.val="yes", _xlpm.val="paid"), "Paid",
    OR(_xlpm.val="no", _xlpm.val="unpaid"), "Unpaid",
    OR(_xlpm.val="partial", _xlpm.val="partial paid"), "Partial",
    _xlpm.val="", "",
    TRUE, 'Sales_RAW(BEFORE)'!AY64
  )
)</f>
        <v>Paid</v>
      </c>
      <c r="AB62" s="3" t="s">
        <v>1275</v>
      </c>
      <c r="AC62" s="3" t="str">
        <f>PROPER('Sales_RAW(BEFORE)'!AA64)</f>
        <v>Online</v>
      </c>
      <c r="AD62" s="3" t="str">
        <f>SUBSTITUTE(SUBSTITUTE(SUBSTITUTE(SUBSTITUTE('Sales_RAW(BEFORE)'!AB64,"st",""),"q",""),"Q",""),"uarter","")</f>
        <v>1</v>
      </c>
      <c r="AE62" s="3" t="str">
        <f>TEXT(IFERROR(DATEVALUE('Sales_RAW(BEFORE)'!AC64 &amp; " 1"), IFERROR(DATE(2025, 'Sales_RAW(BEFORE)'!AC64, 1), 'Sales_RAW(BEFORE)'!AC64)), "mmmm")</f>
        <v>March</v>
      </c>
      <c r="AF62" s="3">
        <f>_xlfn.LET(
  _xlpm.raw, TRIM(SUBSTITUTE('Sales_RAW(BEFORE)'!AD64, "'", "")),
  _xlpm.num, IFERROR(VALUE(_xlpm.raw), 0),
  IF(_xlpm.num &lt; 100, 2000 + _xlpm.num, _xlpm.num)
)</f>
        <v>2025</v>
      </c>
      <c r="AG62" s="3" t="str">
        <f>PROPER('Sales_RAW(BEFORE)'!AE64)</f>
        <v>Immediate</v>
      </c>
      <c r="AH62" s="3" cm="1">
        <f t="array" ref="AH62">_xlfn.LET(
  _xlpm.val, LOWER(TRIM('Sales_RAW(BEFORE)'!AF64)),
  _xlfn.IFS(
    OR(_xlpm.val="", _xlpm.val="null", _xlpm.val="N/A", _xlpm.val="-", _xlpm.val="#N/A"), 0,
    ISNUMBER('Sales_RAW(BEFORE)'!AF64), 'Sales_RAW(BEFORE)'!AF64,
    TRUE, IFERROR(_xlfn.NUMBERVALUE(_xlpm.val), 0)
  )
)</f>
        <v>3</v>
      </c>
      <c r="AI62" s="5">
        <f>IF(IFERROR(VALUE(SUBSTITUTE(SUBSTITUTE(TRIM('Sales_RAW(BEFORE)'!AG64), "%", ""), ",", ".")), 0) &gt; 1, IFERROR(VALUE(SUBSTITUTE(SUBSTITUTE(TRIM('Sales_RAW(BEFORE)'!AG64), "%", ""), ",", ".")), 0) / 100, IFERROR(VALUE(SUBSTITUTE(SUBSTITUTE(TRIM('Sales_RAW(BEFORE)'!AG64), "%", ""), ",", ".")), 0))</f>
        <v>0.08</v>
      </c>
      <c r="AJ62" s="6">
        <f t="shared" si="1"/>
        <v>1595.4175999999998</v>
      </c>
      <c r="AK62" s="6">
        <f t="shared" si="2"/>
        <v>21538.137599999998</v>
      </c>
      <c r="AL62" s="6">
        <f>IFERROR(VALUE(SUBSTITUTE(SUBSTITUTE(SUBSTITUTE('Sales_RAW(BEFORE)'!AJ64,"$",""),"USD",""),",",".")),0)</f>
        <v>30.21</v>
      </c>
      <c r="AM62" s="3" t="str">
        <f>SUBSTITUTE(SUBSTITUTE(PROPER('Sales_RAW(BEFORE)'!AK64), "Fed Ex", "FedEx"),"Fedex","FedEx")</f>
        <v>Dhl</v>
      </c>
      <c r="AN62" s="3" t="s">
        <v>1277</v>
      </c>
      <c r="AO62" s="3" t="str">
        <f>SUBSTITUTE('Sales_RAW(BEFORE)'!AM64,"kg","")</f>
        <v>24,1</v>
      </c>
      <c r="AP62" s="3" t="str">
        <f>_xlfn.LET(
  _xlpm.raw, UPPER(TRIM('Sales_RAW(BEFORE)'!AN64)),
  _xlpm.clean, RIGHT(_xlpm.raw, 1),
  IF(OR(_xlpm.raw="", _xlpm.raw="null"), "N/A", _xlpm.clean)
)</f>
        <v>A</v>
      </c>
      <c r="AQ62" s="3">
        <v>383</v>
      </c>
      <c r="AR62" s="3" cm="1">
        <f t="array" ref="AR62">_xlfn.LET(
  _xlpm.raw, LOWER(TRIM('Sales_RAW(BEFORE)'!AP64)),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62" s="3"/>
      <c r="AT62" s="3"/>
      <c r="AU62" s="3"/>
      <c r="AV62" s="8">
        <f>IF(IFERROR(VALUE(SUBSTITUTE(SUBSTITUTE(TRIM('Sales_RAW(BEFORE)'!AT64), "%", ""), ",", ".")), 0) &gt; 1, IFERROR(VALUE(SUBSTITUTE(SUBSTITUTE(TRIM('Sales_RAW(BEFORE)'!AT64), "%", ""), ",", ".")), 0) / 100, IFERROR(VALUE(SUBSTITUTE(SUBSTITUTE(TRIM('Sales_RAW(BEFORE)'!AT64), "%", ""), ",", ".")), 0))</f>
        <v>0.18</v>
      </c>
      <c r="AW62" s="6">
        <f>BA62*(_xlfn.XLOOKUP(N62,Employees!$A$2:$A$26,Employees!$E$2:$E$26,2))</f>
        <v>581.52971519999994</v>
      </c>
      <c r="AX62" s="3" t="str">
        <f>PROPER('Sales_RAW(BEFORE)'!AV64)</f>
        <v xml:space="preserve">   James Smith</v>
      </c>
      <c r="AY62" s="3" t="str">
        <f t="shared" si="3"/>
        <v xml:space="preserve">   James Smith</v>
      </c>
      <c r="AZ62" s="3"/>
      <c r="BA62" s="24">
        <f>AK62*(1-(_xlfn.XLOOKUP(G62, Exchange_Rates!$B$8:$F$8, Exchange_Rates!$B$9:$F$9, 0)+J62))</f>
        <v>19384.323839999997</v>
      </c>
      <c r="BB62" s="7" cm="1">
        <f t="array" ref="BB62">_xlfn.LET(
  _xlpm.raw_dt, SUBSTITUTE(TRIM(C62), ".", "/"),
  _xlpm.dt, IFERROR(DATEVALUE(_xlpm.raw_dt), C62),
  _xlpm.p_code, TRIM(E62),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46462</v>
      </c>
      <c r="BC62" s="25">
        <f t="shared" si="4"/>
        <v>3489.1782911999994</v>
      </c>
    </row>
    <row r="63" spans="1:55" ht="15.75" thickBot="1" x14ac:dyDescent="0.3">
      <c r="A63" s="3" t="s">
        <v>1282</v>
      </c>
      <c r="B63" s="10">
        <v>45879</v>
      </c>
      <c r="C63" s="4">
        <v>45887</v>
      </c>
      <c r="D63" s="3" t="str">
        <f>"P-" &amp; TEXT(VALUE(SUBSTITUTE(SUBSTITUTE(SUBSTITUTE(UPPER(TRIM('Sales_RAW(BEFORE)'!D65)), "P", ""), "-", ""), "_", "")),"000")</f>
        <v>P-046</v>
      </c>
      <c r="E63" s="3" t="str">
        <f>VLOOKUP(D63,Product_List!$A$2:$B$61,2,FALSE)</f>
        <v>Chair Basic 46</v>
      </c>
      <c r="F63" s="3" t="str">
        <f>_xlfn.XLOOKUP(E63,Product_List!$B$2:$B$61,Product_List!$E$2:$E$61,2)</f>
        <v>Global Distrib</v>
      </c>
      <c r="G63" s="3" t="str">
        <f>VLOOKUP(E63,Product_List!$B$2:$C$61,2,FALSE)</f>
        <v>Equipment</v>
      </c>
      <c r="H63" s="3" t="str">
        <f>SUBSTITUTE(SUBSTITUTE('Sales_RAW(BEFORE)'!G65,"kom",""),".","")</f>
        <v xml:space="preserve">28 </v>
      </c>
      <c r="I63" s="6">
        <f>VLOOKUP(E63,Product_List!$B$2:$D$61,3,FALSE)</f>
        <v>549.41999999999996</v>
      </c>
      <c r="J63" s="5">
        <f>IF(IFERROR(VALUE(SUBSTITUTE(SUBSTITUTE(TRIM('Sales_RAW(BEFORE)'!I65), "%", ""), ",", ".")), 0) &gt; 1, IFERROR(VALUE(SUBSTITUTE(SUBSTITUTE(TRIM('Sales_RAW(BEFORE)'!I65), "%", ""), ",", ".")), 0) / 100, IFERROR(VALUE(SUBSTITUTE(SUBSTITUTE(TRIM('Sales_RAW(BEFORE)'!I65), "%", ""), ",", ".")), 0))</f>
        <v>0.1</v>
      </c>
      <c r="K63" s="6">
        <f t="shared" si="0"/>
        <v>15383.759999999998</v>
      </c>
      <c r="L63" s="6" t="str" cm="1">
        <f t="array" ref="L63">_xlfn.LET(
  _xlpm.valuta, UPPER(TRIM('Sales_RAW(BEFORE)'!K65)),
  _xlfn.IFS(
    _xlpm.valuta = "", "",
    OR(_xlpm.valuta = "USD", _xlpm.valuta = "$"), "$",
    OR(_xlpm.valuta = "EUR", _xlpm.valuta = "€"), "€",
    TRUE, _xlpm.valuta
  )
)</f>
        <v>$</v>
      </c>
      <c r="M63" s="3" t="str">
        <f>"E" &amp; TEXT(VALUE(SUBSTITUTE(SUBSTITUTE(SUBSTITUTE(UPPER(TRIM('Sales_RAW(BEFORE)'!L65)), "EMP", ""), "E", ""), "-", "")),"000")</f>
        <v>E020</v>
      </c>
      <c r="N63" s="3" t="str">
        <f>_xlfn.XLOOKUP(M63,Employees!$D$2:$D$26,Employees!$A$2:$A$26)</f>
        <v>Robert Taylor</v>
      </c>
      <c r="O63" s="3" t="str">
        <f>_xlfn.XLOOKUP(N63,Employees!$A$2:$A$26,Employees!$C$2:$C$26,2)</f>
        <v>Retail</v>
      </c>
      <c r="P63" s="3" t="str">
        <f>PROPER('Sales_RAW(BEFORE)'!N65)</f>
        <v>West</v>
      </c>
      <c r="Q63" s="3" t="str">
        <f>VLOOKUP(N63,Employees!$A$2:$B$26,2,FALSE)</f>
        <v>New York</v>
      </c>
      <c r="R63" s="3" t="str">
        <f>PROPER('Sales_RAW(BEFORE)'!P65)</f>
        <v>Acme Llc</v>
      </c>
      <c r="S63" s="3" t="str">
        <f>SUBSTITUTE(SUBSTITUTE('Sales_RAW(BEFORE)'!Q65,"EIN",""),":","")</f>
        <v>606622553</v>
      </c>
      <c r="T63" s="3" t="s">
        <v>1292</v>
      </c>
      <c r="U63" s="3" t="s">
        <v>1293</v>
      </c>
      <c r="V63" s="3" t="s">
        <v>1294</v>
      </c>
      <c r="W63" s="3" t="s">
        <v>1295</v>
      </c>
      <c r="X63" s="3" t="s">
        <v>173</v>
      </c>
      <c r="Y63" s="3" t="str">
        <f>PROPER('Sales_RAW(BEFORE)'!W65)</f>
        <v>Wire</v>
      </c>
      <c r="Z63" s="3" t="str">
        <f>PROPER('Sales_RAW(BEFORE)'!X65)</f>
        <v>Delivered</v>
      </c>
      <c r="AA63" s="3" t="str" cm="1">
        <f t="array" ref="AA63">_xlfn.LET(
  _xlpm.val, TRIM(LOWER('Sales_RAW(BEFORE)'!Y65)),
  _xlfn.IFS(
    OR(_xlpm.val="yes", _xlpm.val="paid"), "Paid",
    OR(_xlpm.val="no", _xlpm.val="unpaid"), "Unpaid",
    OR(_xlpm.val="partial", _xlpm.val="partial paid"), "Partial",
    _xlpm.val="", "",
    TRUE, 'Sales_RAW(BEFORE)'!AY65
  )
)</f>
        <v>Paid</v>
      </c>
      <c r="AB63" s="3" t="s">
        <v>1296</v>
      </c>
      <c r="AC63" s="3" t="str">
        <f>PROPER('Sales_RAW(BEFORE)'!AA65)</f>
        <v>Phone</v>
      </c>
      <c r="AD63" s="3" t="str">
        <f>SUBSTITUTE(SUBSTITUTE(SUBSTITUTE(SUBSTITUTE('Sales_RAW(BEFORE)'!AB65,"st",""),"q",""),"Q",""),"uarter","")</f>
        <v xml:space="preserve">1 </v>
      </c>
      <c r="AE63" s="3" t="str">
        <f>TEXT(IFERROR(DATEVALUE('Sales_RAW(BEFORE)'!AC65 &amp; " 1"), IFERROR(DATE(2025, 'Sales_RAW(BEFORE)'!AC65, 1), 'Sales_RAW(BEFORE)'!AC65)), "mmmm")</f>
        <v>August</v>
      </c>
      <c r="AF63" s="3">
        <f>_xlfn.LET(
  _xlpm.raw, TRIM(SUBSTITUTE('Sales_RAW(BEFORE)'!AD65, "'", "")),
  _xlpm.num, IFERROR(VALUE(_xlpm.raw), 0),
  IF(_xlpm.num &lt; 100, 2000 + _xlpm.num, _xlpm.num)
)</f>
        <v>2025</v>
      </c>
      <c r="AG63" s="3" t="str">
        <f>PROPER('Sales_RAW(BEFORE)'!AE65)</f>
        <v>Immediate</v>
      </c>
      <c r="AH63" s="3" cm="1">
        <f t="array" ref="AH63">_xlfn.LET(
  _xlpm.val, LOWER(TRIM('Sales_RAW(BEFORE)'!AF65)),
  _xlfn.IFS(
    OR(_xlpm.val="", _xlpm.val="null", _xlpm.val="N/A", _xlpm.val="-", _xlpm.val="#N/A"), 0,
    ISNUMBER('Sales_RAW(BEFORE)'!AF65), 'Sales_RAW(BEFORE)'!AF65,
    TRUE, IFERROR(_xlfn.NUMBERVALUE(_xlpm.val), 0)
  )
)</f>
        <v>55</v>
      </c>
      <c r="AI63" s="5">
        <f>IF(IFERROR(VALUE(SUBSTITUTE(SUBSTITUTE(TRIM('Sales_RAW(BEFORE)'!AG65), "%", ""), ",", ".")), 0) &gt; 1, IFERROR(VALUE(SUBSTITUTE(SUBSTITUTE(TRIM('Sales_RAW(BEFORE)'!AG65), "%", ""), ",", ".")), 0) / 100, IFERROR(VALUE(SUBSTITUTE(SUBSTITUTE(TRIM('Sales_RAW(BEFORE)'!AG65), "%", ""), ",", ".")), 0))</f>
        <v>0.08</v>
      </c>
      <c r="AJ63" s="6">
        <f t="shared" si="1"/>
        <v>1230.7007999999998</v>
      </c>
      <c r="AK63" s="6">
        <f t="shared" si="2"/>
        <v>16614.460799999997</v>
      </c>
      <c r="AL63" s="6">
        <f>IFERROR(VALUE(SUBSTITUTE(SUBSTITUTE(SUBSTITUTE('Sales_RAW(BEFORE)'!AJ65,"$",""),"USD",""),",",".")),0)</f>
        <v>27.71</v>
      </c>
      <c r="AM63" s="3" t="str">
        <f>SUBSTITUTE(SUBSTITUTE(PROPER('Sales_RAW(BEFORE)'!AK65), "Fed Ex", "FedEx"),"Fedex","FedEx")</f>
        <v>FedEx</v>
      </c>
      <c r="AN63" s="3" t="s">
        <v>1297</v>
      </c>
      <c r="AO63" s="3" t="str">
        <f>SUBSTITUTE('Sales_RAW(BEFORE)'!AM65,"kg","")</f>
        <v xml:space="preserve">20.4 </v>
      </c>
      <c r="AP63" s="3" t="str">
        <f>_xlfn.LET(
  _xlpm.raw, UPPER(TRIM('Sales_RAW(BEFORE)'!AN65)),
  _xlpm.clean, RIGHT(_xlpm.raw, 1),
  IF(OR(_xlpm.raw="", _xlpm.raw="null"), "N/A", _xlpm.clean)
)</f>
        <v>C</v>
      </c>
      <c r="AQ63" s="3">
        <v>292</v>
      </c>
      <c r="AR63" s="3" cm="1">
        <f t="array" ref="AR63">_xlfn.LET(
  _xlpm.raw, LOWER(TRIM('Sales_RAW(BEFORE)'!AP65)),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63" s="3"/>
      <c r="AT63" s="3"/>
      <c r="AU63" s="3"/>
      <c r="AV63" s="8">
        <f>IF(IFERROR(VALUE(SUBSTITUTE(SUBSTITUTE(TRIM('Sales_RAW(BEFORE)'!AT65), "%", ""), ",", ".")), 0) &gt; 1, IFERROR(VALUE(SUBSTITUTE(SUBSTITUTE(TRIM('Sales_RAW(BEFORE)'!AT65), "%", ""), ",", ".")), 0) / 100, IFERROR(VALUE(SUBSTITUTE(SUBSTITUTE(TRIM('Sales_RAW(BEFORE)'!AT65), "%", ""), ",", ".")), 0))</f>
        <v>0.15</v>
      </c>
      <c r="AW63" s="6">
        <f>BA63*(_xlfn.XLOOKUP(N63,Employees!$A$2:$A$26,Employees!$E$2:$E$26,2))</f>
        <v>398.74705919999991</v>
      </c>
      <c r="AX63" s="3" t="str">
        <f>PROPER('Sales_RAW(BEFORE)'!AV65)</f>
        <v xml:space="preserve"> Ryan Taylor</v>
      </c>
      <c r="AY63" s="3" t="str">
        <f t="shared" si="3"/>
        <v xml:space="preserve"> Ryan Taylor</v>
      </c>
      <c r="AZ63" s="3"/>
      <c r="BA63" s="24">
        <f>AK63*(1-(_xlfn.XLOOKUP(G63, Exchange_Rates!$B$8:$F$8, Exchange_Rates!$B$9:$F$9, 0)+J63))</f>
        <v>13291.568639999998</v>
      </c>
      <c r="BB63" s="7" cm="1">
        <f t="array" ref="BB63">_xlfn.LET(
  _xlpm.raw_dt, SUBSTITUTE(TRIM(C63), ".", "/"),
  _xlpm.dt, IFERROR(DATEVALUE(_xlpm.raw_dt), C63),
  _xlpm.p_code, TRIM(E63),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46983</v>
      </c>
      <c r="BC63" s="25">
        <f t="shared" si="4"/>
        <v>1993.7352959999996</v>
      </c>
    </row>
    <row r="64" spans="1:55" ht="15.75" thickBot="1" x14ac:dyDescent="0.3">
      <c r="A64" s="3" t="s">
        <v>1302</v>
      </c>
      <c r="B64" s="10">
        <v>46117</v>
      </c>
      <c r="C64" s="4">
        <f>DATE(2026,4,12)</f>
        <v>46124</v>
      </c>
      <c r="D64" s="3" t="str">
        <f>"P-" &amp; TEXT(VALUE(SUBSTITUTE(SUBSTITUTE(SUBSTITUTE(UPPER(TRIM('Sales_RAW(BEFORE)'!D66)), "P", ""), "-", ""), "_", "")),"000")</f>
        <v>P-046</v>
      </c>
      <c r="E64" s="3" t="str">
        <f>VLOOKUP(D64,Product_List!$A$2:$B$61,2,FALSE)</f>
        <v>Chair Basic 46</v>
      </c>
      <c r="F64" s="3" t="str">
        <f>_xlfn.XLOOKUP(E64,Product_List!$B$2:$B$61,Product_List!$E$2:$E$61,2)</f>
        <v>Global Distrib</v>
      </c>
      <c r="G64" s="3" t="str">
        <f>VLOOKUP(E64,Product_List!$B$2:$C$61,2,FALSE)</f>
        <v>Equipment</v>
      </c>
      <c r="H64" s="3" t="str">
        <f>SUBSTITUTE(SUBSTITUTE('Sales_RAW(BEFORE)'!G66,"kom",""),".","")</f>
        <v xml:space="preserve">16 </v>
      </c>
      <c r="I64" s="6">
        <f>VLOOKUP(E64,Product_List!$B$2:$D$61,3,FALSE)</f>
        <v>549.41999999999996</v>
      </c>
      <c r="J64" s="5">
        <f>IF(IFERROR(VALUE(SUBSTITUTE(SUBSTITUTE(TRIM('Sales_RAW(BEFORE)'!I66), "%", ""), ",", ".")), 0) &gt; 1, IFERROR(VALUE(SUBSTITUTE(SUBSTITUTE(TRIM('Sales_RAW(BEFORE)'!I66), "%", ""), ",", ".")), 0) / 100, IFERROR(VALUE(SUBSTITUTE(SUBSTITUTE(TRIM('Sales_RAW(BEFORE)'!I66), "%", ""), ",", ".")), 0))</f>
        <v>0.05</v>
      </c>
      <c r="K64" s="6">
        <f t="shared" si="0"/>
        <v>8790.7199999999993</v>
      </c>
      <c r="L64" s="6" t="str" cm="1">
        <f t="array" ref="L64">_xlfn.LET(
  _xlpm.valuta, UPPER(TRIM('Sales_RAW(BEFORE)'!K66)),
  _xlfn.IFS(
    _xlpm.valuta = "", "",
    OR(_xlpm.valuta = "USD", _xlpm.valuta = "$"), "$",
    OR(_xlpm.valuta = "EUR", _xlpm.valuta = "€"), "€",
    TRUE, _xlpm.valuta
  )
)</f>
        <v>$</v>
      </c>
      <c r="M64" s="3" t="str">
        <f>"E" &amp; TEXT(VALUE(SUBSTITUTE(SUBSTITUTE(SUBSTITUTE(UPPER(TRIM('Sales_RAW(BEFORE)'!L66)), "EMP", ""), "E", ""), "-", "")),"000")</f>
        <v>E023</v>
      </c>
      <c r="N64" s="3" t="str">
        <f>_xlfn.XLOOKUP(M64,Employees!$D$2:$D$26,Employees!$A$2:$A$26)</f>
        <v>Laura Anderson</v>
      </c>
      <c r="O64" s="3" t="str">
        <f>_xlfn.XLOOKUP(N64,Employees!$A$2:$A$26,Employees!$C$2:$C$26,2)</f>
        <v>Sales</v>
      </c>
      <c r="P64" s="3" t="str">
        <f>PROPER('Sales_RAW(BEFORE)'!N66)</f>
        <v>North</v>
      </c>
      <c r="Q64" s="3" t="str">
        <f>VLOOKUP(N64,Employees!$A$2:$B$26,2,FALSE)</f>
        <v>Seattle</v>
      </c>
      <c r="R64" s="3" t="str">
        <f>PROPER('Sales_RAW(BEFORE)'!P66)</f>
        <v>Initech Inc</v>
      </c>
      <c r="S64" s="3" t="str">
        <f>SUBSTITUTE(SUBSTITUTE('Sales_RAW(BEFORE)'!Q66,"EIN",""),":","")</f>
        <v>567147611</v>
      </c>
      <c r="T64" s="3" t="s">
        <v>99</v>
      </c>
      <c r="U64" s="3" t="s">
        <v>1309</v>
      </c>
      <c r="V64" s="3" t="s">
        <v>1310</v>
      </c>
      <c r="W64" s="3" t="s">
        <v>1311</v>
      </c>
      <c r="X64" s="3" t="s">
        <v>173</v>
      </c>
      <c r="Y64" s="3" t="str">
        <f>PROPER('Sales_RAW(BEFORE)'!W66)</f>
        <v>Wire</v>
      </c>
      <c r="Z64" s="3" t="str">
        <f>PROPER('Sales_RAW(BEFORE)'!X66)</f>
        <v>Cancelled</v>
      </c>
      <c r="AA64" s="3" t="str" cm="1">
        <f t="array" ref="AA64">_xlfn.LET(
  _xlpm.val, TRIM(LOWER('Sales_RAW(BEFORE)'!Y66)),
  _xlfn.IFS(
    OR(_xlpm.val="yes", _xlpm.val="paid"), "Paid",
    OR(_xlpm.val="no", _xlpm.val="unpaid"), "Unpaid",
    OR(_xlpm.val="partial", _xlpm.val="partial paid"), "Partial",
    _xlpm.val="", "",
    TRUE, 'Sales_RAW(BEFORE)'!AY66
  )
)</f>
        <v>Unpaid</v>
      </c>
      <c r="AB64" s="3" t="s">
        <v>1312</v>
      </c>
      <c r="AC64" s="3" t="str">
        <f>PROPER('Sales_RAW(BEFORE)'!AA66)</f>
        <v>Web</v>
      </c>
      <c r="AD64" s="3" t="str">
        <f>SUBSTITUTE(SUBSTITUTE(SUBSTITUTE(SUBSTITUTE('Sales_RAW(BEFORE)'!AB66,"st",""),"q",""),"Q",""),"uarter","")</f>
        <v xml:space="preserve">1 </v>
      </c>
      <c r="AE64" s="3" t="str">
        <f>TEXT(IFERROR(DATEVALUE('Sales_RAW(BEFORE)'!AC66 &amp; " 1"), IFERROR(DATE(2025, 'Sales_RAW(BEFORE)'!AC66, 1), 'Sales_RAW(BEFORE)'!AC66)), "mmmm")</f>
        <v>April</v>
      </c>
      <c r="AF64" s="3">
        <f>_xlfn.LET(
  _xlpm.raw, TRIM(SUBSTITUTE('Sales_RAW(BEFORE)'!AD66, "'", "")),
  _xlpm.num, IFERROR(VALUE(_xlpm.raw), 0),
  IF(_xlpm.num &lt; 100, 2000 + _xlpm.num, _xlpm.num)
)</f>
        <v>2026</v>
      </c>
      <c r="AG64" s="3" t="str">
        <f>PROPER('Sales_RAW(BEFORE)'!AE66)</f>
        <v>15</v>
      </c>
      <c r="AH64" s="3" cm="1">
        <f t="array" ref="AH64">_xlfn.LET(
  _xlpm.val, LOWER(TRIM('Sales_RAW(BEFORE)'!AF66)),
  _xlfn.IFS(
    OR(_xlpm.val="", _xlpm.val="null", _xlpm.val="N/A", _xlpm.val="-", _xlpm.val="#N/A"), 0,
    ISNUMBER('Sales_RAW(BEFORE)'!AF66), 'Sales_RAW(BEFORE)'!AF66,
    TRUE, IFERROR(_xlfn.NUMBERVALUE(_xlpm.val), 0)
  )
)</f>
        <v>41</v>
      </c>
      <c r="AI64" s="5">
        <f>IF(IFERROR(VALUE(SUBSTITUTE(SUBSTITUTE(TRIM('Sales_RAW(BEFORE)'!AG66), "%", ""), ",", ".")), 0) &gt; 1, IFERROR(VALUE(SUBSTITUTE(SUBSTITUTE(TRIM('Sales_RAW(BEFORE)'!AG66), "%", ""), ",", ".")), 0) / 100, IFERROR(VALUE(SUBSTITUTE(SUBSTITUTE(TRIM('Sales_RAW(BEFORE)'!AG66), "%", ""), ",", ".")), 0))</f>
        <v>0.08</v>
      </c>
      <c r="AJ64" s="6">
        <f t="shared" si="1"/>
        <v>703.25759999999991</v>
      </c>
      <c r="AK64" s="6">
        <f t="shared" si="2"/>
        <v>9493.9775999999983</v>
      </c>
      <c r="AL64" s="6">
        <f>IFERROR(VALUE(SUBSTITUTE(SUBSTITUTE(SUBSTITUTE('Sales_RAW(BEFORE)'!AJ66,"$",""),"USD",""),",",".")),0)</f>
        <v>48.82</v>
      </c>
      <c r="AM64" s="3" t="str">
        <f>SUBSTITUTE(SUBSTITUTE(PROPER('Sales_RAW(BEFORE)'!AK66), "Fed Ex", "FedEx"),"Fedex","FedEx")</f>
        <v>FedEx</v>
      </c>
      <c r="AN64" s="3" t="s">
        <v>1315</v>
      </c>
      <c r="AO64" s="3" t="str">
        <f>SUBSTITUTE('Sales_RAW(BEFORE)'!AM66,"kg","")</f>
        <v>17,98</v>
      </c>
      <c r="AP64" s="3" t="str">
        <f>_xlfn.LET(
  _xlpm.raw, UPPER(TRIM('Sales_RAW(BEFORE)'!AN66)),
  _xlpm.clean, RIGHT(_xlpm.raw, 1),
  IF(OR(_xlpm.raw="", _xlpm.raw="null"), "N/A", _xlpm.clean)
)</f>
        <v>B</v>
      </c>
      <c r="AQ64" s="3">
        <v>284</v>
      </c>
      <c r="AR64" s="3" cm="1">
        <f t="array" ref="AR64">_xlfn.LET(
  _xlpm.raw, LOWER(TRIM('Sales_RAW(BEFORE)'!AP66)),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64" s="3"/>
      <c r="AT64" s="3"/>
      <c r="AU64" s="3"/>
      <c r="AV64" s="8">
        <f>IF(IFERROR(VALUE(SUBSTITUTE(SUBSTITUTE(TRIM('Sales_RAW(BEFORE)'!AT66), "%", ""), ",", ".")), 0) &gt; 1, IFERROR(VALUE(SUBSTITUTE(SUBSTITUTE(TRIM('Sales_RAW(BEFORE)'!AT66), "%", ""), ",", ".")), 0) / 100, IFERROR(VALUE(SUBSTITUTE(SUBSTITUTE(TRIM('Sales_RAW(BEFORE)'!AT66), "%", ""), ",", ".")), 0))</f>
        <v>0.15</v>
      </c>
      <c r="AW64" s="6">
        <f>BA64*(_xlfn.XLOOKUP(N64,Employees!$A$2:$A$26,Employees!$E$2:$E$26,2))</f>
        <v>161.39761919999998</v>
      </c>
      <c r="AX64" s="3" t="str">
        <f>PROPER('Sales_RAW(BEFORE)'!AV66)</f>
        <v>John Anderson</v>
      </c>
      <c r="AY64" s="3" t="str">
        <f t="shared" si="3"/>
        <v>John Anderson</v>
      </c>
      <c r="AZ64" s="3"/>
      <c r="BA64" s="24">
        <f>AK64*(1-(_xlfn.XLOOKUP(G64, Exchange_Rates!$B$8:$F$8, Exchange_Rates!$B$9:$F$9, 0)+J64))</f>
        <v>8069.8809599999986</v>
      </c>
      <c r="BB64" s="7" cm="1">
        <f t="array" ref="BB64">_xlfn.LET(
  _xlpm.raw_dt, SUBSTITUTE(TRIM(C64), ".", "/"),
  _xlpm.dt, IFERROR(DATEVALUE(_xlpm.raw_dt), C64),
  _xlpm.p_code, TRIM(E64),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47220</v>
      </c>
      <c r="BC64" s="25">
        <f t="shared" si="4"/>
        <v>1210.4821439999998</v>
      </c>
    </row>
    <row r="65" spans="1:55" ht="15.75" thickBot="1" x14ac:dyDescent="0.3">
      <c r="A65" s="3" t="s">
        <v>1318</v>
      </c>
      <c r="B65" s="10">
        <f>DATE(2026,1,8)</f>
        <v>46030</v>
      </c>
      <c r="C65" s="4">
        <v>46038</v>
      </c>
      <c r="D65" s="3" t="str">
        <f>"P-" &amp; TEXT(VALUE(SUBSTITUTE(SUBSTITUTE(SUBSTITUTE(UPPER(TRIM('Sales_RAW(BEFORE)'!D67)), "P", ""), "-", ""), "_", "")),"000")</f>
        <v>P-032</v>
      </c>
      <c r="E65" s="3" t="str">
        <f>VLOOKUP(D65,Product_List!$A$2:$B$61,2,FALSE)</f>
        <v>Cable Basic 32</v>
      </c>
      <c r="F65" s="3" t="str">
        <f>_xlfn.XLOOKUP(E65,Product_List!$B$2:$B$61,Product_List!$E$2:$E$61,2)</f>
        <v>OfficeHub</v>
      </c>
      <c r="G65" s="3" t="str">
        <f>VLOOKUP(E65,Product_List!$B$2:$C$61,2,FALSE)</f>
        <v>Software</v>
      </c>
      <c r="H65" s="3" t="str">
        <f>SUBSTITUTE(SUBSTITUTE('Sales_RAW(BEFORE)'!G67,"kom",""),".","")</f>
        <v xml:space="preserve">2 </v>
      </c>
      <c r="I65" s="6">
        <f>VLOOKUP(E65,Product_List!$B$2:$D$61,3,FALSE)</f>
        <v>1479.77</v>
      </c>
      <c r="J65" s="5">
        <f>IF(IFERROR(VALUE(SUBSTITUTE(SUBSTITUTE(TRIM('Sales_RAW(BEFORE)'!I67), "%", ""), ",", ".")), 0) &gt; 1, IFERROR(VALUE(SUBSTITUTE(SUBSTITUTE(TRIM('Sales_RAW(BEFORE)'!I67), "%", ""), ",", ".")), 0) / 100, IFERROR(VALUE(SUBSTITUTE(SUBSTITUTE(TRIM('Sales_RAW(BEFORE)'!I67), "%", ""), ",", ".")), 0))</f>
        <v>0</v>
      </c>
      <c r="K65" s="6">
        <f t="shared" si="0"/>
        <v>2959.54</v>
      </c>
      <c r="L65" s="6" t="str" cm="1">
        <f t="array" ref="L65">_xlfn.LET(
  _xlpm.valuta, UPPER(TRIM('Sales_RAW(BEFORE)'!K67)),
  _xlfn.IFS(
    _xlpm.valuta = "", "",
    OR(_xlpm.valuta = "USD", _xlpm.valuta = "$"), "$",
    OR(_xlpm.valuta = "EUR", _xlpm.valuta = "€"), "€",
    TRUE, _xlpm.valuta
  )
)</f>
        <v>$</v>
      </c>
      <c r="M65" s="3" t="str">
        <f>"E" &amp; TEXT(VALUE(SUBSTITUTE(SUBSTITUTE(SUBSTITUTE(UPPER(TRIM('Sales_RAW(BEFORE)'!L67)), "EMP", ""), "E", ""), "-", "")),"000")</f>
        <v>E009</v>
      </c>
      <c r="N65" s="3" t="str">
        <f>_xlfn.XLOOKUP(M65,Employees!$D$2:$D$26,Employees!$A$2:$A$26)</f>
        <v>Olivia Wilson</v>
      </c>
      <c r="O65" s="3" t="str">
        <f>_xlfn.XLOOKUP(N65,Employees!$A$2:$A$26,Employees!$C$2:$C$26,2)</f>
        <v>Wholesale</v>
      </c>
      <c r="P65" s="3" t="str">
        <f>PROPER('Sales_RAW(BEFORE)'!N67)</f>
        <v>North</v>
      </c>
      <c r="Q65" s="3" t="str">
        <f>VLOOKUP(N65,Employees!$A$2:$B$26,2,FALSE)</f>
        <v>Miami</v>
      </c>
      <c r="R65" s="3" t="str">
        <f>PROPER('Sales_RAW(BEFORE)'!P67)</f>
        <v xml:space="preserve">Stark Inc </v>
      </c>
      <c r="S65" s="3" t="str">
        <f>SUBSTITUTE(SUBSTITUTE('Sales_RAW(BEFORE)'!Q67,"EIN",""),":","")</f>
        <v>691518047</v>
      </c>
      <c r="T65" s="3" t="s">
        <v>702</v>
      </c>
      <c r="U65" s="3" t="s">
        <v>1327</v>
      </c>
      <c r="V65" s="3" t="s">
        <v>1328</v>
      </c>
      <c r="W65" s="3" t="s">
        <v>1329</v>
      </c>
      <c r="X65" s="3" t="s">
        <v>173</v>
      </c>
      <c r="Y65" s="3" t="str">
        <f>PROPER('Sales_RAW(BEFORE)'!W67)</f>
        <v>Credit Card</v>
      </c>
      <c r="Z65" s="3" t="str">
        <f>PROPER('Sales_RAW(BEFORE)'!X67)</f>
        <v>Delivered</v>
      </c>
      <c r="AA65" s="3" t="str" cm="1">
        <f t="array" ref="AA65">_xlfn.LET(
  _xlpm.val, TRIM(LOWER('Sales_RAW(BEFORE)'!Y67)),
  _xlfn.IFS(
    OR(_xlpm.val="yes", _xlpm.val="paid"), "Paid",
    OR(_xlpm.val="no", _xlpm.val="unpaid"), "Unpaid",
    OR(_xlpm.val="partial", _xlpm.val="partial paid"), "Partial",
    _xlpm.val="", "",
    TRUE, 'Sales_RAW(BEFORE)'!AY67
  )
)</f>
        <v>Unpaid</v>
      </c>
      <c r="AB65" s="3" t="s">
        <v>1330</v>
      </c>
      <c r="AC65" s="3" t="str">
        <f>PROPER('Sales_RAW(BEFORE)'!AA67)</f>
        <v>Web</v>
      </c>
      <c r="AD65" s="3" t="str">
        <f>SUBSTITUTE(SUBSTITUTE(SUBSTITUTE(SUBSTITUTE('Sales_RAW(BEFORE)'!AB67,"st",""),"q",""),"Q",""),"uarter","")</f>
        <v>1</v>
      </c>
      <c r="AE65" s="3" t="str">
        <f>TEXT(IFERROR(DATEVALUE('Sales_RAW(BEFORE)'!AC67 &amp; " 1"), IFERROR(DATE(2025, 'Sales_RAW(BEFORE)'!AC67, 1), 'Sales_RAW(BEFORE)'!AC67)), "mmmm")</f>
        <v>January</v>
      </c>
      <c r="AF65" s="3">
        <f>_xlfn.LET(
  _xlpm.raw, TRIM(SUBSTITUTE('Sales_RAW(BEFORE)'!AD67, "'", "")),
  _xlpm.num, IFERROR(VALUE(_xlpm.raw), 0),
  IF(_xlpm.num &lt; 100, 2000 + _xlpm.num, _xlpm.num)
)</f>
        <v>2026</v>
      </c>
      <c r="AG65" s="3" t="str">
        <f>PROPER('Sales_RAW(BEFORE)'!AE67)</f>
        <v>Net 30</v>
      </c>
      <c r="AH65" s="3" cm="1">
        <f t="array" ref="AH65">_xlfn.LET(
  _xlpm.val, LOWER(TRIM('Sales_RAW(BEFORE)'!AF67)),
  _xlfn.IFS(
    OR(_xlpm.val="", _xlpm.val="null", _xlpm.val="N/A", _xlpm.val="-", _xlpm.val="#N/A"), 0,
    ISNUMBER('Sales_RAW(BEFORE)'!AF67), 'Sales_RAW(BEFORE)'!AF67,
    TRUE, IFERROR(_xlfn.NUMBERVALUE(_xlpm.val), 0)
  )
)</f>
        <v>0</v>
      </c>
      <c r="AI65" s="5">
        <f>IF(IFERROR(VALUE(SUBSTITUTE(SUBSTITUTE(TRIM('Sales_RAW(BEFORE)'!AG67), "%", ""), ",", ".")), 0) &gt; 1, IFERROR(VALUE(SUBSTITUTE(SUBSTITUTE(TRIM('Sales_RAW(BEFORE)'!AG67), "%", ""), ",", ".")), 0) / 100, IFERROR(VALUE(SUBSTITUTE(SUBSTITUTE(TRIM('Sales_RAW(BEFORE)'!AG67), "%", ""), ",", ".")), 0))</f>
        <v>0.08</v>
      </c>
      <c r="AJ65" s="6">
        <f t="shared" si="1"/>
        <v>236.76320000000001</v>
      </c>
      <c r="AK65" s="6">
        <f t="shared" si="2"/>
        <v>3196.3031999999998</v>
      </c>
      <c r="AL65" s="6">
        <f>IFERROR(VALUE(SUBSTITUTE(SUBSTITUTE(SUBSTITUTE('Sales_RAW(BEFORE)'!AJ67,"$",""),"USD",""),",",".")),0)</f>
        <v>18.03</v>
      </c>
      <c r="AM65" s="3" t="str">
        <f>SUBSTITUTE(SUBSTITUTE(PROPER('Sales_RAW(BEFORE)'!AK67), "Fed Ex", "FedEx"),"Fedex","FedEx")</f>
        <v>Ups</v>
      </c>
      <c r="AN65" s="3" t="s">
        <v>1332</v>
      </c>
      <c r="AO65" s="3" t="str">
        <f>SUBSTITUTE('Sales_RAW(BEFORE)'!AM67,"kg","")</f>
        <v>0,83</v>
      </c>
      <c r="AP65" s="3" t="str">
        <f>_xlfn.LET(
  _xlpm.raw, UPPER(TRIM('Sales_RAW(BEFORE)'!AN67)),
  _xlpm.clean, RIGHT(_xlpm.raw, 1),
  IF(OR(_xlpm.raw="", _xlpm.raw="null"), "N/A", _xlpm.clean)
)</f>
        <v>A</v>
      </c>
      <c r="AQ65" s="3">
        <v>84</v>
      </c>
      <c r="AR65" s="3" cm="1">
        <f t="array" ref="AR65">_xlfn.LET(
  _xlpm.raw, LOWER(TRIM('Sales_RAW(BEFORE)'!AP67)),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65" s="3"/>
      <c r="AT65" s="3"/>
      <c r="AU65" s="3"/>
      <c r="AV65" s="8">
        <f>IF(IFERROR(VALUE(SUBSTITUTE(SUBSTITUTE(TRIM('Sales_RAW(BEFORE)'!AT67), "%", ""), ",", ".")), 0) &gt; 1, IFERROR(VALUE(SUBSTITUTE(SUBSTITUTE(TRIM('Sales_RAW(BEFORE)'!AT67), "%", ""), ",", ".")), 0) / 100, IFERROR(VALUE(SUBSTITUTE(SUBSTITUTE(TRIM('Sales_RAW(BEFORE)'!AT67), "%", ""), ",", ".")), 0))</f>
        <v>0</v>
      </c>
      <c r="AW65" s="6">
        <f>BA65*(_xlfn.XLOOKUP(N65,Employees!$A$2:$A$26,Employees!$E$2:$E$26,2))</f>
        <v>81.50573159999999</v>
      </c>
      <c r="AX65" s="3" t="str">
        <f>PROPER('Sales_RAW(BEFORE)'!AV67)</f>
        <v>Jessica Taylor</v>
      </c>
      <c r="AY65" s="3" t="str">
        <f t="shared" si="3"/>
        <v>Jessica Taylor</v>
      </c>
      <c r="AZ65" s="3"/>
      <c r="BA65" s="24">
        <f>AK65*(1-(_xlfn.XLOOKUP(G65, Exchange_Rates!$B$8:$F$8, Exchange_Rates!$B$9:$F$9, 0)+J65))</f>
        <v>2716.85772</v>
      </c>
      <c r="BB65" s="7" cm="1">
        <f t="array" ref="BB65">_xlfn.LET(
  _xlpm.raw_dt, SUBSTITUTE(TRIM(C65), ".", "/"),
  _xlpm.dt, IFERROR(DATEVALUE(_xlpm.raw_dt), C65),
  _xlpm.p_code, TRIM(E65),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47134</v>
      </c>
      <c r="BC65" s="25">
        <f t="shared" si="4"/>
        <v>0</v>
      </c>
    </row>
    <row r="66" spans="1:55" ht="15.75" thickBot="1" x14ac:dyDescent="0.3">
      <c r="A66" s="3" t="s">
        <v>1336</v>
      </c>
      <c r="B66" s="10">
        <v>46003</v>
      </c>
      <c r="C66" s="4">
        <v>46012</v>
      </c>
      <c r="D66" s="3" t="str">
        <f>"P-" &amp; TEXT(VALUE(SUBSTITUTE(SUBSTITUTE(SUBSTITUTE(UPPER(TRIM('Sales_RAW(BEFORE)'!D68)), "P", ""), "-", ""), "_", "")),"000")</f>
        <v>P-029</v>
      </c>
      <c r="E66" s="3" t="str">
        <f>VLOOKUP(D66,Product_List!$A$2:$B$61,2,FALSE)</f>
        <v>Keyboard Plus 29</v>
      </c>
      <c r="F66" s="3" t="str">
        <f>_xlfn.XLOOKUP(E66,Product_List!$B$2:$B$61,Product_List!$E$2:$E$61,2)</f>
        <v>OfficeHub</v>
      </c>
      <c r="G66" s="3" t="str">
        <f>VLOOKUP(E66,Product_List!$B$2:$C$61,2,FALSE)</f>
        <v>Software</v>
      </c>
      <c r="H66" s="3" t="str">
        <f>SUBSTITUTE(SUBSTITUTE('Sales_RAW(BEFORE)'!G68,"kom",""),".","")</f>
        <v xml:space="preserve">26 </v>
      </c>
      <c r="I66" s="6">
        <f>VLOOKUP(E66,Product_List!$B$2:$D$61,3,FALSE)</f>
        <v>1375.64</v>
      </c>
      <c r="J66" s="5">
        <f>IF(IFERROR(VALUE(SUBSTITUTE(SUBSTITUTE(TRIM('Sales_RAW(BEFORE)'!I68), "%", ""), ",", ".")), 0) &gt; 1, IFERROR(VALUE(SUBSTITUTE(SUBSTITUTE(TRIM('Sales_RAW(BEFORE)'!I68), "%", ""), ",", ".")), 0) / 100, IFERROR(VALUE(SUBSTITUTE(SUBSTITUTE(TRIM('Sales_RAW(BEFORE)'!I68), "%", ""), ",", ".")), 0))</f>
        <v>0.1</v>
      </c>
      <c r="K66" s="6">
        <f>(H66*I66)/(HLOOKUP(AE66,Exchange_Rates!$B$1:$M$2,2,FALSE))</f>
        <v>39217.807017543855</v>
      </c>
      <c r="L66" s="6" t="str" cm="1">
        <f t="array" ref="L66">_xlfn.LET(
  _xlpm.valuta, UPPER(TRIM('Sales_RAW(BEFORE)'!K68)),
  _xlfn.IFS(
    _xlpm.valuta = "", "",
    OR(_xlpm.valuta = "USD", _xlpm.valuta = "$"), "$",
    OR(_xlpm.valuta = "EUR", _xlpm.valuta = "€"), "€",
    TRUE, _xlpm.valuta
  )
)</f>
        <v>€</v>
      </c>
      <c r="M66" s="3" t="str">
        <f>"E" &amp; TEXT(VALUE(SUBSTITUTE(SUBSTITUTE(SUBSTITUTE(UPPER(TRIM('Sales_RAW(BEFORE)'!L68)), "EMP", ""), "E", ""), "-", "")),"000")</f>
        <v>E001</v>
      </c>
      <c r="N66" s="3" t="str">
        <f>_xlfn.XLOOKUP(M66,Employees!$D$2:$D$26,Employees!$A$2:$A$26)</f>
        <v>Sarah Wilson</v>
      </c>
      <c r="O66" s="3" t="str">
        <f>_xlfn.XLOOKUP(N66,Employees!$A$2:$A$26,Employees!$C$2:$C$26,2)</f>
        <v>Online</v>
      </c>
      <c r="P66" s="3" t="str">
        <f>PROPER('Sales_RAW(BEFORE)'!N68)</f>
        <v>West</v>
      </c>
      <c r="Q66" s="3" t="str">
        <f>VLOOKUP(N66,Employees!$A$2:$B$26,2,FALSE)</f>
        <v>Los Angeles</v>
      </c>
      <c r="R66" s="3" t="str">
        <f>PROPER('Sales_RAW(BEFORE)'!P68)</f>
        <v>Vortex Inc.</v>
      </c>
      <c r="S66" s="3" t="str">
        <f>SUBSTITUTE(SUBSTITUTE('Sales_RAW(BEFORE)'!Q68,"EIN",""),":","")</f>
        <v xml:space="preserve"> 789866266</v>
      </c>
      <c r="T66" s="3" t="s">
        <v>912</v>
      </c>
      <c r="U66" s="3" t="s">
        <v>1344</v>
      </c>
      <c r="V66" s="3" t="s">
        <v>1345</v>
      </c>
      <c r="W66" s="3" t="s">
        <v>1346</v>
      </c>
      <c r="X66" s="3" t="s">
        <v>173</v>
      </c>
      <c r="Y66" s="3" t="str">
        <f>PROPER('Sales_RAW(BEFORE)'!W68)</f>
        <v>Paypal</v>
      </c>
      <c r="Z66" s="3" t="str">
        <f>PROPER('Sales_RAW(BEFORE)'!X68)</f>
        <v>Delivered</v>
      </c>
      <c r="AA66" s="3" t="str" cm="1">
        <f t="array" ref="AA66">_xlfn.LET(
  _xlpm.val, TRIM(LOWER('Sales_RAW(BEFORE)'!Y68)),
  _xlfn.IFS(
    OR(_xlpm.val="yes", _xlpm.val="paid"), "Paid",
    OR(_xlpm.val="no", _xlpm.val="unpaid"), "Unpaid",
    OR(_xlpm.val="partial", _xlpm.val="partial paid"), "Partial",
    _xlpm.val="", "",
    TRUE, 'Sales_RAW(BEFORE)'!AY68
  )
)</f>
        <v>Paid</v>
      </c>
      <c r="AB66" s="3" t="s">
        <v>1347</v>
      </c>
      <c r="AC66" s="3" t="str">
        <f>PROPER('Sales_RAW(BEFORE)'!AA68)</f>
        <v>Online</v>
      </c>
      <c r="AD66" s="3" t="str">
        <f>SUBSTITUTE(SUBSTITUTE(SUBSTITUTE(SUBSTITUTE('Sales_RAW(BEFORE)'!AB68,"st",""),"q",""),"Q",""),"uarter","")</f>
        <v>1</v>
      </c>
      <c r="AE66" s="3" t="str">
        <f>TEXT(IFERROR(DATEVALUE('Sales_RAW(BEFORE)'!AC68 &amp; " 1"), IFERROR(DATE(2025, 'Sales_RAW(BEFORE)'!AC68, 1), 'Sales_RAW(BEFORE)'!AC68)), "mmmm")</f>
        <v>December</v>
      </c>
      <c r="AF66" s="3">
        <f>_xlfn.LET(
  _xlpm.raw, TRIM(SUBSTITUTE('Sales_RAW(BEFORE)'!AD68, "'", "")),
  _xlpm.num, IFERROR(VALUE(_xlpm.raw), 0),
  IF(_xlpm.num &lt; 100, 2000 + _xlpm.num, _xlpm.num)
)</f>
        <v>2025</v>
      </c>
      <c r="AG66" s="3" t="str">
        <f>PROPER('Sales_RAW(BEFORE)'!AE68)</f>
        <v>Net 60</v>
      </c>
      <c r="AH66" s="3" cm="1">
        <f t="array" ref="AH66">_xlfn.LET(
  _xlpm.val, LOWER(TRIM('Sales_RAW(BEFORE)'!AF68)),
  _xlfn.IFS(
    OR(_xlpm.val="", _xlpm.val="null", _xlpm.val="N/A", _xlpm.val="-", _xlpm.val="#N/A"), 0,
    ISNUMBER('Sales_RAW(BEFORE)'!AF68), 'Sales_RAW(BEFORE)'!AF68,
    TRUE, IFERROR(_xlfn.NUMBERVALUE(_xlpm.val), 0)
  )
)</f>
        <v>14</v>
      </c>
      <c r="AI66" s="5">
        <f>IF(IFERROR(VALUE(SUBSTITUTE(SUBSTITUTE(TRIM('Sales_RAW(BEFORE)'!AG68), "%", ""), ",", ".")), 0) &gt; 1, IFERROR(VALUE(SUBSTITUTE(SUBSTITUTE(TRIM('Sales_RAW(BEFORE)'!AG68), "%", ""), ",", ".")), 0) / 100, IFERROR(VALUE(SUBSTITUTE(SUBSTITUTE(TRIM('Sales_RAW(BEFORE)'!AG68), "%", ""), ",", ".")), 0))</f>
        <v>0.08</v>
      </c>
      <c r="AJ66" s="6">
        <f t="shared" si="1"/>
        <v>3137.4245614035085</v>
      </c>
      <c r="AK66" s="6">
        <f t="shared" si="2"/>
        <v>42355.231578947365</v>
      </c>
      <c r="AL66" s="6">
        <f>IFERROR(VALUE(SUBSTITUTE(SUBSTITUTE(SUBSTITUTE('Sales_RAW(BEFORE)'!AJ68,"$",""),"USD",""),",",".")),0)</f>
        <v>22.09</v>
      </c>
      <c r="AM66" s="3" t="str">
        <f>SUBSTITUTE(SUBSTITUTE(PROPER('Sales_RAW(BEFORE)'!AK68), "Fed Ex", "FedEx"),"Fedex","FedEx")</f>
        <v>FedEx</v>
      </c>
      <c r="AN66" s="3" t="s">
        <v>1348</v>
      </c>
      <c r="AO66" s="3" t="str">
        <f>SUBSTITUTE('Sales_RAW(BEFORE)'!AM68,"kg","")</f>
        <v>14,87</v>
      </c>
      <c r="AP66" s="3" t="str">
        <f>_xlfn.LET(
  _xlpm.raw, UPPER(TRIM('Sales_RAW(BEFORE)'!AN68)),
  _xlpm.clean, RIGHT(_xlpm.raw, 1),
  IF(OR(_xlpm.raw="", _xlpm.raw="null"), "N/A", _xlpm.clean)
)</f>
        <v>B</v>
      </c>
      <c r="AQ66" s="3">
        <v>109</v>
      </c>
      <c r="AR66" s="3" cm="1">
        <f t="array" ref="AR66">_xlfn.LET(
  _xlpm.raw, LOWER(TRIM('Sales_RAW(BEFORE)'!AP68)),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66" s="3"/>
      <c r="AT66" s="3"/>
      <c r="AU66" s="3"/>
      <c r="AV66" s="8">
        <f>IF(IFERROR(VALUE(SUBSTITUTE(SUBSTITUTE(TRIM('Sales_RAW(BEFORE)'!AT68), "%", ""), ",", ".")), 0) &gt; 1, IFERROR(VALUE(SUBSTITUTE(SUBSTITUTE(TRIM('Sales_RAW(BEFORE)'!AT68), "%", ""), ",", ".")), 0) / 100, IFERROR(VALUE(SUBSTITUTE(SUBSTITUTE(TRIM('Sales_RAW(BEFORE)'!AT68), "%", ""), ",", ".")), 0))</f>
        <v>0.18</v>
      </c>
      <c r="AW66" s="6">
        <f>BA66*(_xlfn.XLOOKUP(N66,Employees!$A$2:$A$26,Employees!$E$2:$E$26,2))</f>
        <v>952.9927105263157</v>
      </c>
      <c r="AX66" s="3" t="str">
        <f>PROPER('Sales_RAW(BEFORE)'!AV68)</f>
        <v>Robert Williams</v>
      </c>
      <c r="AY66" s="3" t="str">
        <f t="shared" si="3"/>
        <v>Robert Williams</v>
      </c>
      <c r="AZ66" s="3"/>
      <c r="BA66" s="24">
        <f>AK66*(1-(_xlfn.XLOOKUP(G66, Exchange_Rates!$B$8:$F$8, Exchange_Rates!$B$9:$F$9, 0)+J66))</f>
        <v>31766.423684210524</v>
      </c>
      <c r="BB66" s="7" cm="1">
        <f t="array" ref="BB66">_xlfn.LET(
  _xlpm.raw_dt, SUBSTITUTE(TRIM(C66), ".", "/"),
  _xlpm.dt, IFERROR(DATEVALUE(_xlpm.raw_dt), C66),
  _xlpm.p_code, TRIM(E66),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46742</v>
      </c>
      <c r="BC66" s="25">
        <f t="shared" si="4"/>
        <v>5717.9562631578938</v>
      </c>
    </row>
    <row r="67" spans="1:55" ht="15.75" thickBot="1" x14ac:dyDescent="0.3">
      <c r="A67" s="3" t="s">
        <v>1351</v>
      </c>
      <c r="B67" s="10">
        <f>DATE(2026,2,15)</f>
        <v>46068</v>
      </c>
      <c r="C67" s="4">
        <v>46073</v>
      </c>
      <c r="D67" s="3" t="str">
        <f>"P-" &amp; TEXT(VALUE(SUBSTITUTE(SUBSTITUTE(SUBSTITUTE(UPPER(TRIM('Sales_RAW(BEFORE)'!D69)), "P", ""), "-", ""), "_", "")),"000")</f>
        <v>P-042</v>
      </c>
      <c r="E67" s="3" t="str">
        <f>VLOOKUP(D67,Product_List!$A$2:$B$61,2,FALSE)</f>
        <v>Desk Max 42</v>
      </c>
      <c r="F67" s="3" t="str">
        <f>_xlfn.XLOOKUP(E67,Product_List!$B$2:$B$61,Product_List!$E$2:$E$61,2)</f>
        <v>TechSupply Co</v>
      </c>
      <c r="G67" s="3" t="str">
        <f>VLOOKUP(E67,Product_List!$B$2:$C$61,2,FALSE)</f>
        <v>Electronics</v>
      </c>
      <c r="H67" s="3" t="str">
        <f>SUBSTITUTE(SUBSTITUTE('Sales_RAW(BEFORE)'!G69,"kom",""),".","")</f>
        <v>31</v>
      </c>
      <c r="I67" s="6">
        <f>VLOOKUP(E67,Product_List!$B$2:$D$61,3,FALSE)</f>
        <v>158.06</v>
      </c>
      <c r="J67" s="5">
        <f>IF(IFERROR(VALUE(SUBSTITUTE(SUBSTITUTE(TRIM('Sales_RAW(BEFORE)'!I69), "%", ""), ",", ".")), 0) &gt; 1, IFERROR(VALUE(SUBSTITUTE(SUBSTITUTE(TRIM('Sales_RAW(BEFORE)'!I69), "%", ""), ",", ".")), 0) / 100, IFERROR(VALUE(SUBSTITUTE(SUBSTITUTE(TRIM('Sales_RAW(BEFORE)'!I69), "%", ""), ",", ".")), 0))</f>
        <v>0.05</v>
      </c>
      <c r="K67" s="6">
        <f t="shared" ref="K67:K129" si="5">IFERROR(H67*I67,0)</f>
        <v>4899.8599999999997</v>
      </c>
      <c r="L67" s="6" t="str" cm="1">
        <f t="array" ref="L67">_xlfn.LET(
  _xlpm.valuta, UPPER(TRIM('Sales_RAW(BEFORE)'!K69)),
  _xlfn.IFS(
    _xlpm.valuta = "", "",
    OR(_xlpm.valuta = "USD", _xlpm.valuta = "$"), "$",
    OR(_xlpm.valuta = "EUR", _xlpm.valuta = "€"), "€",
    TRUE, _xlpm.valuta
  )
)</f>
        <v>$</v>
      </c>
      <c r="M67" s="3" t="str">
        <f>"E" &amp; TEXT(VALUE(SUBSTITUTE(SUBSTITUTE(SUBSTITUTE(UPPER(TRIM('Sales_RAW(BEFORE)'!L69)), "EMP", ""), "E", ""), "-", "")),"000")</f>
        <v>E011</v>
      </c>
      <c r="N67" s="3" t="str">
        <f>_xlfn.XLOOKUP(M67,Employees!$D$2:$D$26,Employees!$A$2:$A$26)</f>
        <v>Michael Taylor</v>
      </c>
      <c r="O67" s="3" t="str">
        <f>_xlfn.XLOOKUP(N67,Employees!$A$2:$A$26,Employees!$C$2:$C$26,2)</f>
        <v>Wholesale</v>
      </c>
      <c r="P67" s="3" t="str">
        <f>PROPER('Sales_RAW(BEFORE)'!N69)</f>
        <v>West</v>
      </c>
      <c r="Q67" s="3" t="str">
        <f>VLOOKUP(N67,Employees!$A$2:$B$26,2,FALSE)</f>
        <v>Boston</v>
      </c>
      <c r="R67" s="3" t="str">
        <f>PROPER('Sales_RAW(BEFORE)'!P69)</f>
        <v>Wayne Inc</v>
      </c>
      <c r="S67" s="3" t="str">
        <f>SUBSTITUTE(SUBSTITUTE('Sales_RAW(BEFORE)'!Q69,"EIN",""),":","")</f>
        <v>276355873</v>
      </c>
      <c r="T67" s="3" t="s">
        <v>1359</v>
      </c>
      <c r="U67" s="3" t="s">
        <v>1360</v>
      </c>
      <c r="V67" s="3" t="s">
        <v>1361</v>
      </c>
      <c r="W67" s="3" t="s">
        <v>1362</v>
      </c>
      <c r="X67" s="3" t="s">
        <v>173</v>
      </c>
      <c r="Y67" s="3" t="str">
        <f>PROPER('Sales_RAW(BEFORE)'!W69)</f>
        <v>Cash</v>
      </c>
      <c r="Z67" s="3" t="str">
        <f>PROPER('Sales_RAW(BEFORE)'!X69)</f>
        <v>Pending</v>
      </c>
      <c r="AA67" s="3" t="str" cm="1">
        <f t="array" ref="AA67">_xlfn.LET(
  _xlpm.val, TRIM(LOWER('Sales_RAW(BEFORE)'!Y69)),
  _xlfn.IFS(
    OR(_xlpm.val="yes", _xlpm.val="paid"), "Paid",
    OR(_xlpm.val="no", _xlpm.val="unpaid"), "Unpaid",
    OR(_xlpm.val="partial", _xlpm.val="partial paid"), "Partial",
    _xlpm.val="", "",
    TRUE, 'Sales_RAW(BEFORE)'!AY69
  )
)</f>
        <v>Paid</v>
      </c>
      <c r="AB67" s="3" t="s">
        <v>1363</v>
      </c>
      <c r="AC67" s="3" t="str">
        <f>PROPER('Sales_RAW(BEFORE)'!AA69)</f>
        <v>Phone</v>
      </c>
      <c r="AD67" s="3" t="str">
        <f>SUBSTITUTE(SUBSTITUTE(SUBSTITUTE(SUBSTITUTE('Sales_RAW(BEFORE)'!AB69,"st",""),"q",""),"Q",""),"uarter","")</f>
        <v>1</v>
      </c>
      <c r="AE67" s="3" t="str">
        <f>TEXT(IFERROR(DATEVALUE('Sales_RAW(BEFORE)'!AC69 &amp; " 1"), IFERROR(DATE(2025, 'Sales_RAW(BEFORE)'!AC69, 1), 'Sales_RAW(BEFORE)'!AC69)), "mmmm")</f>
        <v>February</v>
      </c>
      <c r="AF67" s="3">
        <f>_xlfn.LET(
  _xlpm.raw, TRIM(SUBSTITUTE('Sales_RAW(BEFORE)'!AD69, "'", "")),
  _xlpm.num, IFERROR(VALUE(_xlpm.raw), 0),
  IF(_xlpm.num &lt; 100, 2000 + _xlpm.num, _xlpm.num)
)</f>
        <v>2026</v>
      </c>
      <c r="AG67" s="3" t="str">
        <f>PROPER('Sales_RAW(BEFORE)'!AE69)</f>
        <v>Immediate</v>
      </c>
      <c r="AH67" s="3" cm="1">
        <f t="array" ref="AH67">_xlfn.LET(
  _xlpm.val, LOWER(TRIM('Sales_RAW(BEFORE)'!AF69)),
  _xlfn.IFS(
    OR(_xlpm.val="", _xlpm.val="null", _xlpm.val="N/A", _xlpm.val="-", _xlpm.val="#N/A"), 0,
    ISNUMBER('Sales_RAW(BEFORE)'!AF69), 'Sales_RAW(BEFORE)'!AF69,
    TRUE, IFERROR(_xlfn.NUMBERVALUE(_xlpm.val), 0)
  )
)</f>
        <v>67</v>
      </c>
      <c r="AI67" s="5">
        <f>IF(IFERROR(VALUE(SUBSTITUTE(SUBSTITUTE(TRIM('Sales_RAW(BEFORE)'!AG69), "%", ""), ",", ".")), 0) &gt; 1, IFERROR(VALUE(SUBSTITUTE(SUBSTITUTE(TRIM('Sales_RAW(BEFORE)'!AG69), "%", ""), ",", ".")), 0) / 100, IFERROR(VALUE(SUBSTITUTE(SUBSTITUTE(TRIM('Sales_RAW(BEFORE)'!AG69), "%", ""), ",", ".")), 0))</f>
        <v>0.08</v>
      </c>
      <c r="AJ67" s="6">
        <f t="shared" ref="AJ67:AJ129" si="6">K67*AI67</f>
        <v>391.98879999999997</v>
      </c>
      <c r="AK67" s="6">
        <f t="shared" ref="AK67:AK129" si="7">AJ67+K67</f>
        <v>5291.8487999999998</v>
      </c>
      <c r="AL67" s="6">
        <f>IFERROR(VALUE(SUBSTITUTE(SUBSTITUTE(SUBSTITUTE('Sales_RAW(BEFORE)'!AJ69,"$",""),"USD",""),",",".")),0)</f>
        <v>8.02</v>
      </c>
      <c r="AM67" s="3" t="str">
        <f>SUBSTITUTE(SUBSTITUTE(PROPER('Sales_RAW(BEFORE)'!AK69), "Fed Ex", "FedEx"),"Fedex","FedEx")</f>
        <v>Ups</v>
      </c>
      <c r="AN67" s="3" t="s">
        <v>1364</v>
      </c>
      <c r="AO67" s="3" t="str">
        <f>SUBSTITUTE('Sales_RAW(BEFORE)'!AM69,"kg","")</f>
        <v xml:space="preserve">27.0 </v>
      </c>
      <c r="AP67" s="3" t="str">
        <f>_xlfn.LET(
  _xlpm.raw, UPPER(TRIM('Sales_RAW(BEFORE)'!AN69)),
  _xlpm.clean, RIGHT(_xlpm.raw, 1),
  IF(OR(_xlpm.raw="", _xlpm.raw="null"), "N/A", _xlpm.clean)
)</f>
        <v>C</v>
      </c>
      <c r="AQ67" s="3">
        <v>188</v>
      </c>
      <c r="AR67" s="3" t="str" cm="1">
        <f t="array" ref="AR67">_xlfn.LET(
  _xlpm.raw, LOWER(TRIM('Sales_RAW(BEFORE)'!AP69)),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67" s="3"/>
      <c r="AT67" s="3"/>
      <c r="AU67" s="3"/>
      <c r="AV67" s="8">
        <f>IF(IFERROR(VALUE(SUBSTITUTE(SUBSTITUTE(TRIM('Sales_RAW(BEFORE)'!AT69), "%", ""), ",", ".")), 0) &gt; 1, IFERROR(VALUE(SUBSTITUTE(SUBSTITUTE(TRIM('Sales_RAW(BEFORE)'!AT69), "%", ""), ",", ".")), 0) / 100, IFERROR(VALUE(SUBSTITUTE(SUBSTITUTE(TRIM('Sales_RAW(BEFORE)'!AT69), "%", ""), ",", ".")), 0))</f>
        <v>0.18</v>
      </c>
      <c r="AW67" s="6">
        <f>BA67*(_xlfn.XLOOKUP(N67,Employees!$A$2:$A$26,Employees!$E$2:$E$26,2))</f>
        <v>89.961429599999988</v>
      </c>
      <c r="AX67" s="3" t="str">
        <f>PROPER('Sales_RAW(BEFORE)'!AV69)</f>
        <v>Emily Smith</v>
      </c>
      <c r="AY67" s="3" t="str">
        <f t="shared" si="3"/>
        <v>Emily Smith</v>
      </c>
      <c r="AZ67" s="3"/>
      <c r="BA67" s="24">
        <f>AK67*(1-(_xlfn.XLOOKUP(G67, Exchange_Rates!$B$8:$F$8, Exchange_Rates!$B$9:$F$9, 0)+J67))</f>
        <v>4498.0714799999996</v>
      </c>
      <c r="BB67" s="7" cm="1">
        <f t="array" ref="BB67">_xlfn.LET(
  _xlpm.raw_dt, SUBSTITUTE(TRIM(C67), ".", "/"),
  _xlpm.dt, IFERROR(DATEVALUE(_xlpm.raw_dt), C67),
  _xlpm.p_code, TRIM(E67),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47169</v>
      </c>
      <c r="BC67" s="25">
        <f t="shared" si="4"/>
        <v>809.65286639999988</v>
      </c>
    </row>
    <row r="68" spans="1:55" ht="15.75" thickBot="1" x14ac:dyDescent="0.3">
      <c r="A68" s="3" t="s">
        <v>1368</v>
      </c>
      <c r="B68" s="10">
        <v>45789</v>
      </c>
      <c r="C68" s="4">
        <v>45912</v>
      </c>
      <c r="D68" s="3" t="str">
        <f>"P-" &amp; TEXT(VALUE(SUBSTITUTE(SUBSTITUTE(SUBSTITUTE(UPPER(TRIM('Sales_RAW(BEFORE)'!D70)), "P", ""), "-", ""), "_", "")),"000")</f>
        <v>P-038</v>
      </c>
      <c r="E68" s="3" t="str">
        <f>VLOOKUP(D68,Product_List!$A$2:$B$61,2,FALSE)</f>
        <v>Cable Max 38</v>
      </c>
      <c r="F68" s="3" t="str">
        <f>_xlfn.XLOOKUP(E68,Product_List!$B$2:$B$61,Product_List!$E$2:$E$61,2)</f>
        <v>TechSupply Co</v>
      </c>
      <c r="G68" s="3" t="str">
        <f>VLOOKUP(E68,Product_List!$B$2:$C$61,2,FALSE)</f>
        <v>Electronics</v>
      </c>
      <c r="H68" s="3" t="str">
        <f>SUBSTITUTE(SUBSTITUTE('Sales_RAW(BEFORE)'!G70,"kom",""),".","")</f>
        <v>37</v>
      </c>
      <c r="I68" s="6">
        <f>VLOOKUP(E68,Product_List!$B$2:$D$61,3,FALSE)</f>
        <v>687.68</v>
      </c>
      <c r="J68" s="5">
        <f>IF(IFERROR(VALUE(SUBSTITUTE(SUBSTITUTE(TRIM('Sales_RAW(BEFORE)'!I70), "%", ""), ",", ".")), 0) &gt; 1, IFERROR(VALUE(SUBSTITUTE(SUBSTITUTE(TRIM('Sales_RAW(BEFORE)'!I70), "%", ""), ",", ".")), 0) / 100, IFERROR(VALUE(SUBSTITUTE(SUBSTITUTE(TRIM('Sales_RAW(BEFORE)'!I70), "%", ""), ",", ".")), 0))</f>
        <v>0.1</v>
      </c>
      <c r="K68" s="6">
        <f>(H68*I68)/(HLOOKUP(AE68,Exchange_Rates!$B$1:$M$2,2,FALSE))</f>
        <v>27899.298245614034</v>
      </c>
      <c r="L68" s="6" t="str" cm="1">
        <f t="array" ref="L68">_xlfn.LET(
  _xlpm.valuta, UPPER(TRIM('Sales_RAW(BEFORE)'!K70)),
  _xlfn.IFS(
    _xlpm.valuta = "", "",
    OR(_xlpm.valuta = "USD", _xlpm.valuta = "$"), "$",
    OR(_xlpm.valuta = "EUR", _xlpm.valuta = "€"), "€",
    TRUE, _xlpm.valuta
  )
)</f>
        <v>€</v>
      </c>
      <c r="M68" s="3" t="str">
        <f>"E" &amp; TEXT(VALUE(SUBSTITUTE(SUBSTITUTE(SUBSTITUTE(UPPER(TRIM('Sales_RAW(BEFORE)'!L70)), "EMP", ""), "E", ""), "-", "")),"000")</f>
        <v>E010</v>
      </c>
      <c r="N68" s="3" t="str">
        <f>_xlfn.XLOOKUP(M68,Employees!$D$2:$D$26,Employees!$A$2:$A$26)</f>
        <v>Olivia Anderson</v>
      </c>
      <c r="O68" s="3" t="str">
        <f>_xlfn.XLOOKUP(N68,Employees!$A$2:$A$26,Employees!$C$2:$C$26,2)</f>
        <v>Online</v>
      </c>
      <c r="P68" s="3" t="str">
        <f>PROPER('Sales_RAW(BEFORE)'!N70)</f>
        <v>South</v>
      </c>
      <c r="Q68" s="3" t="str">
        <f>VLOOKUP(N68,Employees!$A$2:$B$26,2,FALSE)</f>
        <v>Houston</v>
      </c>
      <c r="R68" s="3" t="str">
        <f>PROPER('Sales_RAW(BEFORE)'!P70)</f>
        <v xml:space="preserve">Initech Inc. </v>
      </c>
      <c r="S68" s="3" t="str">
        <f>SUBSTITUTE(SUBSTITUTE('Sales_RAW(BEFORE)'!Q70,"EIN",""),":","")</f>
        <v>828226053</v>
      </c>
      <c r="T68" s="3" t="s">
        <v>163</v>
      </c>
      <c r="U68" s="3" t="s">
        <v>1377</v>
      </c>
      <c r="V68" s="3" t="s">
        <v>1378</v>
      </c>
      <c r="W68" s="3" t="s">
        <v>1379</v>
      </c>
      <c r="X68" s="3" t="s">
        <v>173</v>
      </c>
      <c r="Y68" s="3" t="str">
        <f>PROPER('Sales_RAW(BEFORE)'!W70)</f>
        <v>Credit Card</v>
      </c>
      <c r="Z68" s="3" t="str">
        <f>PROPER('Sales_RAW(BEFORE)'!X70)</f>
        <v>Delivered</v>
      </c>
      <c r="AA68" s="3" t="str" cm="1">
        <f t="array" ref="AA68">_xlfn.LET(
  _xlpm.val, TRIM(LOWER('Sales_RAW(BEFORE)'!Y70)),
  _xlfn.IFS(
    OR(_xlpm.val="yes", _xlpm.val="paid"), "Paid",
    OR(_xlpm.val="no", _xlpm.val="unpaid"), "Unpaid",
    OR(_xlpm.val="partial", _xlpm.val="partial paid"), "Partial",
    _xlpm.val="", "",
    TRUE, 'Sales_RAW(BEFORE)'!AY70
  )
)</f>
        <v>Paid</v>
      </c>
      <c r="AB68" s="3" t="s">
        <v>1380</v>
      </c>
      <c r="AC68" s="3" t="str">
        <f>PROPER('Sales_RAW(BEFORE)'!AA70)</f>
        <v>Online</v>
      </c>
      <c r="AD68" s="3" t="str">
        <f>SUBSTITUTE(SUBSTITUTE(SUBSTITUTE(SUBSTITUTE('Sales_RAW(BEFORE)'!AB70,"st",""),"q",""),"Q",""),"uarter","")</f>
        <v xml:space="preserve">1 </v>
      </c>
      <c r="AE68" s="3" t="str">
        <f>TEXT(IFERROR(DATEVALUE('Sales_RAW(BEFORE)'!AC70 &amp; " 1"), IFERROR(DATE(2025, 'Sales_RAW(BEFORE)'!AC70, 1), 'Sales_RAW(BEFORE)'!AC70)), "mmmm")</f>
        <v>December</v>
      </c>
      <c r="AF68" s="3">
        <f>_xlfn.LET(
  _xlpm.raw, TRIM(SUBSTITUTE('Sales_RAW(BEFORE)'!AD70, "'", "")),
  _xlpm.num, IFERROR(VALUE(_xlpm.raw), 0),
  IF(_xlpm.num &lt; 100, 2000 + _xlpm.num, _xlpm.num)
)</f>
        <v>2025</v>
      </c>
      <c r="AG68" s="3" t="str">
        <f>PROPER('Sales_RAW(BEFORE)'!AE70)</f>
        <v>Net 60</v>
      </c>
      <c r="AH68" s="3" cm="1">
        <f t="array" ref="AH68">_xlfn.LET(
  _xlpm.val, LOWER(TRIM('Sales_RAW(BEFORE)'!AF70)),
  _xlfn.IFS(
    OR(_xlpm.val="", _xlpm.val="null", _xlpm.val="N/A", _xlpm.val="-", _xlpm.val="#N/A"), 0,
    ISNUMBER('Sales_RAW(BEFORE)'!AF70), 'Sales_RAW(BEFORE)'!AF70,
    TRUE, IFERROR(_xlfn.NUMBERVALUE(_xlpm.val), 0)
  )
)</f>
        <v>86</v>
      </c>
      <c r="AI68" s="5">
        <f>IF(IFERROR(VALUE(SUBSTITUTE(SUBSTITUTE(TRIM('Sales_RAW(BEFORE)'!AG70), "%", ""), ",", ".")), 0) &gt; 1, IFERROR(VALUE(SUBSTITUTE(SUBSTITUTE(TRIM('Sales_RAW(BEFORE)'!AG70), "%", ""), ",", ".")), 0) / 100, IFERROR(VALUE(SUBSTITUTE(SUBSTITUTE(TRIM('Sales_RAW(BEFORE)'!AG70), "%", ""), ",", ".")), 0))</f>
        <v>0.08</v>
      </c>
      <c r="AJ68" s="6">
        <f t="shared" si="6"/>
        <v>2231.9438596491227</v>
      </c>
      <c r="AK68" s="6">
        <f t="shared" si="7"/>
        <v>30131.242105263158</v>
      </c>
      <c r="AL68" s="6">
        <f>IFERROR(VALUE(SUBSTITUTE(SUBSTITUTE(SUBSTITUTE('Sales_RAW(BEFORE)'!AJ70,"$",""),"USD",""),",",".")),0)</f>
        <v>49.63</v>
      </c>
      <c r="AM68" s="3" t="str">
        <f>SUBSTITUTE(SUBSTITUTE(PROPER('Sales_RAW(BEFORE)'!AK70), "Fed Ex", "FedEx"),"Fedex","FedEx")</f>
        <v>Usps</v>
      </c>
      <c r="AN68" s="3" t="s">
        <v>1383</v>
      </c>
      <c r="AO68" s="3" t="str">
        <f>SUBSTITUTE('Sales_RAW(BEFORE)'!AM70,"kg","")</f>
        <v xml:space="preserve">26.8 </v>
      </c>
      <c r="AP68" s="3" t="str">
        <f>_xlfn.LET(
  _xlpm.raw, UPPER(TRIM('Sales_RAW(BEFORE)'!AN70)),
  _xlpm.clean, RIGHT(_xlpm.raw, 1),
  IF(OR(_xlpm.raw="", _xlpm.raw="null"), "N/A", _xlpm.clean)
)</f>
        <v>B</v>
      </c>
      <c r="AQ68" s="3">
        <v>445</v>
      </c>
      <c r="AR68" s="3" cm="1">
        <f t="array" ref="AR68">_xlfn.LET(
  _xlpm.raw, LOWER(TRIM('Sales_RAW(BEFORE)'!AP70)),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68" s="3"/>
      <c r="AT68" s="3"/>
      <c r="AU68" s="3"/>
      <c r="AV68" s="8">
        <f>IF(IFERROR(VALUE(SUBSTITUTE(SUBSTITUTE(TRIM('Sales_RAW(BEFORE)'!AT70), "%", ""), ",", ".")), 0) &gt; 1, IFERROR(VALUE(SUBSTITUTE(SUBSTITUTE(TRIM('Sales_RAW(BEFORE)'!AT70), "%", ""), ",", ".")), 0) / 100, IFERROR(VALUE(SUBSTITUTE(SUBSTITUTE(TRIM('Sales_RAW(BEFORE)'!AT70), "%", ""), ",", ".")), 0))</f>
        <v>0.15</v>
      </c>
      <c r="AW68" s="6">
        <f>BA68*(_xlfn.XLOOKUP(N68,Employees!$A$2:$A$26,Employees!$E$2:$E$26,2))</f>
        <v>723.14981052631583</v>
      </c>
      <c r="AX68" s="3" t="str">
        <f>PROPER('Sales_RAW(BEFORE)'!AV70)</f>
        <v xml:space="preserve">Robert Williams  </v>
      </c>
      <c r="AY68" s="3" t="str">
        <f t="shared" ref="AY68:AY130" si="8">AX68</f>
        <v xml:space="preserve">Robert Williams  </v>
      </c>
      <c r="AZ68" s="3"/>
      <c r="BA68" s="24">
        <f>AK68*(1-(_xlfn.XLOOKUP(G68, Exchange_Rates!$B$8:$F$8, Exchange_Rates!$B$9:$F$9, 0)+J68))</f>
        <v>24104.993684210527</v>
      </c>
      <c r="BB68" s="7" cm="1">
        <f t="array" ref="BB68">_xlfn.LET(
  _xlpm.raw_dt, SUBSTITUTE(TRIM(C68), ".", "/"),
  _xlpm.dt, IFERROR(DATEVALUE(_xlpm.raw_dt), C68),
  _xlpm.p_code, TRIM(E68),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46642</v>
      </c>
      <c r="BC68" s="25">
        <f t="shared" ref="BC68:BC130" si="9">BA68*AV68</f>
        <v>3615.7490526315792</v>
      </c>
    </row>
    <row r="69" spans="1:55" ht="15.75" thickBot="1" x14ac:dyDescent="0.3">
      <c r="A69" s="3" t="s">
        <v>1386</v>
      </c>
      <c r="B69" s="10">
        <v>45819</v>
      </c>
      <c r="C69" s="4">
        <v>45824</v>
      </c>
      <c r="D69" s="3" t="str">
        <f>"P-" &amp; TEXT(VALUE(SUBSTITUTE(SUBSTITUTE(SUBSTITUTE(UPPER(TRIM('Sales_RAW(BEFORE)'!D71)), "P", ""), "-", ""), "_", "")),"000")</f>
        <v>P-010</v>
      </c>
      <c r="E69" s="3" t="str">
        <f>VLOOKUP(D69,Product_List!$A$2:$B$61,2,FALSE)</f>
        <v>Headphones Basic 10</v>
      </c>
      <c r="F69" s="3" t="str">
        <f>_xlfn.XLOOKUP(E69,Product_List!$B$2:$B$61,Product_List!$E$2:$E$61,2)</f>
        <v>TechSupply Co</v>
      </c>
      <c r="G69" s="3" t="str">
        <f>VLOOKUP(E69,Product_List!$B$2:$C$61,2,FALSE)</f>
        <v>Equipment</v>
      </c>
      <c r="H69" s="3" t="str">
        <f>SUBSTITUTE(SUBSTITUTE('Sales_RAW(BEFORE)'!G71,"kom",""),".","")</f>
        <v>10</v>
      </c>
      <c r="I69" s="6">
        <f>VLOOKUP(E69,Product_List!$B$2:$D$61,3,FALSE)</f>
        <v>1225.1099999999999</v>
      </c>
      <c r="J69" s="5">
        <f>IF(IFERROR(VALUE(SUBSTITUTE(SUBSTITUTE(TRIM('Sales_RAW(BEFORE)'!I71), "%", ""), ",", ".")), 0) &gt; 1, IFERROR(VALUE(SUBSTITUTE(SUBSTITUTE(TRIM('Sales_RAW(BEFORE)'!I71), "%", ""), ",", ".")), 0) / 100, IFERROR(VALUE(SUBSTITUTE(SUBSTITUTE(TRIM('Sales_RAW(BEFORE)'!I71), "%", ""), ",", ".")), 0))</f>
        <v>0.1</v>
      </c>
      <c r="K69" s="6">
        <f t="shared" si="5"/>
        <v>12251.099999999999</v>
      </c>
      <c r="L69" s="6" t="str" cm="1">
        <f t="array" ref="L69">_xlfn.LET(
  _xlpm.valuta, UPPER(TRIM('Sales_RAW(BEFORE)'!K71)),
  _xlfn.IFS(
    _xlpm.valuta = "", "",
    OR(_xlpm.valuta = "USD", _xlpm.valuta = "$"), "$",
    OR(_xlpm.valuta = "EUR", _xlpm.valuta = "€"), "€",
    TRUE, _xlpm.valuta
  )
)</f>
        <v>$</v>
      </c>
      <c r="M69" s="3" t="str">
        <f>"E" &amp; TEXT(VALUE(SUBSTITUTE(SUBSTITUTE(SUBSTITUTE(UPPER(TRIM('Sales_RAW(BEFORE)'!L71)), "EMP", ""), "E", ""), "-", "")),"000")</f>
        <v>E006</v>
      </c>
      <c r="N69" s="3" t="str">
        <f>_xlfn.XLOOKUP(M69,Employees!$D$2:$D$26,Employees!$A$2:$A$26)</f>
        <v>Emily Davis</v>
      </c>
      <c r="O69" s="3" t="str">
        <f>_xlfn.XLOOKUP(N69,Employees!$A$2:$A$26,Employees!$C$2:$C$26,2)</f>
        <v>Retail</v>
      </c>
      <c r="P69" s="3" t="str">
        <f>PROPER('Sales_RAW(BEFORE)'!N71)</f>
        <v>North</v>
      </c>
      <c r="Q69" s="3" t="str">
        <f>VLOOKUP(N69,Employees!$A$2:$B$26,2,FALSE)</f>
        <v>Houston</v>
      </c>
      <c r="R69" s="3" t="str">
        <f>PROPER('Sales_RAW(BEFORE)'!P71)</f>
        <v>Vortex Inc.</v>
      </c>
      <c r="S69" s="3" t="str">
        <f>SUBSTITUTE(SUBSTITUTE('Sales_RAW(BEFORE)'!Q71,"EIN",""),":","")</f>
        <v xml:space="preserve"> 195399847</v>
      </c>
      <c r="T69" s="3" t="s">
        <v>1395</v>
      </c>
      <c r="U69" s="3" t="s">
        <v>1396</v>
      </c>
      <c r="V69" s="3" t="s">
        <v>1397</v>
      </c>
      <c r="W69" s="3" t="s">
        <v>1398</v>
      </c>
      <c r="X69" s="3" t="s">
        <v>173</v>
      </c>
      <c r="Y69" s="3" t="str">
        <f>PROPER('Sales_RAW(BEFORE)'!W71)</f>
        <v>Credit Card</v>
      </c>
      <c r="Z69" s="3" t="str">
        <f>PROPER('Sales_RAW(BEFORE)'!X71)</f>
        <v>Delivered</v>
      </c>
      <c r="AA69" s="3" t="str" cm="1">
        <f t="array" ref="AA69">_xlfn.LET(
  _xlpm.val, TRIM(LOWER('Sales_RAW(BEFORE)'!Y71)),
  _xlfn.IFS(
    OR(_xlpm.val="yes", _xlpm.val="paid"), "Paid",
    OR(_xlpm.val="no", _xlpm.val="unpaid"), "Unpaid",
    OR(_xlpm.val="partial", _xlpm.val="partial paid"), "Partial",
    _xlpm.val="", "",
    TRUE, 'Sales_RAW(BEFORE)'!AY71
  )
)</f>
        <v>Paid</v>
      </c>
      <c r="AB69" s="3" t="s">
        <v>1399</v>
      </c>
      <c r="AC69" s="3" t="str">
        <f>PROPER('Sales_RAW(BEFORE)'!AA71)</f>
        <v>Phone</v>
      </c>
      <c r="AD69" s="3" t="str">
        <f>SUBSTITUTE(SUBSTITUTE(SUBSTITUTE(SUBSTITUTE('Sales_RAW(BEFORE)'!AB71,"st",""),"q",""),"Q",""),"uarter","")</f>
        <v>1</v>
      </c>
      <c r="AE69" s="3" t="str">
        <f>TEXT(IFERROR(DATEVALUE('Sales_RAW(BEFORE)'!AC71 &amp; " 1"), IFERROR(DATE(2025, 'Sales_RAW(BEFORE)'!AC71, 1), 'Sales_RAW(BEFORE)'!AC71)), "mmmm")</f>
        <v>June</v>
      </c>
      <c r="AF69" s="3">
        <f>_xlfn.LET(
  _xlpm.raw, TRIM(SUBSTITUTE('Sales_RAW(BEFORE)'!AD71, "'", "")),
  _xlpm.num, IFERROR(VALUE(_xlpm.raw), 0),
  IF(_xlpm.num &lt; 100, 2000 + _xlpm.num, _xlpm.num)
)</f>
        <v>2025</v>
      </c>
      <c r="AG69" s="3" t="str">
        <f>PROPER('Sales_RAW(BEFORE)'!AE71)</f>
        <v>15</v>
      </c>
      <c r="AH69" s="3" cm="1">
        <f t="array" ref="AH69">_xlfn.LET(
  _xlpm.val, LOWER(TRIM('Sales_RAW(BEFORE)'!AF71)),
  _xlfn.IFS(
    OR(_xlpm.val="", _xlpm.val="null", _xlpm.val="N/A", _xlpm.val="-", _xlpm.val="#N/A"), 0,
    ISNUMBER('Sales_RAW(BEFORE)'!AF71), 'Sales_RAW(BEFORE)'!AF71,
    TRUE, IFERROR(_xlfn.NUMBERVALUE(_xlpm.val), 0)
  )
)</f>
        <v>80</v>
      </c>
      <c r="AI69" s="5">
        <f>IF(IFERROR(VALUE(SUBSTITUTE(SUBSTITUTE(TRIM('Sales_RAW(BEFORE)'!AG71), "%", ""), ",", ".")), 0) &gt; 1, IFERROR(VALUE(SUBSTITUTE(SUBSTITUTE(TRIM('Sales_RAW(BEFORE)'!AG71), "%", ""), ",", ".")), 0) / 100, IFERROR(VALUE(SUBSTITUTE(SUBSTITUTE(TRIM('Sales_RAW(BEFORE)'!AG71), "%", ""), ",", ".")), 0))</f>
        <v>0.08</v>
      </c>
      <c r="AJ69" s="6">
        <f t="shared" si="6"/>
        <v>980.08799999999985</v>
      </c>
      <c r="AK69" s="6">
        <f t="shared" si="7"/>
        <v>13231.187999999998</v>
      </c>
      <c r="AL69" s="6">
        <f>IFERROR(VALUE(SUBSTITUTE(SUBSTITUTE(SUBSTITUTE('Sales_RAW(BEFORE)'!AJ71,"$",""),"USD",""),",",".")),0)</f>
        <v>0</v>
      </c>
      <c r="AM69" s="3" t="str">
        <f>SUBSTITUTE(SUBSTITUTE(PROPER('Sales_RAW(BEFORE)'!AK71), "Fed Ex", "FedEx"),"Fedex","FedEx")</f>
        <v>Usps</v>
      </c>
      <c r="AN69" s="3" t="s">
        <v>1400</v>
      </c>
      <c r="AO69" s="3" t="str">
        <f>SUBSTITUTE('Sales_RAW(BEFORE)'!AM71,"kg","")</f>
        <v>5.82</v>
      </c>
      <c r="AP69" s="3" t="str">
        <f>_xlfn.LET(
  _xlpm.raw, UPPER(TRIM('Sales_RAW(BEFORE)'!AN71)),
  _xlpm.clean, RIGHT(_xlpm.raw, 1),
  IF(OR(_xlpm.raw="", _xlpm.raw="null"), "N/A", _xlpm.clean)
)</f>
        <v>B</v>
      </c>
      <c r="AQ69" s="3">
        <v>132</v>
      </c>
      <c r="AR69" s="3" cm="1">
        <f t="array" ref="AR69">_xlfn.LET(
  _xlpm.raw, LOWER(TRIM('Sales_RAW(BEFORE)'!AP71)),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69" s="3"/>
      <c r="AT69" s="3"/>
      <c r="AU69" s="3"/>
      <c r="AV69" s="8">
        <f>IF(IFERROR(VALUE(SUBSTITUTE(SUBSTITUTE(TRIM('Sales_RAW(BEFORE)'!AT71), "%", ""), ",", ".")), 0) &gt; 1, IFERROR(VALUE(SUBSTITUTE(SUBSTITUTE(TRIM('Sales_RAW(BEFORE)'!AT71), "%", ""), ",", ".")), 0) / 100, IFERROR(VALUE(SUBSTITUTE(SUBSTITUTE(TRIM('Sales_RAW(BEFORE)'!AT71), "%", ""), ",", ".")), 0))</f>
        <v>0.18</v>
      </c>
      <c r="AW69" s="6">
        <f>BA69*(_xlfn.XLOOKUP(N69,Employees!$A$2:$A$26,Employees!$E$2:$E$26,2))</f>
        <v>529.24752000000001</v>
      </c>
      <c r="AX69" s="3" t="str">
        <f>PROPER('Sales_RAW(BEFORE)'!AV71)</f>
        <v xml:space="preserve">   Emily Anderson</v>
      </c>
      <c r="AY69" s="3" t="str">
        <f t="shared" si="8"/>
        <v xml:space="preserve">   Emily Anderson</v>
      </c>
      <c r="AZ69" s="3"/>
      <c r="BA69" s="24">
        <f>AK69*(1-(_xlfn.XLOOKUP(G69, Exchange_Rates!$B$8:$F$8, Exchange_Rates!$B$9:$F$9, 0)+J69))</f>
        <v>10584.9504</v>
      </c>
      <c r="BB69" s="7" cm="1">
        <f t="array" ref="BB69">_xlfn.LET(
  _xlpm.raw_dt, SUBSTITUTE(TRIM(C69), ".", "/"),
  _xlpm.dt, IFERROR(DATEVALUE(_xlpm.raw_dt), C69),
  _xlpm.p_code, TRIM(E69),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46554</v>
      </c>
      <c r="BC69" s="25">
        <f t="shared" si="9"/>
        <v>1905.291072</v>
      </c>
    </row>
    <row r="70" spans="1:55" ht="15.75" thickBot="1" x14ac:dyDescent="0.3">
      <c r="A70" s="3" t="s">
        <v>1402</v>
      </c>
      <c r="B70" s="10">
        <v>45996</v>
      </c>
      <c r="C70" s="4">
        <v>45999</v>
      </c>
      <c r="D70" s="3" t="str">
        <f>"P-" &amp; TEXT(VALUE(SUBSTITUTE(SUBSTITUTE(SUBSTITUTE(UPPER(TRIM('Sales_RAW(BEFORE)'!D72)), "P", ""), "-", ""), "_", "")),"000")</f>
        <v>P-016</v>
      </c>
      <c r="E70" s="3" t="str">
        <f>VLOOKUP(D70,Product_List!$A$2:$B$61,2,FALSE)</f>
        <v>Keyboard X 16</v>
      </c>
      <c r="F70" s="3" t="str">
        <f>_xlfn.XLOOKUP(E70,Product_List!$B$2:$B$61,Product_List!$E$2:$E$61,2)</f>
        <v>TechSupply Co</v>
      </c>
      <c r="G70" s="3" t="str">
        <f>VLOOKUP(E70,Product_List!$B$2:$C$61,2,FALSE)</f>
        <v>Office</v>
      </c>
      <c r="H70" s="3" t="str">
        <f>SUBSTITUTE(SUBSTITUTE('Sales_RAW(BEFORE)'!G72,"kom",""),".","")</f>
        <v xml:space="preserve">3 </v>
      </c>
      <c r="I70" s="6">
        <f>VLOOKUP(E70,Product_List!$B$2:$D$61,3,FALSE)</f>
        <v>127.37</v>
      </c>
      <c r="J70" s="5">
        <f>IF(IFERROR(VALUE(SUBSTITUTE(SUBSTITUTE(TRIM('Sales_RAW(BEFORE)'!I72), "%", ""), ",", ".")), 0) &gt; 1, IFERROR(VALUE(SUBSTITUTE(SUBSTITUTE(TRIM('Sales_RAW(BEFORE)'!I72), "%", ""), ",", ".")), 0) / 100, IFERROR(VALUE(SUBSTITUTE(SUBSTITUTE(TRIM('Sales_RAW(BEFORE)'!I72), "%", ""), ",", ".")), 0))</f>
        <v>0</v>
      </c>
      <c r="K70" s="6">
        <f t="shared" si="5"/>
        <v>382.11</v>
      </c>
      <c r="L70" s="6" t="str" cm="1">
        <f t="array" ref="L70">_xlfn.LET(
  _xlpm.valuta, UPPER(TRIM('Sales_RAW(BEFORE)'!K72)),
  _xlfn.IFS(
    _xlpm.valuta = "", "",
    OR(_xlpm.valuta = "USD", _xlpm.valuta = "$"), "$",
    OR(_xlpm.valuta = "EUR", _xlpm.valuta = "€"), "€",
    TRUE, _xlpm.valuta
  )
)</f>
        <v>$</v>
      </c>
      <c r="M70" s="3" t="str">
        <f>"E" &amp; TEXT(VALUE(SUBSTITUTE(SUBSTITUTE(SUBSTITUTE(UPPER(TRIM('Sales_RAW(BEFORE)'!L72)), "EMP", ""), "E", ""), "-", "")),"000")</f>
        <v>E009</v>
      </c>
      <c r="N70" s="3" t="str">
        <f>_xlfn.XLOOKUP(M70,Employees!$D$2:$D$26,Employees!$A$2:$A$26)</f>
        <v>Olivia Wilson</v>
      </c>
      <c r="O70" s="3" t="str">
        <f>_xlfn.XLOOKUP(N70,Employees!$A$2:$A$26,Employees!$C$2:$C$26,2)</f>
        <v>Wholesale</v>
      </c>
      <c r="P70" s="3" t="str">
        <f>PROPER('Sales_RAW(BEFORE)'!N72)</f>
        <v>North</v>
      </c>
      <c r="Q70" s="3" t="str">
        <f>VLOOKUP(N70,Employees!$A$2:$B$26,2,FALSE)</f>
        <v>Miami</v>
      </c>
      <c r="R70" s="3" t="str">
        <f>PROPER('Sales_RAW(BEFORE)'!P72)</f>
        <v xml:space="preserve">Wayne Llc  </v>
      </c>
      <c r="S70" s="3" t="str">
        <f>SUBSTITUTE(SUBSTITUTE('Sales_RAW(BEFORE)'!Q72,"EIN",""),":","")</f>
        <v>357724330</v>
      </c>
      <c r="T70" s="3" t="s">
        <v>1271</v>
      </c>
      <c r="U70" s="3" t="s">
        <v>1413</v>
      </c>
      <c r="V70" s="3" t="s">
        <v>1414</v>
      </c>
      <c r="W70" s="3" t="s">
        <v>1415</v>
      </c>
      <c r="X70" s="3" t="s">
        <v>173</v>
      </c>
      <c r="Y70" s="3" t="str">
        <f>PROPER('Sales_RAW(BEFORE)'!W72)</f>
        <v>Credit Card</v>
      </c>
      <c r="Z70" s="3" t="str">
        <f>PROPER('Sales_RAW(BEFORE)'!X72)</f>
        <v>Pending</v>
      </c>
      <c r="AA70" s="3" t="str" cm="1">
        <f t="array" ref="AA70">_xlfn.LET(
  _xlpm.val, TRIM(LOWER('Sales_RAW(BEFORE)'!Y72)),
  _xlfn.IFS(
    OR(_xlpm.val="yes", _xlpm.val="paid"), "Paid",
    OR(_xlpm.val="no", _xlpm.val="unpaid"), "Unpaid",
    OR(_xlpm.val="partial", _xlpm.val="partial paid"), "Partial",
    _xlpm.val="", "",
    TRUE, 'Sales_RAW(BEFORE)'!AY72
  )
)</f>
        <v>Paid</v>
      </c>
      <c r="AB70" s="3" t="s">
        <v>1416</v>
      </c>
      <c r="AC70" s="3" t="str">
        <f>PROPER('Sales_RAW(BEFORE)'!AA72)</f>
        <v>Store</v>
      </c>
      <c r="AD70" s="3" t="str">
        <f>SUBSTITUTE(SUBSTITUTE(SUBSTITUTE(SUBSTITUTE('Sales_RAW(BEFORE)'!AB72,"st",""),"q",""),"Q",""),"uarter","")</f>
        <v>4</v>
      </c>
      <c r="AE70" s="3" t="str">
        <f>TEXT(IFERROR(DATEVALUE('Sales_RAW(BEFORE)'!AC72 &amp; " 1"), IFERROR(DATE(2025, 'Sales_RAW(BEFORE)'!AC72, 1), 'Sales_RAW(BEFORE)'!AC72)), "mmmm")</f>
        <v>December</v>
      </c>
      <c r="AF70" s="3">
        <f>_xlfn.LET(
  _xlpm.raw, TRIM(SUBSTITUTE('Sales_RAW(BEFORE)'!AD72, "'", "")),
  _xlpm.num, IFERROR(VALUE(_xlpm.raw), 0),
  IF(_xlpm.num &lt; 100, 2000 + _xlpm.num, _xlpm.num)
)</f>
        <v>2025</v>
      </c>
      <c r="AG70" s="3" t="str">
        <f>PROPER('Sales_RAW(BEFORE)'!AE72)</f>
        <v>Immediate</v>
      </c>
      <c r="AH70" s="3" cm="1">
        <f t="array" ref="AH70">_xlfn.LET(
  _xlpm.val, LOWER(TRIM('Sales_RAW(BEFORE)'!AF72)),
  _xlfn.IFS(
    OR(_xlpm.val="", _xlpm.val="null", _xlpm.val="N/A", _xlpm.val="-", _xlpm.val="#N/A"), 0,
    ISNUMBER('Sales_RAW(BEFORE)'!AF72), 'Sales_RAW(BEFORE)'!AF72,
    TRUE, IFERROR(_xlfn.NUMBERVALUE(_xlpm.val), 0)
  )
)</f>
        <v>11</v>
      </c>
      <c r="AI70" s="5">
        <f>IF(IFERROR(VALUE(SUBSTITUTE(SUBSTITUTE(TRIM('Sales_RAW(BEFORE)'!AG72), "%", ""), ",", ".")), 0) &gt; 1, IFERROR(VALUE(SUBSTITUTE(SUBSTITUTE(TRIM('Sales_RAW(BEFORE)'!AG72), "%", ""), ",", ".")), 0) / 100, IFERROR(VALUE(SUBSTITUTE(SUBSTITUTE(TRIM('Sales_RAW(BEFORE)'!AG72), "%", ""), ",", ".")), 0))</f>
        <v>0.08</v>
      </c>
      <c r="AJ70" s="6">
        <f t="shared" si="6"/>
        <v>30.568800000000003</v>
      </c>
      <c r="AK70" s="6">
        <f t="shared" si="7"/>
        <v>412.67880000000002</v>
      </c>
      <c r="AL70" s="6">
        <f>IFERROR(VALUE(SUBSTITUTE(SUBSTITUTE(SUBSTITUTE('Sales_RAW(BEFORE)'!AJ72,"$",""),"USD",""),",",".")),0)</f>
        <v>7.65</v>
      </c>
      <c r="AM70" s="3" t="str">
        <f>SUBSTITUTE(SUBSTITUTE(PROPER('Sales_RAW(BEFORE)'!AK72), "Fed Ex", "FedEx"),"Fedex","FedEx")</f>
        <v>Ups</v>
      </c>
      <c r="AN70" s="3" t="s">
        <v>1418</v>
      </c>
      <c r="AO70" s="3" t="str">
        <f>SUBSTITUTE('Sales_RAW(BEFORE)'!AM72,"kg","")</f>
        <v>16,82</v>
      </c>
      <c r="AP70" s="3" t="str">
        <f>_xlfn.LET(
  _xlpm.raw, UPPER(TRIM('Sales_RAW(BEFORE)'!AN72)),
  _xlpm.clean, RIGHT(_xlpm.raw, 1),
  IF(OR(_xlpm.raw="", _xlpm.raw="null"), "N/A", _xlpm.clean)
)</f>
        <v>B</v>
      </c>
      <c r="AQ70" s="3">
        <v>496</v>
      </c>
      <c r="AR70" s="3" cm="1">
        <f t="array" ref="AR70">_xlfn.LET(
  _xlpm.raw, LOWER(TRIM('Sales_RAW(BEFORE)'!AP72)),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70" s="3"/>
      <c r="AT70" s="3"/>
      <c r="AU70" s="3"/>
      <c r="AV70" s="8">
        <f>IF(IFERROR(VALUE(SUBSTITUTE(SUBSTITUTE(TRIM('Sales_RAW(BEFORE)'!AT72), "%", ""), ",", ".")), 0) &gt; 1, IFERROR(VALUE(SUBSTITUTE(SUBSTITUTE(TRIM('Sales_RAW(BEFORE)'!AT72), "%", ""), ",", ".")), 0) / 100, IFERROR(VALUE(SUBSTITUTE(SUBSTITUTE(TRIM('Sales_RAW(BEFORE)'!AT72), "%", ""), ",", ".")), 0))</f>
        <v>0.18</v>
      </c>
      <c r="AW70" s="6">
        <f>BA70*(_xlfn.XLOOKUP(N70,Employees!$A$2:$A$26,Employees!$E$2:$E$26,2))</f>
        <v>11.1423276</v>
      </c>
      <c r="AX70" s="3" t="str">
        <f>PROPER('Sales_RAW(BEFORE)'!AV72)</f>
        <v>James Davis</v>
      </c>
      <c r="AY70" s="3" t="str">
        <f t="shared" si="8"/>
        <v>James Davis</v>
      </c>
      <c r="AZ70" s="3"/>
      <c r="BA70" s="24">
        <f>AK70*(1-(_xlfn.XLOOKUP(G70, Exchange_Rates!$B$8:$F$8, Exchange_Rates!$B$9:$F$9, 0)+J70))</f>
        <v>371.41092000000003</v>
      </c>
      <c r="BB70" s="7" cm="1">
        <f t="array" ref="BB70">_xlfn.LET(
  _xlpm.raw_dt, SUBSTITUTE(TRIM(C70), ".", "/"),
  _xlpm.dt, IFERROR(DATEVALUE(_xlpm.raw_dt), C70),
  _xlpm.p_code, TRIM(E70),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46364</v>
      </c>
      <c r="BC70" s="25">
        <f t="shared" si="9"/>
        <v>66.853965600000009</v>
      </c>
    </row>
    <row r="71" spans="1:55" ht="15.75" thickBot="1" x14ac:dyDescent="0.3">
      <c r="A71" s="3" t="s">
        <v>1422</v>
      </c>
      <c r="B71" s="10">
        <v>46172</v>
      </c>
      <c r="C71" s="4">
        <v>46173</v>
      </c>
      <c r="D71" s="3" t="str">
        <f>"P-" &amp; TEXT(VALUE(SUBSTITUTE(SUBSTITUTE(SUBSTITUTE(UPPER(TRIM('Sales_RAW(BEFORE)'!D73)), "P", ""), "-", ""), "_", "")),"000")</f>
        <v>P-018</v>
      </c>
      <c r="E71" s="3" t="str">
        <f>VLOOKUP(D71,Product_List!$A$2:$B$61,2,FALSE)</f>
        <v>License Basic 18</v>
      </c>
      <c r="F71" s="3" t="str">
        <f>_xlfn.XLOOKUP(E71,Product_List!$B$2:$B$61,Product_List!$E$2:$E$61,2)</f>
        <v>Global Distrib</v>
      </c>
      <c r="G71" s="3" t="str">
        <f>VLOOKUP(E71,Product_List!$B$2:$C$61,2,FALSE)</f>
        <v>Equipment</v>
      </c>
      <c r="H71" s="3" t="str">
        <f>SUBSTITUTE(SUBSTITUTE('Sales_RAW(BEFORE)'!G73,"kom",""),".","")</f>
        <v xml:space="preserve">33 </v>
      </c>
      <c r="I71" s="6">
        <f>VLOOKUP(E71,Product_List!$B$2:$D$61,3,FALSE)</f>
        <v>1470.36</v>
      </c>
      <c r="J71" s="5">
        <f>IF(IFERROR(VALUE(SUBSTITUTE(SUBSTITUTE(TRIM('Sales_RAW(BEFORE)'!I73), "%", ""), ",", ".")), 0) &gt; 1, IFERROR(VALUE(SUBSTITUTE(SUBSTITUTE(TRIM('Sales_RAW(BEFORE)'!I73), "%", ""), ",", ".")), 0) / 100, IFERROR(VALUE(SUBSTITUTE(SUBSTITUTE(TRIM('Sales_RAW(BEFORE)'!I73), "%", ""), ",", ".")), 0))</f>
        <v>0</v>
      </c>
      <c r="K71" s="6">
        <f t="shared" si="5"/>
        <v>48521.88</v>
      </c>
      <c r="L71" s="6" t="str" cm="1">
        <f t="array" ref="L71">_xlfn.LET(
  _xlpm.valuta, UPPER(TRIM('Sales_RAW(BEFORE)'!K73)),
  _xlfn.IFS(
    _xlpm.valuta = "", "",
    OR(_xlpm.valuta = "USD", _xlpm.valuta = "$"), "$",
    OR(_xlpm.valuta = "EUR", _xlpm.valuta = "€"), "€",
    TRUE, _xlpm.valuta
  )
)</f>
        <v>$</v>
      </c>
      <c r="M71" s="3" t="str">
        <f>"E" &amp; TEXT(VALUE(SUBSTITUTE(SUBSTITUTE(SUBSTITUTE(UPPER(TRIM('Sales_RAW(BEFORE)'!L73)), "EMP", ""), "E", ""), "-", "")),"000")</f>
        <v>E022</v>
      </c>
      <c r="N71" s="3" t="str">
        <f>_xlfn.XLOOKUP(M71,Employees!$D$2:$D$26,Employees!$A$2:$A$26)</f>
        <v>Chris Williams</v>
      </c>
      <c r="O71" s="3" t="str">
        <f>_xlfn.XLOOKUP(N71,Employees!$A$2:$A$26,Employees!$C$2:$C$26,2)</f>
        <v>Sales</v>
      </c>
      <c r="P71" s="3" t="str">
        <f>PROPER('Sales_RAW(BEFORE)'!N73)</f>
        <v>West</v>
      </c>
      <c r="Q71" s="3" t="str">
        <f>VLOOKUP(N71,Employees!$A$2:$B$26,2,FALSE)</f>
        <v>Boston</v>
      </c>
      <c r="R71" s="3" t="str">
        <f>PROPER('Sales_RAW(BEFORE)'!P73)</f>
        <v>Umbrella Ltd.</v>
      </c>
      <c r="S71" s="3" t="str">
        <f>SUBSTITUTE(SUBSTITUTE('Sales_RAW(BEFORE)'!Q73,"EIN",""),":","")</f>
        <v xml:space="preserve"> 351046051</v>
      </c>
      <c r="T71" s="3" t="s">
        <v>99</v>
      </c>
      <c r="U71" s="3" t="s">
        <v>1433</v>
      </c>
      <c r="V71" s="3" t="s">
        <v>1434</v>
      </c>
      <c r="W71" s="3" t="s">
        <v>1435</v>
      </c>
      <c r="X71" s="3" t="s">
        <v>173</v>
      </c>
      <c r="Y71" s="3" t="str">
        <f>PROPER('Sales_RAW(BEFORE)'!W73)</f>
        <v>Credit Card</v>
      </c>
      <c r="Z71" s="3" t="str">
        <f>PROPER('Sales_RAW(BEFORE)'!X73)</f>
        <v>Processing</v>
      </c>
      <c r="AA71" s="3" t="str" cm="1">
        <f t="array" ref="AA71">_xlfn.LET(
  _xlpm.val, TRIM(LOWER('Sales_RAW(BEFORE)'!Y73)),
  _xlfn.IFS(
    OR(_xlpm.val="yes", _xlpm.val="paid"), "Paid",
    OR(_xlpm.val="no", _xlpm.val="unpaid"), "Unpaid",
    OR(_xlpm.val="partial", _xlpm.val="partial paid"), "Partial",
    _xlpm.val="", "",
    TRUE, 'Sales_RAW(BEFORE)'!AY73
  )
)</f>
        <v>Unpaid</v>
      </c>
      <c r="AB71" s="3" t="s">
        <v>1436</v>
      </c>
      <c r="AC71" s="3" t="str">
        <f>PROPER('Sales_RAW(BEFORE)'!AA73)</f>
        <v>Phone</v>
      </c>
      <c r="AD71" s="3" t="str">
        <f>SUBSTITUTE(SUBSTITUTE(SUBSTITUTE(SUBSTITUTE('Sales_RAW(BEFORE)'!AB73,"st",""),"q",""),"Q",""),"uarter","")</f>
        <v>1</v>
      </c>
      <c r="AE71" s="3" t="str">
        <f>TEXT(IFERROR(DATEVALUE('Sales_RAW(BEFORE)'!AC73 &amp; " 1"), IFERROR(DATE(2025, 'Sales_RAW(BEFORE)'!AC73, 1), 'Sales_RAW(BEFORE)'!AC73)), "mmmm")</f>
        <v>May</v>
      </c>
      <c r="AF71" s="3">
        <f>_xlfn.LET(
  _xlpm.raw, TRIM(SUBSTITUTE('Sales_RAW(BEFORE)'!AD73, "'", "")),
  _xlpm.num, IFERROR(VALUE(_xlpm.raw), 0),
  IF(_xlpm.num &lt; 100, 2000 + _xlpm.num, _xlpm.num)
)</f>
        <v>2026</v>
      </c>
      <c r="AG71" s="3" t="str">
        <f>PROPER('Sales_RAW(BEFORE)'!AE73)</f>
        <v>15</v>
      </c>
      <c r="AH71" s="3" cm="1">
        <f t="array" ref="AH71">_xlfn.LET(
  _xlpm.val, LOWER(TRIM('Sales_RAW(BEFORE)'!AF73)),
  _xlfn.IFS(
    OR(_xlpm.val="", _xlpm.val="null", _xlpm.val="N/A", _xlpm.val="-", _xlpm.val="#N/A"), 0,
    ISNUMBER('Sales_RAW(BEFORE)'!AF73), 'Sales_RAW(BEFORE)'!AF73,
    TRUE, IFERROR(_xlfn.NUMBERVALUE(_xlpm.val), 0)
  )
)</f>
        <v>0</v>
      </c>
      <c r="AI71" s="5">
        <f>IF(IFERROR(VALUE(SUBSTITUTE(SUBSTITUTE(TRIM('Sales_RAW(BEFORE)'!AG73), "%", ""), ",", ".")), 0) &gt; 1, IFERROR(VALUE(SUBSTITUTE(SUBSTITUTE(TRIM('Sales_RAW(BEFORE)'!AG73), "%", ""), ",", ".")), 0) / 100, IFERROR(VALUE(SUBSTITUTE(SUBSTITUTE(TRIM('Sales_RAW(BEFORE)'!AG73), "%", ""), ",", ".")), 0))</f>
        <v>0.08</v>
      </c>
      <c r="AJ71" s="6">
        <f t="shared" si="6"/>
        <v>3881.7503999999999</v>
      </c>
      <c r="AK71" s="6">
        <f t="shared" si="7"/>
        <v>52403.630399999995</v>
      </c>
      <c r="AL71" s="6">
        <f>IFERROR(VALUE(SUBSTITUTE(SUBSTITUTE(SUBSTITUTE('Sales_RAW(BEFORE)'!AJ73,"$",""),"USD",""),",",".")),0)</f>
        <v>44.82</v>
      </c>
      <c r="AM71" s="3" t="str">
        <f>SUBSTITUTE(SUBSTITUTE(PROPER('Sales_RAW(BEFORE)'!AK73), "Fed Ex", "FedEx"),"Fedex","FedEx")</f>
        <v>Ups</v>
      </c>
      <c r="AN71" s="3" t="s">
        <v>1438</v>
      </c>
      <c r="AO71" s="3" t="str">
        <f>SUBSTITUTE('Sales_RAW(BEFORE)'!AM73,"kg","")</f>
        <v>4,7</v>
      </c>
      <c r="AP71" s="3" t="str">
        <f>_xlfn.LET(
  _xlpm.raw, UPPER(TRIM('Sales_RAW(BEFORE)'!AN73)),
  _xlpm.clean, RIGHT(_xlpm.raw, 1),
  IF(OR(_xlpm.raw="", _xlpm.raw="null"), "N/A", _xlpm.clean)
)</f>
        <v>A</v>
      </c>
      <c r="AQ71" s="3">
        <v>364</v>
      </c>
      <c r="AR71" s="3" cm="1">
        <f t="array" ref="AR71">_xlfn.LET(
  _xlpm.raw, LOWER(TRIM('Sales_RAW(BEFORE)'!AP73)),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71" s="3"/>
      <c r="AT71" s="3"/>
      <c r="AU71" s="3"/>
      <c r="AV71" s="8">
        <f>IF(IFERROR(VALUE(SUBSTITUTE(SUBSTITUTE(TRIM('Sales_RAW(BEFORE)'!AT73), "%", ""), ",", ".")), 0) &gt; 1, IFERROR(VALUE(SUBSTITUTE(SUBSTITUTE(TRIM('Sales_RAW(BEFORE)'!AT73), "%", ""), ",", ".")), 0) / 100, IFERROR(VALUE(SUBSTITUTE(SUBSTITUTE(TRIM('Sales_RAW(BEFORE)'!AT73), "%", ""), ",", ".")), 0))</f>
        <v>0.3</v>
      </c>
      <c r="AW71" s="6">
        <f>BA71*(_xlfn.XLOOKUP(N71,Employees!$A$2:$A$26,Employees!$E$2:$E$26,2))</f>
        <v>1414.8980207999998</v>
      </c>
      <c r="AX71" s="3" t="str">
        <f>PROPER('Sales_RAW(BEFORE)'!AV73)</f>
        <v xml:space="preserve">John Davis  </v>
      </c>
      <c r="AY71" s="3" t="str">
        <f t="shared" si="8"/>
        <v xml:space="preserve">John Davis  </v>
      </c>
      <c r="AZ71" s="3"/>
      <c r="BA71" s="24">
        <f>AK71*(1-(_xlfn.XLOOKUP(G71, Exchange_Rates!$B$8:$F$8, Exchange_Rates!$B$9:$F$9, 0)+J71))</f>
        <v>47163.267359999998</v>
      </c>
      <c r="BB71" s="7" cm="1">
        <f t="array" ref="BB71">_xlfn.LET(
  _xlpm.raw_dt, SUBSTITUTE(TRIM(C71), ".", "/"),
  _xlpm.dt, IFERROR(DATEVALUE(_xlpm.raw_dt), C71),
  _xlpm.p_code, TRIM(E71),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46538</v>
      </c>
      <c r="BC71" s="25">
        <f t="shared" si="9"/>
        <v>14148.980207999999</v>
      </c>
    </row>
    <row r="72" spans="1:55" ht="15.75" thickBot="1" x14ac:dyDescent="0.3">
      <c r="A72" s="3" t="s">
        <v>1442</v>
      </c>
      <c r="B72" s="10">
        <v>46108</v>
      </c>
      <c r="C72" s="4">
        <v>46111</v>
      </c>
      <c r="D72" s="3" t="str">
        <f>"P-" &amp; TEXT(VALUE(SUBSTITUTE(SUBSTITUTE(SUBSTITUTE(UPPER(TRIM('Sales_RAW(BEFORE)'!D74)), "P", ""), "-", ""), "_", "")),"000")</f>
        <v>P-058</v>
      </c>
      <c r="E72" s="3" t="str">
        <f>VLOOKUP(D72,Product_List!$A$2:$B$61,2,FALSE)</f>
        <v>Laptop Pro 58</v>
      </c>
      <c r="F72" s="3" t="str">
        <f>_xlfn.XLOOKUP(E72,Product_List!$B$2:$B$61,Product_List!$E$2:$E$61,2)</f>
        <v>Global Distrib</v>
      </c>
      <c r="G72" s="3" t="str">
        <f>VLOOKUP(E72,Product_List!$B$2:$C$61,2,FALSE)</f>
        <v>Furniture</v>
      </c>
      <c r="H72" s="3" t="str">
        <f>SUBSTITUTE(SUBSTITUTE('Sales_RAW(BEFORE)'!G74,"kom",""),".","")</f>
        <v>26</v>
      </c>
      <c r="I72" s="6">
        <f>VLOOKUP(E72,Product_List!$B$2:$D$61,3,FALSE)</f>
        <v>711</v>
      </c>
      <c r="J72" s="5">
        <f>IF(IFERROR(VALUE(SUBSTITUTE(SUBSTITUTE(TRIM('Sales_RAW(BEFORE)'!I74), "%", ""), ",", ".")), 0) &gt; 1, IFERROR(VALUE(SUBSTITUTE(SUBSTITUTE(TRIM('Sales_RAW(BEFORE)'!I74), "%", ""), ",", ".")), 0) / 100, IFERROR(VALUE(SUBSTITUTE(SUBSTITUTE(TRIM('Sales_RAW(BEFORE)'!I74), "%", ""), ",", ".")), 0))</f>
        <v>0</v>
      </c>
      <c r="K72" s="6">
        <f t="shared" si="5"/>
        <v>18486</v>
      </c>
      <c r="L72" s="6" t="str" cm="1">
        <f t="array" ref="L72">_xlfn.LET(
  _xlpm.valuta, UPPER(TRIM('Sales_RAW(BEFORE)'!K74)),
  _xlfn.IFS(
    _xlpm.valuta = "", "",
    OR(_xlpm.valuta = "USD", _xlpm.valuta = "$"), "$",
    OR(_xlpm.valuta = "EUR", _xlpm.valuta = "€"), "€",
    TRUE, _xlpm.valuta
  )
)</f>
        <v>$</v>
      </c>
      <c r="M72" s="3" t="str">
        <f>"E" &amp; TEXT(VALUE(SUBSTITUTE(SUBSTITUTE(SUBSTITUTE(UPPER(TRIM('Sales_RAW(BEFORE)'!L74)), "EMP", ""), "E", ""), "-", "")),"000")</f>
        <v>E009</v>
      </c>
      <c r="N72" s="3" t="str">
        <f>_xlfn.XLOOKUP(M72,Employees!$D$2:$D$26,Employees!$A$2:$A$26)</f>
        <v>Olivia Wilson</v>
      </c>
      <c r="O72" s="3" t="str">
        <f>_xlfn.XLOOKUP(N72,Employees!$A$2:$A$26,Employees!$C$2:$C$26,2)</f>
        <v>Wholesale</v>
      </c>
      <c r="P72" s="3" t="str">
        <f>PROPER('Sales_RAW(BEFORE)'!N74)</f>
        <v>East</v>
      </c>
      <c r="Q72" s="3" t="str">
        <f>VLOOKUP(N72,Employees!$A$2:$B$26,2,FALSE)</f>
        <v>Miami</v>
      </c>
      <c r="R72" s="3" t="str">
        <f>PROPER('Sales_RAW(BEFORE)'!P74)</f>
        <v>Acme Llc</v>
      </c>
      <c r="S72" s="3" t="str">
        <f>SUBSTITUTE(SUBSTITUTE('Sales_RAW(BEFORE)'!Q74,"EIN",""),":","")</f>
        <v>231363363</v>
      </c>
      <c r="T72" s="3" t="s">
        <v>1450</v>
      </c>
      <c r="U72" s="3" t="s">
        <v>1451</v>
      </c>
      <c r="V72" s="3" t="s">
        <v>1452</v>
      </c>
      <c r="W72" s="3" t="s">
        <v>1453</v>
      </c>
      <c r="X72" s="3" t="s">
        <v>173</v>
      </c>
      <c r="Y72" s="3" t="str">
        <f>PROPER('Sales_RAW(BEFORE)'!W74)</f>
        <v>Wire</v>
      </c>
      <c r="Z72" s="3" t="str">
        <f>PROPER('Sales_RAW(BEFORE)'!X74)</f>
        <v>Processing</v>
      </c>
      <c r="AA72" s="3" t="str" cm="1">
        <f t="array" ref="AA72">_xlfn.LET(
  _xlpm.val, TRIM(LOWER('Sales_RAW(BEFORE)'!Y74)),
  _xlfn.IFS(
    OR(_xlpm.val="yes", _xlpm.val="paid"), "Paid",
    OR(_xlpm.val="no", _xlpm.val="unpaid"), "Unpaid",
    OR(_xlpm.val="partial", _xlpm.val="partial paid"), "Partial",
    _xlpm.val="", "",
    TRUE, 'Sales_RAW(BEFORE)'!AY74
  )
)</f>
        <v>Unpaid</v>
      </c>
      <c r="AB72" s="3" t="s">
        <v>1454</v>
      </c>
      <c r="AC72" s="3" t="str">
        <f>PROPER('Sales_RAW(BEFORE)'!AA74)</f>
        <v>Phone</v>
      </c>
      <c r="AD72" s="3" t="str">
        <f>SUBSTITUTE(SUBSTITUTE(SUBSTITUTE(SUBSTITUTE('Sales_RAW(BEFORE)'!AB74,"st",""),"q",""),"Q",""),"uarter","")</f>
        <v>4</v>
      </c>
      <c r="AE72" s="3" t="str">
        <f>TEXT(IFERROR(DATEVALUE('Sales_RAW(BEFORE)'!AC74 &amp; " 1"), IFERROR(DATE(2025, 'Sales_RAW(BEFORE)'!AC74, 1), 'Sales_RAW(BEFORE)'!AC74)), "mmmm")</f>
        <v>March</v>
      </c>
      <c r="AF72" s="3">
        <f>_xlfn.LET(
  _xlpm.raw, TRIM(SUBSTITUTE('Sales_RAW(BEFORE)'!AD74, "'", "")),
  _xlpm.num, IFERROR(VALUE(_xlpm.raw), 0),
  IF(_xlpm.num &lt; 100, 2000 + _xlpm.num, _xlpm.num)
)</f>
        <v>2026</v>
      </c>
      <c r="AG72" s="3" t="str">
        <f>PROPER('Sales_RAW(BEFORE)'!AE74)</f>
        <v>Net 30</v>
      </c>
      <c r="AH72" s="3" cm="1">
        <f t="array" ref="AH72">_xlfn.LET(
  _xlpm.val, LOWER(TRIM('Sales_RAW(BEFORE)'!AF74)),
  _xlfn.IFS(
    OR(_xlpm.val="", _xlpm.val="null", _xlpm.val="N/A", _xlpm.val="-", _xlpm.val="#N/A"), 0,
    ISNUMBER('Sales_RAW(BEFORE)'!AF74), 'Sales_RAW(BEFORE)'!AF74,
    TRUE, IFERROR(_xlfn.NUMBERVALUE(_xlpm.val), 0)
  )
)</f>
        <v>6</v>
      </c>
      <c r="AI72" s="5">
        <f>IF(IFERROR(VALUE(SUBSTITUTE(SUBSTITUTE(TRIM('Sales_RAW(BEFORE)'!AG74), "%", ""), ",", ".")), 0) &gt; 1, IFERROR(VALUE(SUBSTITUTE(SUBSTITUTE(TRIM('Sales_RAW(BEFORE)'!AG74), "%", ""), ",", ".")), 0) / 100, IFERROR(VALUE(SUBSTITUTE(SUBSTITUTE(TRIM('Sales_RAW(BEFORE)'!AG74), "%", ""), ",", ".")), 0))</f>
        <v>0.08</v>
      </c>
      <c r="AJ72" s="6">
        <f t="shared" si="6"/>
        <v>1478.88</v>
      </c>
      <c r="AK72" s="6">
        <f t="shared" si="7"/>
        <v>19964.88</v>
      </c>
      <c r="AL72" s="6">
        <f>IFERROR(VALUE(SUBSTITUTE(SUBSTITUTE(SUBSTITUTE('Sales_RAW(BEFORE)'!AJ74,"$",""),"USD",""),",",".")),0)</f>
        <v>11.39</v>
      </c>
      <c r="AM72" s="3" t="str">
        <f>SUBSTITUTE(SUBSTITUTE(PROPER('Sales_RAW(BEFORE)'!AK74), "Fed Ex", "FedEx"),"Fedex","FedEx")</f>
        <v>Dhl</v>
      </c>
      <c r="AN72" s="3" t="s">
        <v>1456</v>
      </c>
      <c r="AO72" s="3" t="str">
        <f>SUBSTITUTE('Sales_RAW(BEFORE)'!AM74,"kg","")</f>
        <v xml:space="preserve">4.9 </v>
      </c>
      <c r="AP72" s="3" t="str">
        <f>_xlfn.LET(
  _xlpm.raw, UPPER(TRIM('Sales_RAW(BEFORE)'!AN74)),
  _xlpm.clean, RIGHT(_xlpm.raw, 1),
  IF(OR(_xlpm.raw="", _xlpm.raw="null"), "N/A", _xlpm.clean)
)</f>
        <v>B</v>
      </c>
      <c r="AQ72" s="3">
        <v>480</v>
      </c>
      <c r="AR72" s="3" cm="1">
        <f t="array" ref="AR72">_xlfn.LET(
  _xlpm.raw, LOWER(TRIM('Sales_RAW(BEFORE)'!AP74)),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72" s="3"/>
      <c r="AT72" s="3"/>
      <c r="AU72" s="3"/>
      <c r="AV72" s="8">
        <f>IF(IFERROR(VALUE(SUBSTITUTE(SUBSTITUTE(TRIM('Sales_RAW(BEFORE)'!AT74), "%", ""), ",", ".")), 0) &gt; 1, IFERROR(VALUE(SUBSTITUTE(SUBSTITUTE(TRIM('Sales_RAW(BEFORE)'!AT74), "%", ""), ",", ".")), 0) / 100, IFERROR(VALUE(SUBSTITUTE(SUBSTITUTE(TRIM('Sales_RAW(BEFORE)'!AT74), "%", ""), ",", ".")), 0))</f>
        <v>0.25</v>
      </c>
      <c r="AW72" s="6">
        <f>BA72*(_xlfn.XLOOKUP(N72,Employees!$A$2:$A$26,Employees!$E$2:$E$26,2))</f>
        <v>539.05175999999994</v>
      </c>
      <c r="AX72" s="3" t="str">
        <f>PROPER('Sales_RAW(BEFORE)'!AV74)</f>
        <v xml:space="preserve">  Olivia Jones</v>
      </c>
      <c r="AY72" s="3" t="str">
        <f t="shared" si="8"/>
        <v xml:space="preserve">  Olivia Jones</v>
      </c>
      <c r="AZ72" s="3"/>
      <c r="BA72" s="24">
        <f>AK72*(1-(_xlfn.XLOOKUP(G72, Exchange_Rates!$B$8:$F$8, Exchange_Rates!$B$9:$F$9, 0)+J72))</f>
        <v>17968.392</v>
      </c>
      <c r="BB72" s="7" cm="1">
        <f t="array" ref="BB72">_xlfn.LET(
  _xlpm.raw_dt, SUBSTITUTE(TRIM(C72), ".", "/"),
  _xlpm.dt, IFERROR(DATEVALUE(_xlpm.raw_dt), C72),
  _xlpm.p_code, TRIM(E72),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46476</v>
      </c>
      <c r="BC72" s="25">
        <f t="shared" si="9"/>
        <v>4492.098</v>
      </c>
    </row>
    <row r="73" spans="1:55" ht="15.75" thickBot="1" x14ac:dyDescent="0.3">
      <c r="A73" s="3" t="s">
        <v>1459</v>
      </c>
      <c r="B73" s="10">
        <v>45831</v>
      </c>
      <c r="C73" s="4">
        <v>45845</v>
      </c>
      <c r="D73" s="3" t="str">
        <f>"P-" &amp; TEXT(VALUE(SUBSTITUTE(SUBSTITUTE(SUBSTITUTE(UPPER(TRIM('Sales_RAW(BEFORE)'!D75)), "P", ""), "-", ""), "_", "")),"000")</f>
        <v>P-034</v>
      </c>
      <c r="E73" s="3" t="str">
        <f>VLOOKUP(D73,Product_List!$A$2:$B$61,2,FALSE)</f>
        <v>Mouse X 34</v>
      </c>
      <c r="F73" s="3" t="str">
        <f>_xlfn.XLOOKUP(E73,Product_List!$B$2:$B$61,Product_List!$E$2:$E$61,2)</f>
        <v>Global Distrib</v>
      </c>
      <c r="G73" s="3" t="str">
        <f>VLOOKUP(E73,Product_List!$B$2:$C$61,2,FALSE)</f>
        <v>Office</v>
      </c>
      <c r="H73" s="3" t="str">
        <f>SUBSTITUTE(SUBSTITUTE('Sales_RAW(BEFORE)'!G75,"kom",""),".","")</f>
        <v xml:space="preserve">33 </v>
      </c>
      <c r="I73" s="6">
        <f>VLOOKUP(E73,Product_List!$B$2:$D$61,3,FALSE)</f>
        <v>23.03</v>
      </c>
      <c r="J73" s="5">
        <f>IF(IFERROR(VALUE(SUBSTITUTE(SUBSTITUTE(TRIM('Sales_RAW(BEFORE)'!I75), "%", ""), ",", ".")), 0) &gt; 1, IFERROR(VALUE(SUBSTITUTE(SUBSTITUTE(TRIM('Sales_RAW(BEFORE)'!I75), "%", ""), ",", ".")), 0) / 100, IFERROR(VALUE(SUBSTITUTE(SUBSTITUTE(TRIM('Sales_RAW(BEFORE)'!I75), "%", ""), ",", ".")), 0))</f>
        <v>0.05</v>
      </c>
      <c r="K73" s="6">
        <f t="shared" si="5"/>
        <v>759.99</v>
      </c>
      <c r="L73" s="6" t="str" cm="1">
        <f t="array" ref="L73">_xlfn.LET(
  _xlpm.valuta, UPPER(TRIM('Sales_RAW(BEFORE)'!K75)),
  _xlfn.IFS(
    _xlpm.valuta = "", "",
    OR(_xlpm.valuta = "USD", _xlpm.valuta = "$"), "$",
    OR(_xlpm.valuta = "EUR", _xlpm.valuta = "€"), "€",
    TRUE, _xlpm.valuta
  )
)</f>
        <v>$</v>
      </c>
      <c r="M73" s="3" t="str">
        <f>"E" &amp; TEXT(VALUE(SUBSTITUTE(SUBSTITUTE(SUBSTITUTE(UPPER(TRIM('Sales_RAW(BEFORE)'!L75)), "EMP", ""), "E", ""), "-", "")),"000")</f>
        <v>E012</v>
      </c>
      <c r="N73" s="3" t="str">
        <f>_xlfn.XLOOKUP(M73,Employees!$D$2:$D$26,Employees!$A$2:$A$26)</f>
        <v>John Smith</v>
      </c>
      <c r="O73" s="3" t="str">
        <f>_xlfn.XLOOKUP(N73,Employees!$A$2:$A$26,Employees!$C$2:$C$26,2)</f>
        <v>Sales</v>
      </c>
      <c r="P73" s="3" t="str">
        <f>PROPER('Sales_RAW(BEFORE)'!N75)</f>
        <v>West</v>
      </c>
      <c r="Q73" s="3" t="str">
        <f>VLOOKUP(N73,Employees!$A$2:$B$26,2,FALSE)</f>
        <v>Miami</v>
      </c>
      <c r="R73" s="3" t="str">
        <f>PROPER('Sales_RAW(BEFORE)'!P75)</f>
        <v xml:space="preserve">Acme Inc   </v>
      </c>
      <c r="S73" s="3" t="str">
        <f>SUBSTITUTE(SUBSTITUTE('Sales_RAW(BEFORE)'!Q75,"EIN",""),":","")</f>
        <v xml:space="preserve"> 276734200</v>
      </c>
      <c r="T73" s="3" t="s">
        <v>912</v>
      </c>
      <c r="U73" s="3" t="s">
        <v>1465</v>
      </c>
      <c r="V73" s="3" t="s">
        <v>1466</v>
      </c>
      <c r="W73" s="3" t="s">
        <v>1467</v>
      </c>
      <c r="X73" s="3" t="s">
        <v>173</v>
      </c>
      <c r="Y73" s="3" t="str">
        <f>PROPER('Sales_RAW(BEFORE)'!W75)</f>
        <v>Cash</v>
      </c>
      <c r="Z73" s="3" t="str">
        <f>PROPER('Sales_RAW(BEFORE)'!X75)</f>
        <v>Pending</v>
      </c>
      <c r="AA73" s="3" t="str" cm="1">
        <f t="array" ref="AA73">_xlfn.LET(
  _xlpm.val, TRIM(LOWER('Sales_RAW(BEFORE)'!Y75)),
  _xlfn.IFS(
    OR(_xlpm.val="yes", _xlpm.val="paid"), "Paid",
    OR(_xlpm.val="no", _xlpm.val="unpaid"), "Unpaid",
    OR(_xlpm.val="partial", _xlpm.val="partial paid"), "Partial",
    _xlpm.val="", "",
    TRUE, 'Sales_RAW(BEFORE)'!AY75
  )
)</f>
        <v>Paid</v>
      </c>
      <c r="AB73" s="3" t="s">
        <v>1468</v>
      </c>
      <c r="AC73" s="3" t="str">
        <f>PROPER('Sales_RAW(BEFORE)'!AA75)</f>
        <v>Web</v>
      </c>
      <c r="AD73" s="3" t="str">
        <f>SUBSTITUTE(SUBSTITUTE(SUBSTITUTE(SUBSTITUTE('Sales_RAW(BEFORE)'!AB75,"st",""),"q",""),"Q",""),"uarter","")</f>
        <v>4</v>
      </c>
      <c r="AE73" s="3" t="str">
        <f>TEXT(IFERROR(DATEVALUE('Sales_RAW(BEFORE)'!AC75 &amp; " 1"), IFERROR(DATE(2025, 'Sales_RAW(BEFORE)'!AC75, 1), 'Sales_RAW(BEFORE)'!AC75)), "mmmm")</f>
        <v>June</v>
      </c>
      <c r="AF73" s="3">
        <f>_xlfn.LET(
  _xlpm.raw, TRIM(SUBSTITUTE('Sales_RAW(BEFORE)'!AD75, "'", "")),
  _xlpm.num, IFERROR(VALUE(_xlpm.raw), 0),
  IF(_xlpm.num &lt; 100, 2000 + _xlpm.num, _xlpm.num)
)</f>
        <v>2025</v>
      </c>
      <c r="AG73" s="3" t="str">
        <f>PROPER('Sales_RAW(BEFORE)'!AE75)</f>
        <v>Net 60</v>
      </c>
      <c r="AH73" s="3" cm="1">
        <f t="array" ref="AH73">_xlfn.LET(
  _xlpm.val, LOWER(TRIM('Sales_RAW(BEFORE)'!AF75)),
  _xlfn.IFS(
    OR(_xlpm.val="", _xlpm.val="null", _xlpm.val="N/A", _xlpm.val="-", _xlpm.val="#N/A"), 0,
    ISNUMBER('Sales_RAW(BEFORE)'!AF75), 'Sales_RAW(BEFORE)'!AF75,
    TRUE, IFERROR(_xlfn.NUMBERVALUE(_xlpm.val), 0)
  )
)</f>
        <v>37</v>
      </c>
      <c r="AI73" s="5">
        <f>IF(IFERROR(VALUE(SUBSTITUTE(SUBSTITUTE(TRIM('Sales_RAW(BEFORE)'!AG75), "%", ""), ",", ".")), 0) &gt; 1, IFERROR(VALUE(SUBSTITUTE(SUBSTITUTE(TRIM('Sales_RAW(BEFORE)'!AG75), "%", ""), ",", ".")), 0) / 100, IFERROR(VALUE(SUBSTITUTE(SUBSTITUTE(TRIM('Sales_RAW(BEFORE)'!AG75), "%", ""), ",", ".")), 0))</f>
        <v>0.08</v>
      </c>
      <c r="AJ73" s="6">
        <f t="shared" si="6"/>
        <v>60.799199999999999</v>
      </c>
      <c r="AK73" s="6">
        <f t="shared" si="7"/>
        <v>820.78920000000005</v>
      </c>
      <c r="AL73" s="6">
        <f>IFERROR(VALUE(SUBSTITUTE(SUBSTITUTE(SUBSTITUTE('Sales_RAW(BEFORE)'!AJ75,"$",""),"USD",""),",",".")),0)</f>
        <v>35.83</v>
      </c>
      <c r="AM73" s="3" t="str">
        <f>SUBSTITUTE(SUBSTITUTE(PROPER('Sales_RAW(BEFORE)'!AK75), "Fed Ex", "FedEx"),"Fedex","FedEx")</f>
        <v>FedEx</v>
      </c>
      <c r="AN73" s="3" t="s">
        <v>1469</v>
      </c>
      <c r="AO73" s="3" t="str">
        <f>SUBSTITUTE('Sales_RAW(BEFORE)'!AM75,"kg","")</f>
        <v>29,21</v>
      </c>
      <c r="AP73" s="3" t="str">
        <f>_xlfn.LET(
  _xlpm.raw, UPPER(TRIM('Sales_RAW(BEFORE)'!AN75)),
  _xlpm.clean, RIGHT(_xlpm.raw, 1),
  IF(OR(_xlpm.raw="", _xlpm.raw="null"), "N/A", _xlpm.clean)
)</f>
        <v>A</v>
      </c>
      <c r="AQ73" s="3">
        <v>343</v>
      </c>
      <c r="AR73" s="3" cm="1">
        <f t="array" ref="AR73">_xlfn.LET(
  _xlpm.raw, LOWER(TRIM('Sales_RAW(BEFORE)'!AP75)),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73" s="3"/>
      <c r="AT73" s="3"/>
      <c r="AU73" s="3"/>
      <c r="AV73" s="8">
        <f>IF(IFERROR(VALUE(SUBSTITUTE(SUBSTITUTE(TRIM('Sales_RAW(BEFORE)'!AT75), "%", ""), ",", ".")), 0) &gt; 1, IFERROR(VALUE(SUBSTITUTE(SUBSTITUTE(TRIM('Sales_RAW(BEFORE)'!AT75), "%", ""), ",", ".")), 0) / 100, IFERROR(VALUE(SUBSTITUTE(SUBSTITUTE(TRIM('Sales_RAW(BEFORE)'!AT75), "%", ""), ",", ".")), 0))</f>
        <v>0</v>
      </c>
      <c r="AW73" s="6">
        <f>BA73*(_xlfn.XLOOKUP(N73,Employees!$A$2:$A$26,Employees!$E$2:$E$26,2))</f>
        <v>13.953416400000002</v>
      </c>
      <c r="AX73" s="3" t="str">
        <f>PROPER('Sales_RAW(BEFORE)'!AV75)</f>
        <v xml:space="preserve"> Robert Wilson   </v>
      </c>
      <c r="AY73" s="3" t="str">
        <f t="shared" si="8"/>
        <v xml:space="preserve"> Robert Wilson   </v>
      </c>
      <c r="AZ73" s="3"/>
      <c r="BA73" s="24">
        <f>AK73*(1-(_xlfn.XLOOKUP(G73, Exchange_Rates!$B$8:$F$8, Exchange_Rates!$B$9:$F$9, 0)+J73))</f>
        <v>697.67082000000005</v>
      </c>
      <c r="BB73" s="7" cm="1">
        <f t="array" ref="BB73">_xlfn.LET(
  _xlpm.raw_dt, SUBSTITUTE(TRIM(C73), ".", "/"),
  _xlpm.dt, IFERROR(DATEVALUE(_xlpm.raw_dt), C73),
  _xlpm.p_code, TRIM(E73),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46575</v>
      </c>
      <c r="BC73" s="25">
        <f t="shared" si="9"/>
        <v>0</v>
      </c>
    </row>
    <row r="74" spans="1:55" ht="15.75" thickBot="1" x14ac:dyDescent="0.3">
      <c r="A74" s="3" t="s">
        <v>1474</v>
      </c>
      <c r="B74" s="10">
        <v>46182</v>
      </c>
      <c r="C74" s="4">
        <v>46183</v>
      </c>
      <c r="D74" s="3" t="str">
        <f>"P-" &amp; TEXT(VALUE(SUBSTITUTE(SUBSTITUTE(SUBSTITUTE(UPPER(TRIM('Sales_RAW(BEFORE)'!D76)), "P", ""), "-", ""), "_", "")),"000")</f>
        <v>P-060</v>
      </c>
      <c r="E74" s="3" t="str">
        <f>VLOOKUP(D74,Product_List!$A$2:$B$61,2,FALSE)</f>
        <v>Desk Basic 60</v>
      </c>
      <c r="F74" s="3" t="str">
        <f>_xlfn.XLOOKUP(E74,Product_List!$B$2:$B$61,Product_List!$E$2:$E$61,2)</f>
        <v>Global Distrib</v>
      </c>
      <c r="G74" s="3" t="str">
        <f>VLOOKUP(E74,Product_List!$B$2:$C$61,2,FALSE)</f>
        <v>Electronics</v>
      </c>
      <c r="H74" s="3" t="str">
        <f>SUBSTITUTE(SUBSTITUTE('Sales_RAW(BEFORE)'!G76,"kom",""),".","")</f>
        <v>10</v>
      </c>
      <c r="I74" s="6">
        <f>VLOOKUP(E74,Product_List!$B$2:$D$61,3,FALSE)</f>
        <v>334.59</v>
      </c>
      <c r="J74" s="5">
        <f>IF(IFERROR(VALUE(SUBSTITUTE(SUBSTITUTE(TRIM('Sales_RAW(BEFORE)'!I76), "%", ""), ",", ".")), 0) &gt; 1, IFERROR(VALUE(SUBSTITUTE(SUBSTITUTE(TRIM('Sales_RAW(BEFORE)'!I76), "%", ""), ",", ".")), 0) / 100, IFERROR(VALUE(SUBSTITUTE(SUBSTITUTE(TRIM('Sales_RAW(BEFORE)'!I76), "%", ""), ",", ".")), 0))</f>
        <v>0.1</v>
      </c>
      <c r="K74" s="6">
        <f t="shared" si="5"/>
        <v>3345.8999999999996</v>
      </c>
      <c r="L74" s="6" t="str" cm="1">
        <f t="array" ref="L74">_xlfn.LET(
  _xlpm.valuta, UPPER(TRIM('Sales_RAW(BEFORE)'!K76)),
  _xlfn.IFS(
    _xlpm.valuta = "", "",
    OR(_xlpm.valuta = "USD", _xlpm.valuta = "$"), "$",
    OR(_xlpm.valuta = "EUR", _xlpm.valuta = "€"), "€",
    TRUE, _xlpm.valuta
  )
)</f>
        <v>$</v>
      </c>
      <c r="M74" s="3" t="str">
        <f>"E" &amp; TEXT(VALUE(SUBSTITUTE(SUBSTITUTE(SUBSTITUTE(UPPER(TRIM('Sales_RAW(BEFORE)'!L76)), "EMP", ""), "E", ""), "-", "")),"000")</f>
        <v>E023</v>
      </c>
      <c r="N74" s="3" t="str">
        <f>_xlfn.XLOOKUP(M74,Employees!$D$2:$D$26,Employees!$A$2:$A$26)</f>
        <v>Laura Anderson</v>
      </c>
      <c r="O74" s="3" t="str">
        <f>_xlfn.XLOOKUP(N74,Employees!$A$2:$A$26,Employees!$C$2:$C$26,2)</f>
        <v>Sales</v>
      </c>
      <c r="P74" s="3" t="str">
        <f>PROPER('Sales_RAW(BEFORE)'!N76)</f>
        <v>North</v>
      </c>
      <c r="Q74" s="3" t="str">
        <f>VLOOKUP(N74,Employees!$A$2:$B$26,2,FALSE)</f>
        <v>Seattle</v>
      </c>
      <c r="R74" s="3" t="str">
        <f>PROPER('Sales_RAW(BEFORE)'!P76)</f>
        <v>Globex Ltd.</v>
      </c>
      <c r="S74" s="3" t="str">
        <f>SUBSTITUTE(SUBSTITUTE('Sales_RAW(BEFORE)'!Q76,"EIN",""),":","")</f>
        <v>401652263</v>
      </c>
      <c r="T74" s="3" t="s">
        <v>420</v>
      </c>
      <c r="U74" s="3" t="s">
        <v>1483</v>
      </c>
      <c r="V74" s="3" t="s">
        <v>1484</v>
      </c>
      <c r="W74" s="3" t="s">
        <v>1485</v>
      </c>
      <c r="X74" s="3" t="s">
        <v>173</v>
      </c>
      <c r="Y74" s="3" t="str">
        <f>PROPER('Sales_RAW(BEFORE)'!W76)</f>
        <v>Credit Card</v>
      </c>
      <c r="Z74" s="3" t="str">
        <f>PROPER('Sales_RAW(BEFORE)'!X76)</f>
        <v>Delivered</v>
      </c>
      <c r="AA74" s="3" t="str" cm="1">
        <f t="array" ref="AA74">_xlfn.LET(
  _xlpm.val, TRIM(LOWER('Sales_RAW(BEFORE)'!Y76)),
  _xlfn.IFS(
    OR(_xlpm.val="yes", _xlpm.val="paid"), "Paid",
    OR(_xlpm.val="no", _xlpm.val="unpaid"), "Unpaid",
    OR(_xlpm.val="partial", _xlpm.val="partial paid"), "Partial",
    _xlpm.val="", "",
    TRUE, 'Sales_RAW(BEFORE)'!AY76
  )
)</f>
        <v>Unpaid</v>
      </c>
      <c r="AB74" s="3" t="s">
        <v>1486</v>
      </c>
      <c r="AC74" s="3" t="str">
        <f>PROPER('Sales_RAW(BEFORE)'!AA76)</f>
        <v>Store</v>
      </c>
      <c r="AD74" s="3" t="str">
        <f>SUBSTITUTE(SUBSTITUTE(SUBSTITUTE(SUBSTITUTE('Sales_RAW(BEFORE)'!AB76,"st",""),"q",""),"Q",""),"uarter","")</f>
        <v>4</v>
      </c>
      <c r="AE74" s="3" t="str">
        <f>TEXT(IFERROR(DATEVALUE('Sales_RAW(BEFORE)'!AC76 &amp; " 1"), IFERROR(DATE(2025, 'Sales_RAW(BEFORE)'!AC76, 1), 'Sales_RAW(BEFORE)'!AC76)), "mmmm")</f>
        <v>June</v>
      </c>
      <c r="AF74" s="3">
        <f>_xlfn.LET(
  _xlpm.raw, TRIM(SUBSTITUTE('Sales_RAW(BEFORE)'!AD76, "'", "")),
  _xlpm.num, IFERROR(VALUE(_xlpm.raw), 0),
  IF(_xlpm.num &lt; 100, 2000 + _xlpm.num, _xlpm.num)
)</f>
        <v>2026</v>
      </c>
      <c r="AG74" s="3" t="str">
        <f>PROPER('Sales_RAW(BEFORE)'!AE76)</f>
        <v>15</v>
      </c>
      <c r="AH74" s="3" cm="1">
        <f t="array" ref="AH74">_xlfn.LET(
  _xlpm.val, LOWER(TRIM('Sales_RAW(BEFORE)'!AF76)),
  _xlfn.IFS(
    OR(_xlpm.val="", _xlpm.val="null", _xlpm.val="N/A", _xlpm.val="-", _xlpm.val="#N/A"), 0,
    ISNUMBER('Sales_RAW(BEFORE)'!AF76), 'Sales_RAW(BEFORE)'!AF76,
    TRUE, IFERROR(_xlfn.NUMBERVALUE(_xlpm.val), 0)
  )
)</f>
        <v>88</v>
      </c>
      <c r="AI74" s="5">
        <f>IF(IFERROR(VALUE(SUBSTITUTE(SUBSTITUTE(TRIM('Sales_RAW(BEFORE)'!AG76), "%", ""), ",", ".")), 0) &gt; 1, IFERROR(VALUE(SUBSTITUTE(SUBSTITUTE(TRIM('Sales_RAW(BEFORE)'!AG76), "%", ""), ",", ".")), 0) / 100, IFERROR(VALUE(SUBSTITUTE(SUBSTITUTE(TRIM('Sales_RAW(BEFORE)'!AG76), "%", ""), ",", ".")), 0))</f>
        <v>0.08</v>
      </c>
      <c r="AJ74" s="6">
        <f t="shared" si="6"/>
        <v>267.67199999999997</v>
      </c>
      <c r="AK74" s="6">
        <f t="shared" si="7"/>
        <v>3613.5719999999997</v>
      </c>
      <c r="AL74" s="6">
        <f>IFERROR(VALUE(SUBSTITUTE(SUBSTITUTE(SUBSTITUTE('Sales_RAW(BEFORE)'!AJ76,"$",""),"USD",""),",",".")),0)</f>
        <v>11.2</v>
      </c>
      <c r="AM74" s="3" t="str">
        <f>SUBSTITUTE(SUBSTITUTE(PROPER('Sales_RAW(BEFORE)'!AK76), "Fed Ex", "FedEx"),"Fedex","FedEx")</f>
        <v>Ups</v>
      </c>
      <c r="AN74" s="3" t="s">
        <v>1488</v>
      </c>
      <c r="AO74" s="3" t="str">
        <f>SUBSTITUTE('Sales_RAW(BEFORE)'!AM76,"kg","")</f>
        <v>18,76</v>
      </c>
      <c r="AP74" s="3" t="str">
        <f>_xlfn.LET(
  _xlpm.raw, UPPER(TRIM('Sales_RAW(BEFORE)'!AN76)),
  _xlpm.clean, RIGHT(_xlpm.raw, 1),
  IF(OR(_xlpm.raw="", _xlpm.raw="null"), "N/A", _xlpm.clean)
)</f>
        <v>B</v>
      </c>
      <c r="AQ74" s="3">
        <v>205</v>
      </c>
      <c r="AR74" s="3" cm="1">
        <f t="array" ref="AR74">_xlfn.LET(
  _xlpm.raw, LOWER(TRIM('Sales_RAW(BEFORE)'!AP76)),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74" s="3"/>
      <c r="AT74" s="3"/>
      <c r="AU74" s="3"/>
      <c r="AV74" s="8">
        <f>IF(IFERROR(VALUE(SUBSTITUTE(SUBSTITUTE(TRIM('Sales_RAW(BEFORE)'!AT76), "%", ""), ",", ".")), 0) &gt; 1, IFERROR(VALUE(SUBSTITUTE(SUBSTITUTE(TRIM('Sales_RAW(BEFORE)'!AT76), "%", ""), ",", ".")), 0) / 100, IFERROR(VALUE(SUBSTITUTE(SUBSTITUTE(TRIM('Sales_RAW(BEFORE)'!AT76), "%", ""), ",", ".")), 0))</f>
        <v>0.18</v>
      </c>
      <c r="AW74" s="6">
        <f>BA74*(_xlfn.XLOOKUP(N74,Employees!$A$2:$A$26,Employees!$E$2:$E$26,2))</f>
        <v>57.817152</v>
      </c>
      <c r="AX74" s="3" t="str">
        <f>PROPER('Sales_RAW(BEFORE)'!AV76)</f>
        <v xml:space="preserve">   David Johnson </v>
      </c>
      <c r="AY74" s="3" t="str">
        <f t="shared" si="8"/>
        <v xml:space="preserve">   David Johnson </v>
      </c>
      <c r="AZ74" s="3"/>
      <c r="BA74" s="24">
        <f>AK74*(1-(_xlfn.XLOOKUP(G74, Exchange_Rates!$B$8:$F$8, Exchange_Rates!$B$9:$F$9, 0)+J74))</f>
        <v>2890.8575999999998</v>
      </c>
      <c r="BB74" s="7" cm="1">
        <f t="array" ref="BB74">_xlfn.LET(
  _xlpm.raw_dt, SUBSTITUTE(TRIM(C74), ".", "/"),
  _xlpm.dt, IFERROR(DATEVALUE(_xlpm.raw_dt), C74),
  _xlpm.p_code, TRIM(E74),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47279</v>
      </c>
      <c r="BC74" s="25">
        <f t="shared" si="9"/>
        <v>520.35436799999991</v>
      </c>
    </row>
    <row r="75" spans="1:55" ht="15.75" thickBot="1" x14ac:dyDescent="0.3">
      <c r="A75" s="3" t="s">
        <v>1492</v>
      </c>
      <c r="B75" s="10">
        <v>45928</v>
      </c>
      <c r="C75" s="4">
        <v>45938</v>
      </c>
      <c r="D75" s="3" t="str">
        <f>"P-" &amp; TEXT(VALUE(SUBSTITUTE(SUBSTITUTE(SUBSTITUTE(UPPER(TRIM('Sales_RAW(BEFORE)'!D77)), "P", ""), "-", ""), "_", "")),"000")</f>
        <v>P-037</v>
      </c>
      <c r="E75" s="3" t="str">
        <f>VLOOKUP(D75,Product_List!$A$2:$B$61,2,FALSE)</f>
        <v>Headphones Basic 37</v>
      </c>
      <c r="F75" s="3" t="str">
        <f>_xlfn.XLOOKUP(E75,Product_List!$B$2:$B$61,Product_List!$E$2:$E$61,2)</f>
        <v>OfficeHub</v>
      </c>
      <c r="G75" s="3" t="str">
        <f>VLOOKUP(E75,Product_List!$B$2:$C$61,2,FALSE)</f>
        <v>Office</v>
      </c>
      <c r="H75" s="3" t="str">
        <f>SUBSTITUTE(SUBSTITUTE('Sales_RAW(BEFORE)'!G77,"kom",""),".","")</f>
        <v xml:space="preserve">23 </v>
      </c>
      <c r="I75" s="6">
        <f>VLOOKUP(E75,Product_List!$B$2:$D$61,3,FALSE)</f>
        <v>1037.29</v>
      </c>
      <c r="J75" s="5">
        <f>IF(IFERROR(VALUE(SUBSTITUTE(SUBSTITUTE(TRIM('Sales_RAW(BEFORE)'!I77), "%", ""), ",", ".")), 0) &gt; 1, IFERROR(VALUE(SUBSTITUTE(SUBSTITUTE(TRIM('Sales_RAW(BEFORE)'!I77), "%", ""), ",", ".")), 0) / 100, IFERROR(VALUE(SUBSTITUTE(SUBSTITUTE(TRIM('Sales_RAW(BEFORE)'!I77), "%", ""), ",", ".")), 0))</f>
        <v>0.05</v>
      </c>
      <c r="K75" s="6">
        <f t="shared" si="5"/>
        <v>23857.67</v>
      </c>
      <c r="L75" s="6" t="str" cm="1">
        <f t="array" ref="L75">_xlfn.LET(
  _xlpm.valuta, UPPER(TRIM('Sales_RAW(BEFORE)'!K77)),
  _xlfn.IFS(
    _xlpm.valuta = "", "",
    OR(_xlpm.valuta = "USD", _xlpm.valuta = "$"), "$",
    OR(_xlpm.valuta = "EUR", _xlpm.valuta = "€"), "€",
    TRUE, _xlpm.valuta
  )
)</f>
        <v>$</v>
      </c>
      <c r="M75" s="3" t="str">
        <f>"E" &amp; TEXT(VALUE(SUBSTITUTE(SUBSTITUTE(SUBSTITUTE(UPPER(TRIM('Sales_RAW(BEFORE)'!L77)), "EMP", ""), "E", ""), "-", "")),"000")</f>
        <v>E004</v>
      </c>
      <c r="N75" s="3" t="str">
        <f>_xlfn.XLOOKUP(M75,Employees!$D$2:$D$26,Employees!$A$2:$A$26)</f>
        <v>Sophia Johnson</v>
      </c>
      <c r="O75" s="3" t="str">
        <f>_xlfn.XLOOKUP(N75,Employees!$A$2:$A$26,Employees!$C$2:$C$26,2)</f>
        <v>Wholesale</v>
      </c>
      <c r="P75" s="3" t="str">
        <f>PROPER('Sales_RAW(BEFORE)'!N77)</f>
        <v>South</v>
      </c>
      <c r="Q75" s="3" t="str">
        <f>VLOOKUP(N75,Employees!$A$2:$B$26,2,FALSE)</f>
        <v>Houston</v>
      </c>
      <c r="R75" s="3" t="str">
        <f>PROPER('Sales_RAW(BEFORE)'!P77)</f>
        <v>Umbrella Inc</v>
      </c>
      <c r="S75" s="3" t="str">
        <f>SUBSTITUTE(SUBSTITUTE('Sales_RAW(BEFORE)'!Q77,"EIN",""),":","")</f>
        <v xml:space="preserve"> 566010774</v>
      </c>
      <c r="T75" s="3" t="s">
        <v>1502</v>
      </c>
      <c r="U75" s="3" t="s">
        <v>1503</v>
      </c>
      <c r="V75" s="3" t="s">
        <v>1504</v>
      </c>
      <c r="W75" s="3" t="s">
        <v>1505</v>
      </c>
      <c r="X75" s="3" t="s">
        <v>173</v>
      </c>
      <c r="Y75" s="3" t="str">
        <f>PROPER('Sales_RAW(BEFORE)'!W77)</f>
        <v>Credit Card</v>
      </c>
      <c r="Z75" s="3" t="str">
        <f>PROPER('Sales_RAW(BEFORE)'!X77)</f>
        <v>Delivered</v>
      </c>
      <c r="AA75" s="3" t="str" cm="1">
        <f t="array" ref="AA75">_xlfn.LET(
  _xlpm.val, TRIM(LOWER('Sales_RAW(BEFORE)'!Y77)),
  _xlfn.IFS(
    OR(_xlpm.val="yes", _xlpm.val="paid"), "Paid",
    OR(_xlpm.val="no", _xlpm.val="unpaid"), "Unpaid",
    OR(_xlpm.val="partial", _xlpm.val="partial paid"), "Partial",
    _xlpm.val="", "",
    TRUE, 'Sales_RAW(BEFORE)'!AY77
  )
)</f>
        <v>Partial</v>
      </c>
      <c r="AB75" s="3" t="s">
        <v>1506</v>
      </c>
      <c r="AC75" s="3" t="str">
        <f>PROPER('Sales_RAW(BEFORE)'!AA77)</f>
        <v>Web</v>
      </c>
      <c r="AD75" s="3" t="str">
        <f>SUBSTITUTE(SUBSTITUTE(SUBSTITUTE(SUBSTITUTE('Sales_RAW(BEFORE)'!AB77,"st",""),"q",""),"Q",""),"uarter","")</f>
        <v xml:space="preserve">1 </v>
      </c>
      <c r="AE75" s="3" t="str">
        <f>TEXT(IFERROR(DATEVALUE('Sales_RAW(BEFORE)'!AC77 &amp; " 1"), IFERROR(DATE(2025, 'Sales_RAW(BEFORE)'!AC77, 1), 'Sales_RAW(BEFORE)'!AC77)), "mmmm")</f>
        <v>September</v>
      </c>
      <c r="AF75" s="3">
        <f>_xlfn.LET(
  _xlpm.raw, TRIM(SUBSTITUTE('Sales_RAW(BEFORE)'!AD77, "'", "")),
  _xlpm.num, IFERROR(VALUE(_xlpm.raw), 0),
  IF(_xlpm.num &lt; 100, 2000 + _xlpm.num, _xlpm.num)
)</f>
        <v>2025</v>
      </c>
      <c r="AG75" s="3" t="str">
        <f>PROPER('Sales_RAW(BEFORE)'!AE77)</f>
        <v>15</v>
      </c>
      <c r="AH75" s="3" cm="1">
        <f t="array" ref="AH75">_xlfn.LET(
  _xlpm.val, LOWER(TRIM('Sales_RAW(BEFORE)'!AF77)),
  _xlfn.IFS(
    OR(_xlpm.val="", _xlpm.val="null", _xlpm.val="N/A", _xlpm.val="-", _xlpm.val="#N/A"), 0,
    ISNUMBER('Sales_RAW(BEFORE)'!AF77), 'Sales_RAW(BEFORE)'!AF77,
    TRUE, IFERROR(_xlfn.NUMBERVALUE(_xlpm.val), 0)
  )
)</f>
        <v>0</v>
      </c>
      <c r="AI75" s="5">
        <f>IF(IFERROR(VALUE(SUBSTITUTE(SUBSTITUTE(TRIM('Sales_RAW(BEFORE)'!AG77), "%", ""), ",", ".")), 0) &gt; 1, IFERROR(VALUE(SUBSTITUTE(SUBSTITUTE(TRIM('Sales_RAW(BEFORE)'!AG77), "%", ""), ",", ".")), 0) / 100, IFERROR(VALUE(SUBSTITUTE(SUBSTITUTE(TRIM('Sales_RAW(BEFORE)'!AG77), "%", ""), ",", ".")), 0))</f>
        <v>0.08</v>
      </c>
      <c r="AJ75" s="6">
        <f t="shared" si="6"/>
        <v>1908.6135999999999</v>
      </c>
      <c r="AK75" s="6">
        <f t="shared" si="7"/>
        <v>25766.283599999999</v>
      </c>
      <c r="AL75" s="6">
        <f>IFERROR(VALUE(SUBSTITUTE(SUBSTITUTE(SUBSTITUTE('Sales_RAW(BEFORE)'!AJ77,"$",""),"USD",""),",",".")),0)</f>
        <v>5.22</v>
      </c>
      <c r="AM75" s="3" t="str">
        <f>SUBSTITUTE(SUBSTITUTE(PROPER('Sales_RAW(BEFORE)'!AK77), "Fed Ex", "FedEx"),"Fedex","FedEx")</f>
        <v>Usps</v>
      </c>
      <c r="AN75" s="3" t="s">
        <v>1508</v>
      </c>
      <c r="AO75" s="3" t="str">
        <f>SUBSTITUTE('Sales_RAW(BEFORE)'!AM77,"kg","")</f>
        <v>9.28</v>
      </c>
      <c r="AP75" s="3" t="str">
        <f>_xlfn.LET(
  _xlpm.raw, UPPER(TRIM('Sales_RAW(BEFORE)'!AN77)),
  _xlpm.clean, RIGHT(_xlpm.raw, 1),
  IF(OR(_xlpm.raw="", _xlpm.raw="null"), "N/A", _xlpm.clean)
)</f>
        <v>A</v>
      </c>
      <c r="AQ75" s="3">
        <v>429</v>
      </c>
      <c r="AR75" s="3" cm="1">
        <f t="array" ref="AR75">_xlfn.LET(
  _xlpm.raw, LOWER(TRIM('Sales_RAW(BEFORE)'!AP77)),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75" s="3"/>
      <c r="AT75" s="3"/>
      <c r="AU75" s="3"/>
      <c r="AV75" s="8">
        <f>IF(IFERROR(VALUE(SUBSTITUTE(SUBSTITUTE(TRIM('Sales_RAW(BEFORE)'!AT77), "%", ""), ",", ".")), 0) &gt; 1, IFERROR(VALUE(SUBSTITUTE(SUBSTITUTE(TRIM('Sales_RAW(BEFORE)'!AT77), "%", ""), ",", ".")), 0) / 100, IFERROR(VALUE(SUBSTITUTE(SUBSTITUTE(TRIM('Sales_RAW(BEFORE)'!AT77), "%", ""), ",", ".")), 0))</f>
        <v>0.25</v>
      </c>
      <c r="AW75" s="6">
        <f>BA75*(_xlfn.XLOOKUP(N75,Employees!$A$2:$A$26,Employees!$E$2:$E$26,2))</f>
        <v>1095.067053</v>
      </c>
      <c r="AX75" s="3" t="str">
        <f>PROPER('Sales_RAW(BEFORE)'!AV77)</f>
        <v xml:space="preserve"> Daniel Johnson</v>
      </c>
      <c r="AY75" s="3" t="str">
        <f t="shared" si="8"/>
        <v xml:space="preserve"> Daniel Johnson</v>
      </c>
      <c r="AZ75" s="3"/>
      <c r="BA75" s="24">
        <f>AK75*(1-(_xlfn.XLOOKUP(G75, Exchange_Rates!$B$8:$F$8, Exchange_Rates!$B$9:$F$9, 0)+J75))</f>
        <v>21901.341059999999</v>
      </c>
      <c r="BB75" s="7" cm="1">
        <f t="array" ref="BB75">_xlfn.LET(
  _xlpm.raw_dt, SUBSTITUTE(TRIM(C75), ".", "/"),
  _xlpm.dt, IFERROR(DATEVALUE(_xlpm.raw_dt), C75),
  _xlpm.p_code, TRIM(E75),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47034</v>
      </c>
      <c r="BC75" s="25">
        <f t="shared" si="9"/>
        <v>5475.3352649999997</v>
      </c>
    </row>
    <row r="76" spans="1:55" ht="15.75" thickBot="1" x14ac:dyDescent="0.3">
      <c r="A76" s="3" t="s">
        <v>1510</v>
      </c>
      <c r="B76" s="10">
        <f>DATE(2026,2,28)</f>
        <v>46081</v>
      </c>
      <c r="C76" s="4">
        <v>46056</v>
      </c>
      <c r="D76" s="3" t="str">
        <f>"P-" &amp; TEXT(VALUE(SUBSTITUTE(SUBSTITUTE(SUBSTITUTE(UPPER(TRIM('Sales_RAW(BEFORE)'!D78)), "P", ""), "-", ""), "_", "")),"000")</f>
        <v>P-024</v>
      </c>
      <c r="E76" s="3" t="str">
        <f>VLOOKUP(D76,Product_List!$A$2:$B$61,2,FALSE)</f>
        <v>Chair Plus 24</v>
      </c>
      <c r="F76" s="3" t="str">
        <f>_xlfn.XLOOKUP(E76,Product_List!$B$2:$B$61,Product_List!$E$2:$E$61,2)</f>
        <v>TechSupply Co</v>
      </c>
      <c r="G76" s="3" t="str">
        <f>VLOOKUP(E76,Product_List!$B$2:$C$61,2,FALSE)</f>
        <v>Electronics</v>
      </c>
      <c r="H76" s="3" t="str">
        <f>SUBSTITUTE(SUBSTITUTE('Sales_RAW(BEFORE)'!G78,"kom",""),".","")</f>
        <v xml:space="preserve">15 </v>
      </c>
      <c r="I76" s="6">
        <f>VLOOKUP(E76,Product_List!$B$2:$D$61,3,FALSE)</f>
        <v>95.7</v>
      </c>
      <c r="J76" s="5">
        <f>IF(IFERROR(VALUE(SUBSTITUTE(SUBSTITUTE(TRIM('Sales_RAW(BEFORE)'!I78), "%", ""), ",", ".")), 0) &gt; 1, IFERROR(VALUE(SUBSTITUTE(SUBSTITUTE(TRIM('Sales_RAW(BEFORE)'!I78), "%", ""), ",", ".")), 0) / 100, IFERROR(VALUE(SUBSTITUTE(SUBSTITUTE(TRIM('Sales_RAW(BEFORE)'!I78), "%", ""), ",", ".")), 0))</f>
        <v>0.05</v>
      </c>
      <c r="K76" s="6">
        <f t="shared" si="5"/>
        <v>1435.5</v>
      </c>
      <c r="L76" s="6" t="str" cm="1">
        <f t="array" ref="L76">_xlfn.LET(
  _xlpm.valuta, UPPER(TRIM('Sales_RAW(BEFORE)'!K78)),
  _xlfn.IFS(
    _xlpm.valuta = "", "",
    OR(_xlpm.valuta = "USD", _xlpm.valuta = "$"), "$",
    OR(_xlpm.valuta = "EUR", _xlpm.valuta = "€"), "€",
    TRUE, _xlpm.valuta
  )
)</f>
        <v>$</v>
      </c>
      <c r="M76" s="3" t="str">
        <f>"E" &amp; TEXT(VALUE(SUBSTITUTE(SUBSTITUTE(SUBSTITUTE(UPPER(TRIM('Sales_RAW(BEFORE)'!L78)), "EMP", ""), "E", ""), "-", "")),"000")</f>
        <v>E008</v>
      </c>
      <c r="N76" s="3" t="str">
        <f>_xlfn.XLOOKUP(M76,Employees!$D$2:$D$26,Employees!$A$2:$A$26)</f>
        <v>Michael Williams</v>
      </c>
      <c r="O76" s="3" t="str">
        <f>_xlfn.XLOOKUP(N76,Employees!$A$2:$A$26,Employees!$C$2:$C$26,2)</f>
        <v>Wholesale</v>
      </c>
      <c r="P76" s="3" t="str">
        <f>PROPER('Sales_RAW(BEFORE)'!N78)</f>
        <v>West</v>
      </c>
      <c r="Q76" s="3" t="str">
        <f>VLOOKUP(N76,Employees!$A$2:$B$26,2,FALSE)</f>
        <v>New York</v>
      </c>
      <c r="R76" s="3" t="str">
        <f>PROPER('Sales_RAW(BEFORE)'!P78)</f>
        <v>Acme Inc</v>
      </c>
      <c r="S76" s="3" t="str">
        <f>SUBSTITUTE(SUBSTITUTE('Sales_RAW(BEFORE)'!Q78,"EIN",""),":","")</f>
        <v>363185602</v>
      </c>
      <c r="T76" s="3" t="s">
        <v>258</v>
      </c>
      <c r="U76" s="3" t="s">
        <v>1520</v>
      </c>
      <c r="V76" s="3" t="s">
        <v>1521</v>
      </c>
      <c r="W76" s="3" t="s">
        <v>1522</v>
      </c>
      <c r="X76" s="3" t="s">
        <v>173</v>
      </c>
      <c r="Y76" s="3" t="str">
        <f>PROPER('Sales_RAW(BEFORE)'!W78)</f>
        <v>Credit Card</v>
      </c>
      <c r="Z76" s="3" t="str">
        <f>PROPER('Sales_RAW(BEFORE)'!X78)</f>
        <v>Pending</v>
      </c>
      <c r="AA76" s="3" t="str" cm="1">
        <f t="array" ref="AA76">_xlfn.LET(
  _xlpm.val, TRIM(LOWER('Sales_RAW(BEFORE)'!Y78)),
  _xlfn.IFS(
    OR(_xlpm.val="yes", _xlpm.val="paid"), "Paid",
    OR(_xlpm.val="no", _xlpm.val="unpaid"), "Unpaid",
    OR(_xlpm.val="partial", _xlpm.val="partial paid"), "Partial",
    _xlpm.val="", "",
    TRUE, 'Sales_RAW(BEFORE)'!AY78
  )
)</f>
        <v>Partial</v>
      </c>
      <c r="AB76" s="3" t="s">
        <v>1523</v>
      </c>
      <c r="AC76" s="3" t="str">
        <f>PROPER('Sales_RAW(BEFORE)'!AA78)</f>
        <v>Online</v>
      </c>
      <c r="AD76" s="3" t="str">
        <f>SUBSTITUTE(SUBSTITUTE(SUBSTITUTE(SUBSTITUTE('Sales_RAW(BEFORE)'!AB78,"st",""),"q",""),"Q",""),"uarter","")</f>
        <v>4</v>
      </c>
      <c r="AE76" s="3" t="str">
        <f>TEXT(IFERROR(DATEVALUE('Sales_RAW(BEFORE)'!AC78 &amp; " 1"), IFERROR(DATE(2025, 'Sales_RAW(BEFORE)'!AC78, 1), 'Sales_RAW(BEFORE)'!AC78)), "mmmm")</f>
        <v>February</v>
      </c>
      <c r="AF76" s="3">
        <f>_xlfn.LET(
  _xlpm.raw, TRIM(SUBSTITUTE('Sales_RAW(BEFORE)'!AD78, "'", "")),
  _xlpm.num, IFERROR(VALUE(_xlpm.raw), 0),
  IF(_xlpm.num &lt; 100, 2000 + _xlpm.num, _xlpm.num)
)</f>
        <v>2026</v>
      </c>
      <c r="AG76" s="3" t="str">
        <f>PROPER('Sales_RAW(BEFORE)'!AE78)</f>
        <v>Immediate</v>
      </c>
      <c r="AH76" s="3" cm="1">
        <f t="array" ref="AH76">_xlfn.LET(
  _xlpm.val, LOWER(TRIM('Sales_RAW(BEFORE)'!AF78)),
  _xlfn.IFS(
    OR(_xlpm.val="", _xlpm.val="null", _xlpm.val="N/A", _xlpm.val="-", _xlpm.val="#N/A"), 0,
    ISNUMBER('Sales_RAW(BEFORE)'!AF78), 'Sales_RAW(BEFORE)'!AF78,
    TRUE, IFERROR(_xlfn.NUMBERVALUE(_xlpm.val), 0)
  )
)</f>
        <v>56</v>
      </c>
      <c r="AI76" s="5">
        <f>IF(IFERROR(VALUE(SUBSTITUTE(SUBSTITUTE(TRIM('Sales_RAW(BEFORE)'!AG78), "%", ""), ",", ".")), 0) &gt; 1, IFERROR(VALUE(SUBSTITUTE(SUBSTITUTE(TRIM('Sales_RAW(BEFORE)'!AG78), "%", ""), ",", ".")), 0) / 100, IFERROR(VALUE(SUBSTITUTE(SUBSTITUTE(TRIM('Sales_RAW(BEFORE)'!AG78), "%", ""), ",", ".")), 0))</f>
        <v>0.08</v>
      </c>
      <c r="AJ76" s="6">
        <f t="shared" si="6"/>
        <v>114.84</v>
      </c>
      <c r="AK76" s="6">
        <f t="shared" si="7"/>
        <v>1550.34</v>
      </c>
      <c r="AL76" s="6">
        <f>IFERROR(VALUE(SUBSTITUTE(SUBSTITUTE(SUBSTITUTE('Sales_RAW(BEFORE)'!AJ78,"$",""),"USD",""),",",".")),0)</f>
        <v>0</v>
      </c>
      <c r="AM76" s="3" t="str">
        <f>SUBSTITUTE(SUBSTITUTE(PROPER('Sales_RAW(BEFORE)'!AK78), "Fed Ex", "FedEx"),"Fedex","FedEx")</f>
        <v>Ups</v>
      </c>
      <c r="AN76" s="3" t="s">
        <v>1524</v>
      </c>
      <c r="AO76" s="3" t="str">
        <f>SUBSTITUTE('Sales_RAW(BEFORE)'!AM78,"kg","")</f>
        <v>8.93</v>
      </c>
      <c r="AP76" s="3" t="str">
        <f>_xlfn.LET(
  _xlpm.raw, UPPER(TRIM('Sales_RAW(BEFORE)'!AN78)),
  _xlpm.clean, RIGHT(_xlpm.raw, 1),
  IF(OR(_xlpm.raw="", _xlpm.raw="null"), "N/A", _xlpm.clean)
)</f>
        <v>A</v>
      </c>
      <c r="AQ76" s="3">
        <v>46</v>
      </c>
      <c r="AR76" s="3" cm="1">
        <f t="array" ref="AR76">_xlfn.LET(
  _xlpm.raw, LOWER(TRIM('Sales_RAW(BEFORE)'!AP78)),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76" s="3"/>
      <c r="AT76" s="3"/>
      <c r="AU76" s="3"/>
      <c r="AV76" s="8">
        <f>IF(IFERROR(VALUE(SUBSTITUTE(SUBSTITUTE(TRIM('Sales_RAW(BEFORE)'!AT78), "%", ""), ",", ".")), 0) &gt; 1, IFERROR(VALUE(SUBSTITUTE(SUBSTITUTE(TRIM('Sales_RAW(BEFORE)'!AT78), "%", ""), ",", ".")), 0) / 100, IFERROR(VALUE(SUBSTITUTE(SUBSTITUTE(TRIM('Sales_RAW(BEFORE)'!AT78), "%", ""), ",", ".")), 0))</f>
        <v>0.18</v>
      </c>
      <c r="AW76" s="6">
        <f>BA76*(_xlfn.XLOOKUP(N76,Employees!$A$2:$A$26,Employees!$E$2:$E$26,2))</f>
        <v>65.889449999999997</v>
      </c>
      <c r="AX76" s="3" t="str">
        <f>PROPER('Sales_RAW(BEFORE)'!AV78)</f>
        <v xml:space="preserve">Sophia Smith   </v>
      </c>
      <c r="AY76" s="3" t="str">
        <f t="shared" si="8"/>
        <v xml:space="preserve">Sophia Smith   </v>
      </c>
      <c r="AZ76" s="3"/>
      <c r="BA76" s="24">
        <f>AK76*(1-(_xlfn.XLOOKUP(G76, Exchange_Rates!$B$8:$F$8, Exchange_Rates!$B$9:$F$9, 0)+J76))</f>
        <v>1317.789</v>
      </c>
      <c r="BB76" s="7" cm="1">
        <f t="array" ref="BB76">_xlfn.LET(
  _xlpm.raw_dt, SUBSTITUTE(TRIM(C76), ".", "/"),
  _xlpm.dt, IFERROR(DATEVALUE(_xlpm.raw_dt), C76),
  _xlpm.p_code, TRIM(E76),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46786</v>
      </c>
      <c r="BC76" s="25">
        <f t="shared" si="9"/>
        <v>237.20201999999998</v>
      </c>
    </row>
    <row r="77" spans="1:55" ht="15.75" thickBot="1" x14ac:dyDescent="0.3">
      <c r="A77" s="3" t="s">
        <v>1528</v>
      </c>
      <c r="B77" s="10">
        <v>46050</v>
      </c>
      <c r="C77" s="4">
        <f>DATE(2026,2,5)</f>
        <v>46058</v>
      </c>
      <c r="D77" s="3" t="str">
        <f>"P-" &amp; TEXT(VALUE(SUBSTITUTE(SUBSTITUTE(SUBSTITUTE(UPPER(TRIM('Sales_RAW(BEFORE)'!D79)), "P", ""), "-", ""), "_", "")),"000")</f>
        <v>P-032</v>
      </c>
      <c r="E77" s="3" t="str">
        <f>VLOOKUP(D77,Product_List!$A$2:$B$61,2,FALSE)</f>
        <v>Cable Basic 32</v>
      </c>
      <c r="F77" s="3" t="str">
        <f>_xlfn.XLOOKUP(E77,Product_List!$B$2:$B$61,Product_List!$E$2:$E$61,2)</f>
        <v>OfficeHub</v>
      </c>
      <c r="G77" s="3" t="str">
        <f>VLOOKUP(E77,Product_List!$B$2:$C$61,2,FALSE)</f>
        <v>Software</v>
      </c>
      <c r="H77" s="3" t="str">
        <f>SUBSTITUTE(SUBSTITUTE('Sales_RAW(BEFORE)'!G79,"kom",""),".","")</f>
        <v xml:space="preserve">28 </v>
      </c>
      <c r="I77" s="6">
        <f>VLOOKUP(E77,Product_List!$B$2:$D$61,3,FALSE)</f>
        <v>1479.77</v>
      </c>
      <c r="J77" s="5">
        <f>IF(IFERROR(VALUE(SUBSTITUTE(SUBSTITUTE(TRIM('Sales_RAW(BEFORE)'!I79), "%", ""), ",", ".")), 0) &gt; 1, IFERROR(VALUE(SUBSTITUTE(SUBSTITUTE(TRIM('Sales_RAW(BEFORE)'!I79), "%", ""), ",", ".")), 0) / 100, IFERROR(VALUE(SUBSTITUTE(SUBSTITUTE(TRIM('Sales_RAW(BEFORE)'!I79), "%", ""), ",", ".")), 0))</f>
        <v>0.1</v>
      </c>
      <c r="K77" s="6">
        <f t="shared" si="5"/>
        <v>41433.56</v>
      </c>
      <c r="L77" s="6" t="str" cm="1">
        <f t="array" ref="L77">_xlfn.LET(
  _xlpm.valuta, UPPER(TRIM('Sales_RAW(BEFORE)'!K79)),
  _xlfn.IFS(
    _xlpm.valuta = "", "",
    OR(_xlpm.valuta = "USD", _xlpm.valuta = "$"), "$",
    OR(_xlpm.valuta = "EUR", _xlpm.valuta = "€"), "€",
    TRUE, _xlpm.valuta
  )
)</f>
        <v>$</v>
      </c>
      <c r="M77" s="3" t="str">
        <f>"E" &amp; TEXT(VALUE(SUBSTITUTE(SUBSTITUTE(SUBSTITUTE(UPPER(TRIM('Sales_RAW(BEFORE)'!L79)), "EMP", ""), "E", ""), "-", "")),"000")</f>
        <v>E015</v>
      </c>
      <c r="N77" s="3" t="str">
        <f>_xlfn.XLOOKUP(M77,Employees!$D$2:$D$26,Employees!$A$2:$A$26)</f>
        <v>Sarah Jones</v>
      </c>
      <c r="O77" s="3" t="str">
        <f>_xlfn.XLOOKUP(N77,Employees!$A$2:$A$26,Employees!$C$2:$C$26,2)</f>
        <v>Wholesale</v>
      </c>
      <c r="P77" s="3" t="str">
        <f>PROPER('Sales_RAW(BEFORE)'!N79)</f>
        <v>West</v>
      </c>
      <c r="Q77" s="3" t="str">
        <f>VLOOKUP(N77,Employees!$A$2:$B$26,2,FALSE)</f>
        <v>Boston</v>
      </c>
      <c r="R77" s="3" t="str">
        <f>PROPER('Sales_RAW(BEFORE)'!P79)</f>
        <v>Umbrella Inc</v>
      </c>
      <c r="S77" s="3" t="str">
        <f>SUBSTITUTE(SUBSTITUTE('Sales_RAW(BEFORE)'!Q79,"EIN",""),":","")</f>
        <v xml:space="preserve"> 729349177</v>
      </c>
      <c r="T77" s="3" t="s">
        <v>1292</v>
      </c>
      <c r="U77" s="3" t="s">
        <v>1534</v>
      </c>
      <c r="V77" s="3" t="s">
        <v>1535</v>
      </c>
      <c r="W77" s="3" t="s">
        <v>1536</v>
      </c>
      <c r="X77" s="3" t="s">
        <v>173</v>
      </c>
      <c r="Y77" s="3" t="str">
        <f>PROPER('Sales_RAW(BEFORE)'!W79)</f>
        <v>Credit Card</v>
      </c>
      <c r="Z77" s="3" t="str">
        <f>PROPER('Sales_RAW(BEFORE)'!X79)</f>
        <v>Delivered</v>
      </c>
      <c r="AA77" s="3" t="str" cm="1">
        <f t="array" ref="AA77">_xlfn.LET(
  _xlpm.val, TRIM(LOWER('Sales_RAW(BEFORE)'!Y79)),
  _xlfn.IFS(
    OR(_xlpm.val="yes", _xlpm.val="paid"), "Paid",
    OR(_xlpm.val="no", _xlpm.val="unpaid"), "Unpaid",
    OR(_xlpm.val="partial", _xlpm.val="partial paid"), "Partial",
    _xlpm.val="", "",
    TRUE, 'Sales_RAW(BEFORE)'!AY79
  )
)</f>
        <v>Paid</v>
      </c>
      <c r="AB77" s="3" t="s">
        <v>1537</v>
      </c>
      <c r="AC77" s="3" t="str">
        <f>PROPER('Sales_RAW(BEFORE)'!AA79)</f>
        <v>Online</v>
      </c>
      <c r="AD77" s="3" t="str">
        <f>SUBSTITUTE(SUBSTITUTE(SUBSTITUTE(SUBSTITUTE('Sales_RAW(BEFORE)'!AB79,"st",""),"q",""),"Q",""),"uarter","")</f>
        <v>3</v>
      </c>
      <c r="AE77" s="3" t="str">
        <f>TEXT(IFERROR(DATEVALUE('Sales_RAW(BEFORE)'!AC79 &amp; " 1"), IFERROR(DATE(2025, 'Sales_RAW(BEFORE)'!AC79, 1), 'Sales_RAW(BEFORE)'!AC79)), "mmmm")</f>
        <v>January</v>
      </c>
      <c r="AF77" s="3">
        <f>_xlfn.LET(
  _xlpm.raw, TRIM(SUBSTITUTE('Sales_RAW(BEFORE)'!AD79, "'", "")),
  _xlpm.num, IFERROR(VALUE(_xlpm.raw), 0),
  IF(_xlpm.num &lt; 100, 2000 + _xlpm.num, _xlpm.num)
)</f>
        <v>2026</v>
      </c>
      <c r="AG77" s="3" t="str">
        <f>PROPER('Sales_RAW(BEFORE)'!AE79)</f>
        <v>Net 60</v>
      </c>
      <c r="AH77" s="3" cm="1">
        <f t="array" ref="AH77">_xlfn.LET(
  _xlpm.val, LOWER(TRIM('Sales_RAW(BEFORE)'!AF79)),
  _xlfn.IFS(
    OR(_xlpm.val="", _xlpm.val="null", _xlpm.val="N/A", _xlpm.val="-", _xlpm.val="#N/A"), 0,
    ISNUMBER('Sales_RAW(BEFORE)'!AF79), 'Sales_RAW(BEFORE)'!AF79,
    TRUE, IFERROR(_xlfn.NUMBERVALUE(_xlpm.val), 0)
  )
)</f>
        <v>53</v>
      </c>
      <c r="AI77" s="5">
        <f>IF(IFERROR(VALUE(SUBSTITUTE(SUBSTITUTE(TRIM('Sales_RAW(BEFORE)'!AG79), "%", ""), ",", ".")), 0) &gt; 1, IFERROR(VALUE(SUBSTITUTE(SUBSTITUTE(TRIM('Sales_RAW(BEFORE)'!AG79), "%", ""), ",", ".")), 0) / 100, IFERROR(VALUE(SUBSTITUTE(SUBSTITUTE(TRIM('Sales_RAW(BEFORE)'!AG79), "%", ""), ",", ".")), 0))</f>
        <v>0.08</v>
      </c>
      <c r="AJ77" s="6">
        <f t="shared" si="6"/>
        <v>3314.6848</v>
      </c>
      <c r="AK77" s="6">
        <f t="shared" si="7"/>
        <v>44748.2448</v>
      </c>
      <c r="AL77" s="6">
        <f>IFERROR(VALUE(SUBSTITUTE(SUBSTITUTE(SUBSTITUTE('Sales_RAW(BEFORE)'!AJ79,"$",""),"USD",""),",",".")),0)</f>
        <v>15.64</v>
      </c>
      <c r="AM77" s="3" t="str">
        <f>SUBSTITUTE(SUBSTITUTE(PROPER('Sales_RAW(BEFORE)'!AK79), "Fed Ex", "FedEx"),"Fedex","FedEx")</f>
        <v>FedEx</v>
      </c>
      <c r="AN77" s="3" t="s">
        <v>1539</v>
      </c>
      <c r="AO77" s="3" t="str">
        <f>SUBSTITUTE('Sales_RAW(BEFORE)'!AM79,"kg","")</f>
        <v>12.31</v>
      </c>
      <c r="AP77" s="3" t="str">
        <f>_xlfn.LET(
  _xlpm.raw, UPPER(TRIM('Sales_RAW(BEFORE)'!AN79)),
  _xlpm.clean, RIGHT(_xlpm.raw, 1),
  IF(OR(_xlpm.raw="", _xlpm.raw="null"), "N/A", _xlpm.clean)
)</f>
        <v>B</v>
      </c>
      <c r="AQ77" s="3">
        <v>32</v>
      </c>
      <c r="AR77" s="3" cm="1">
        <f t="array" ref="AR77">_xlfn.LET(
  _xlpm.raw, LOWER(TRIM('Sales_RAW(BEFORE)'!AP79)),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77" s="3"/>
      <c r="AT77" s="3"/>
      <c r="AU77" s="3"/>
      <c r="AV77" s="8">
        <f>IF(IFERROR(VALUE(SUBSTITUTE(SUBSTITUTE(TRIM('Sales_RAW(BEFORE)'!AT79), "%", ""), ",", ".")), 0) &gt; 1, IFERROR(VALUE(SUBSTITUTE(SUBSTITUTE(TRIM('Sales_RAW(BEFORE)'!AT79), "%", ""), ",", ".")), 0) / 100, IFERROR(VALUE(SUBSTITUTE(SUBSTITUTE(TRIM('Sales_RAW(BEFORE)'!AT79), "%", ""), ",", ".")), 0))</f>
        <v>0</v>
      </c>
      <c r="AW77" s="6">
        <f>BA77*(_xlfn.XLOOKUP(N77,Employees!$A$2:$A$26,Employees!$E$2:$E$26,2))</f>
        <v>1006.8355080000001</v>
      </c>
      <c r="AX77" s="3" t="str">
        <f>PROPER('Sales_RAW(BEFORE)'!AV79)</f>
        <v>Ryan Brown</v>
      </c>
      <c r="AY77" s="3" t="str">
        <f t="shared" si="8"/>
        <v>Ryan Brown</v>
      </c>
      <c r="AZ77" s="3"/>
      <c r="BA77" s="24">
        <f>AK77*(1-(_xlfn.XLOOKUP(G77, Exchange_Rates!$B$8:$F$8, Exchange_Rates!$B$9:$F$9, 0)+J77))</f>
        <v>33561.183600000004</v>
      </c>
      <c r="BB77" s="7" cm="1">
        <f t="array" ref="BB77">_xlfn.LET(
  _xlpm.raw_dt, SUBSTITUTE(TRIM(C77), ".", "/"),
  _xlpm.dt, IFERROR(DATEVALUE(_xlpm.raw_dt), C77),
  _xlpm.p_code, TRIM(E77),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47154</v>
      </c>
      <c r="BC77" s="25">
        <f t="shared" si="9"/>
        <v>0</v>
      </c>
    </row>
    <row r="78" spans="1:55" ht="15.75" thickBot="1" x14ac:dyDescent="0.3">
      <c r="A78" s="3" t="s">
        <v>1541</v>
      </c>
      <c r="B78" s="10">
        <v>46186</v>
      </c>
      <c r="C78" s="4">
        <v>46200</v>
      </c>
      <c r="D78" s="3" t="str">
        <f>"P-" &amp; TEXT(VALUE(SUBSTITUTE(SUBSTITUTE(SUBSTITUTE(UPPER(TRIM('Sales_RAW(BEFORE)'!D80)), "P", ""), "-", ""), "_", "")),"000")</f>
        <v>P-006</v>
      </c>
      <c r="E78" s="3" t="str">
        <f>VLOOKUP(D78,Product_List!$A$2:$B$61,2,FALSE)</f>
        <v>Monitor X 6</v>
      </c>
      <c r="F78" s="3" t="str">
        <f>_xlfn.XLOOKUP(E78,Product_List!$B$2:$B$61,Product_List!$E$2:$E$61,2)</f>
        <v>TechSupply Co</v>
      </c>
      <c r="G78" s="3" t="str">
        <f>VLOOKUP(E78,Product_List!$B$2:$C$61,2,FALSE)</f>
        <v>Equipment</v>
      </c>
      <c r="H78" s="3" t="str">
        <f>SUBSTITUTE(SUBSTITUTE('Sales_RAW(BEFORE)'!G80,"kom",""),".","")</f>
        <v xml:space="preserve">22 </v>
      </c>
      <c r="I78" s="6">
        <f>VLOOKUP(E78,Product_List!$B$2:$D$61,3,FALSE)</f>
        <v>1421.82</v>
      </c>
      <c r="J78" s="5">
        <f>IF(IFERROR(VALUE(SUBSTITUTE(SUBSTITUTE(TRIM('Sales_RAW(BEFORE)'!I80), "%", ""), ",", ".")), 0) &gt; 1, IFERROR(VALUE(SUBSTITUTE(SUBSTITUTE(TRIM('Sales_RAW(BEFORE)'!I80), "%", ""), ",", ".")), 0) / 100, IFERROR(VALUE(SUBSTITUTE(SUBSTITUTE(TRIM('Sales_RAW(BEFORE)'!I80), "%", ""), ",", ".")), 0))</f>
        <v>0.05</v>
      </c>
      <c r="K78" s="6">
        <f t="shared" si="5"/>
        <v>31280.039999999997</v>
      </c>
      <c r="L78" s="6" t="str" cm="1">
        <f t="array" ref="L78">_xlfn.LET(
  _xlpm.valuta, UPPER(TRIM('Sales_RAW(BEFORE)'!K80)),
  _xlfn.IFS(
    _xlpm.valuta = "", "",
    OR(_xlpm.valuta = "USD", _xlpm.valuta = "$"), "$",
    OR(_xlpm.valuta = "EUR", _xlpm.valuta = "€"), "€",
    TRUE, _xlpm.valuta
  )
)</f>
        <v>$</v>
      </c>
      <c r="M78" s="3" t="str">
        <f>"E" &amp; TEXT(VALUE(SUBSTITUTE(SUBSTITUTE(SUBSTITUTE(UPPER(TRIM('Sales_RAW(BEFORE)'!L80)), "EMP", ""), "E", ""), "-", "")),"000")</f>
        <v>E004</v>
      </c>
      <c r="N78" s="3" t="str">
        <f>_xlfn.XLOOKUP(M78,Employees!$D$2:$D$26,Employees!$A$2:$A$26)</f>
        <v>Sophia Johnson</v>
      </c>
      <c r="O78" s="3" t="str">
        <f>_xlfn.XLOOKUP(N78,Employees!$A$2:$A$26,Employees!$C$2:$C$26,2)</f>
        <v>Wholesale</v>
      </c>
      <c r="P78" s="3" t="str">
        <f>PROPER('Sales_RAW(BEFORE)'!N80)</f>
        <v>South</v>
      </c>
      <c r="Q78" s="3" t="str">
        <f>VLOOKUP(N78,Employees!$A$2:$B$26,2,FALSE)</f>
        <v>Houston</v>
      </c>
      <c r="R78" s="3" t="str">
        <f>PROPER('Sales_RAW(BEFORE)'!P80)</f>
        <v xml:space="preserve">Acme Inc   </v>
      </c>
      <c r="S78" s="3" t="str">
        <f>SUBSTITUTE(SUBSTITUTE('Sales_RAW(BEFORE)'!Q80,"EIN",""),":","")</f>
        <v>960141080</v>
      </c>
      <c r="T78" s="3" t="s">
        <v>976</v>
      </c>
      <c r="U78" s="3" t="s">
        <v>1551</v>
      </c>
      <c r="V78" s="3" t="s">
        <v>1552</v>
      </c>
      <c r="W78" s="3" t="s">
        <v>1553</v>
      </c>
      <c r="X78" s="3" t="s">
        <v>173</v>
      </c>
      <c r="Y78" s="3" t="str">
        <f>PROPER('Sales_RAW(BEFORE)'!W80)</f>
        <v>Wire</v>
      </c>
      <c r="Z78" s="3" t="str">
        <f>PROPER('Sales_RAW(BEFORE)'!X80)</f>
        <v>Cancelled</v>
      </c>
      <c r="AA78" s="3" t="str" cm="1">
        <f t="array" ref="AA78">_xlfn.LET(
  _xlpm.val, TRIM(LOWER('Sales_RAW(BEFORE)'!Y80)),
  _xlfn.IFS(
    OR(_xlpm.val="yes", _xlpm.val="paid"), "Paid",
    OR(_xlpm.val="no", _xlpm.val="unpaid"), "Unpaid",
    OR(_xlpm.val="partial", _xlpm.val="partial paid"), "Partial",
    _xlpm.val="", "",
    TRUE, 'Sales_RAW(BEFORE)'!AY80
  )
)</f>
        <v>Paid</v>
      </c>
      <c r="AB78" s="3" t="s">
        <v>1554</v>
      </c>
      <c r="AC78" s="3" t="str">
        <f>PROPER('Sales_RAW(BEFORE)'!AA80)</f>
        <v>Phone</v>
      </c>
      <c r="AD78" s="3" t="str">
        <f>SUBSTITUTE(SUBSTITUTE(SUBSTITUTE(SUBSTITUTE('Sales_RAW(BEFORE)'!AB80,"st",""),"q",""),"Q",""),"uarter","")</f>
        <v>1</v>
      </c>
      <c r="AE78" s="3" t="str">
        <f>TEXT(IFERROR(DATEVALUE('Sales_RAW(BEFORE)'!AC80 &amp; " 1"), IFERROR(DATE(2025, 'Sales_RAW(BEFORE)'!AC80, 1), 'Sales_RAW(BEFORE)'!AC80)), "mmmm")</f>
        <v>June</v>
      </c>
      <c r="AF78" s="3">
        <f>_xlfn.LET(
  _xlpm.raw, TRIM(SUBSTITUTE('Sales_RAW(BEFORE)'!AD80, "'", "")),
  _xlpm.num, IFERROR(VALUE(_xlpm.raw), 0),
  IF(_xlpm.num &lt; 100, 2000 + _xlpm.num, _xlpm.num)
)</f>
        <v>2026</v>
      </c>
      <c r="AG78" s="3" t="str">
        <f>PROPER('Sales_RAW(BEFORE)'!AE80)</f>
        <v>Immediate</v>
      </c>
      <c r="AH78" s="3" cm="1">
        <f t="array" ref="AH78">_xlfn.LET(
  _xlpm.val, LOWER(TRIM('Sales_RAW(BEFORE)'!AF80)),
  _xlfn.IFS(
    OR(_xlpm.val="", _xlpm.val="null", _xlpm.val="N/A", _xlpm.val="-", _xlpm.val="#N/A"), 0,
    ISNUMBER('Sales_RAW(BEFORE)'!AF80), 'Sales_RAW(BEFORE)'!AF80,
    TRUE, IFERROR(_xlfn.NUMBERVALUE(_xlpm.val), 0)
  )
)</f>
        <v>4</v>
      </c>
      <c r="AI78" s="5">
        <f>IF(IFERROR(VALUE(SUBSTITUTE(SUBSTITUTE(TRIM('Sales_RAW(BEFORE)'!AG80), "%", ""), ",", ".")), 0) &gt; 1, IFERROR(VALUE(SUBSTITUTE(SUBSTITUTE(TRIM('Sales_RAW(BEFORE)'!AG80), "%", ""), ",", ".")), 0) / 100, IFERROR(VALUE(SUBSTITUTE(SUBSTITUTE(TRIM('Sales_RAW(BEFORE)'!AG80), "%", ""), ",", ".")), 0))</f>
        <v>0.08</v>
      </c>
      <c r="AJ78" s="6">
        <f t="shared" si="6"/>
        <v>2502.4031999999997</v>
      </c>
      <c r="AK78" s="6">
        <f t="shared" si="7"/>
        <v>33782.443199999994</v>
      </c>
      <c r="AL78" s="6">
        <f>IFERROR(VALUE(SUBSTITUTE(SUBSTITUTE(SUBSTITUTE('Sales_RAW(BEFORE)'!AJ80,"$",""),"USD",""),",",".")),0)</f>
        <v>34.15</v>
      </c>
      <c r="AM78" s="3" t="str">
        <f>SUBSTITUTE(SUBSTITUTE(PROPER('Sales_RAW(BEFORE)'!AK80), "Fed Ex", "FedEx"),"Fedex","FedEx")</f>
        <v>FedEx</v>
      </c>
      <c r="AN78" s="3" t="s">
        <v>1556</v>
      </c>
      <c r="AO78" s="3" t="str">
        <f>SUBSTITUTE('Sales_RAW(BEFORE)'!AM80,"kg","")</f>
        <v xml:space="preserve">23.6 </v>
      </c>
      <c r="AP78" s="3" t="str">
        <f>_xlfn.LET(
  _xlpm.raw, UPPER(TRIM('Sales_RAW(BEFORE)'!AN80)),
  _xlpm.clean, RIGHT(_xlpm.raw, 1),
  IF(OR(_xlpm.raw="", _xlpm.raw="null"), "N/A", _xlpm.clean)
)</f>
        <v>C</v>
      </c>
      <c r="AQ78" s="3">
        <v>188</v>
      </c>
      <c r="AR78" s="3" cm="1">
        <f t="array" ref="AR78">_xlfn.LET(
  _xlpm.raw, LOWER(TRIM('Sales_RAW(BEFORE)'!AP80)),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78" s="3"/>
      <c r="AT78" s="3"/>
      <c r="AU78" s="3"/>
      <c r="AV78" s="8">
        <f>IF(IFERROR(VALUE(SUBSTITUTE(SUBSTITUTE(TRIM('Sales_RAW(BEFORE)'!AT80), "%", ""), ",", ".")), 0) &gt; 1, IFERROR(VALUE(SUBSTITUTE(SUBSTITUTE(TRIM('Sales_RAW(BEFORE)'!AT80), "%", ""), ",", ".")), 0) / 100, IFERROR(VALUE(SUBSTITUTE(SUBSTITUTE(TRIM('Sales_RAW(BEFORE)'!AT80), "%", ""), ",", ".")), 0))</f>
        <v>0.18</v>
      </c>
      <c r="AW78" s="6">
        <f>BA78*(_xlfn.XLOOKUP(N78,Employees!$A$2:$A$26,Employees!$E$2:$E$26,2))</f>
        <v>1435.7538359999999</v>
      </c>
      <c r="AX78" s="3" t="str">
        <f>PROPER('Sales_RAW(BEFORE)'!AV80)</f>
        <v>Sarah Miller</v>
      </c>
      <c r="AY78" s="3" t="str">
        <f t="shared" si="8"/>
        <v>Sarah Miller</v>
      </c>
      <c r="AZ78" s="3"/>
      <c r="BA78" s="24">
        <f>AK78*(1-(_xlfn.XLOOKUP(G78, Exchange_Rates!$B$8:$F$8, Exchange_Rates!$B$9:$F$9, 0)+J78))</f>
        <v>28715.076719999994</v>
      </c>
      <c r="BB78" s="7" cm="1">
        <f t="array" ref="BB78">_xlfn.LET(
  _xlpm.raw_dt, SUBSTITUTE(TRIM(C78), ".", "/"),
  _xlpm.dt, IFERROR(DATEVALUE(_xlpm.raw_dt), C78),
  _xlpm.p_code, TRIM(E78),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46565</v>
      </c>
      <c r="BC78" s="25">
        <f t="shared" si="9"/>
        <v>5168.713809599999</v>
      </c>
    </row>
    <row r="79" spans="1:55" ht="15.75" thickBot="1" x14ac:dyDescent="0.3">
      <c r="A79" s="3" t="s">
        <v>1559</v>
      </c>
      <c r="B79" s="10">
        <v>45887</v>
      </c>
      <c r="C79" s="4">
        <v>45891</v>
      </c>
      <c r="D79" s="3" t="str">
        <f>"P-" &amp; TEXT(VALUE(SUBSTITUTE(SUBSTITUTE(SUBSTITUTE(UPPER(TRIM('Sales_RAW(BEFORE)'!D81)), "P", ""), "-", ""), "_", "")),"000")</f>
        <v>P-046</v>
      </c>
      <c r="E79" s="3" t="str">
        <f>VLOOKUP(D79,Product_List!$A$2:$B$61,2,FALSE)</f>
        <v>Chair Basic 46</v>
      </c>
      <c r="F79" s="3" t="str">
        <f>_xlfn.XLOOKUP(E79,Product_List!$B$2:$B$61,Product_List!$E$2:$E$61,2)</f>
        <v>Global Distrib</v>
      </c>
      <c r="G79" s="3" t="str">
        <f>VLOOKUP(E79,Product_List!$B$2:$C$61,2,FALSE)</f>
        <v>Equipment</v>
      </c>
      <c r="H79" s="3" t="str">
        <f>SUBSTITUTE(SUBSTITUTE('Sales_RAW(BEFORE)'!G81,"kom",""),".","")</f>
        <v>22</v>
      </c>
      <c r="I79" s="6">
        <f>VLOOKUP(E79,Product_List!$B$2:$D$61,3,FALSE)</f>
        <v>549.41999999999996</v>
      </c>
      <c r="J79" s="5">
        <f>IF(IFERROR(VALUE(SUBSTITUTE(SUBSTITUTE(TRIM('Sales_RAW(BEFORE)'!I81), "%", ""), ",", ".")), 0) &gt; 1, IFERROR(VALUE(SUBSTITUTE(SUBSTITUTE(TRIM('Sales_RAW(BEFORE)'!I81), "%", ""), ",", ".")), 0) / 100, IFERROR(VALUE(SUBSTITUTE(SUBSTITUTE(TRIM('Sales_RAW(BEFORE)'!I81), "%", ""), ",", ".")), 0))</f>
        <v>0</v>
      </c>
      <c r="K79" s="6">
        <f t="shared" si="5"/>
        <v>12087.24</v>
      </c>
      <c r="L79" s="6" t="str" cm="1">
        <f t="array" ref="L79">_xlfn.LET(
  _xlpm.valuta, UPPER(TRIM('Sales_RAW(BEFORE)'!K81)),
  _xlfn.IFS(
    _xlpm.valuta = "", "",
    OR(_xlpm.valuta = "USD", _xlpm.valuta = "$"), "$",
    OR(_xlpm.valuta = "EUR", _xlpm.valuta = "€"), "€",
    TRUE, _xlpm.valuta
  )
)</f>
        <v>$</v>
      </c>
      <c r="M79" s="3" t="str">
        <f>"E" &amp; TEXT(VALUE(SUBSTITUTE(SUBSTITUTE(SUBSTITUTE(UPPER(TRIM('Sales_RAW(BEFORE)'!L81)), "EMP", ""), "E", ""), "-", "")),"000")</f>
        <v>E018</v>
      </c>
      <c r="N79" s="3" t="str">
        <f>_xlfn.XLOOKUP(M79,Employees!$D$2:$D$26,Employees!$A$2:$A$26)</f>
        <v>John Miller</v>
      </c>
      <c r="O79" s="3" t="str">
        <f>_xlfn.XLOOKUP(N79,Employees!$A$2:$A$26,Employees!$C$2:$C$26,2)</f>
        <v>Retail</v>
      </c>
      <c r="P79" s="3" t="str">
        <f>PROPER('Sales_RAW(BEFORE)'!N81)</f>
        <v>North</v>
      </c>
      <c r="Q79" s="3" t="str">
        <f>VLOOKUP(N79,Employees!$A$2:$B$26,2,FALSE)</f>
        <v>Houston</v>
      </c>
      <c r="R79" s="3" t="str">
        <f>PROPER('Sales_RAW(BEFORE)'!P81)</f>
        <v>Initech Inc.</v>
      </c>
      <c r="S79" s="3" t="str">
        <f>SUBSTITUTE(SUBSTITUTE('Sales_RAW(BEFORE)'!Q81,"EIN",""),":","")</f>
        <v>846787451</v>
      </c>
      <c r="T79" s="3" t="s">
        <v>505</v>
      </c>
      <c r="U79" s="3" t="s">
        <v>1569</v>
      </c>
      <c r="V79" s="3" t="s">
        <v>1570</v>
      </c>
      <c r="W79" s="3" t="s">
        <v>1571</v>
      </c>
      <c r="X79" s="3" t="s">
        <v>173</v>
      </c>
      <c r="Y79" s="3" t="str">
        <f>PROPER('Sales_RAW(BEFORE)'!W81)</f>
        <v>Wire</v>
      </c>
      <c r="Z79" s="3" t="str">
        <f>PROPER('Sales_RAW(BEFORE)'!X81)</f>
        <v>Processing</v>
      </c>
      <c r="AA79" s="3" t="str" cm="1">
        <f t="array" ref="AA79">_xlfn.LET(
  _xlpm.val, TRIM(LOWER('Sales_RAW(BEFORE)'!Y81)),
  _xlfn.IFS(
    OR(_xlpm.val="yes", _xlpm.val="paid"), "Paid",
    OR(_xlpm.val="no", _xlpm.val="unpaid"), "Unpaid",
    OR(_xlpm.val="partial", _xlpm.val="partial paid"), "Partial",
    _xlpm.val="", "",
    TRUE, 'Sales_RAW(BEFORE)'!AY81
  )
)</f>
        <v>Paid</v>
      </c>
      <c r="AB79" s="3" t="s">
        <v>1572</v>
      </c>
      <c r="AC79" s="3" t="str">
        <f>PROPER('Sales_RAW(BEFORE)'!AA81)</f>
        <v>Online</v>
      </c>
      <c r="AD79" s="3" t="str">
        <f>SUBSTITUTE(SUBSTITUTE(SUBSTITUTE(SUBSTITUTE('Sales_RAW(BEFORE)'!AB81,"st",""),"q",""),"Q",""),"uarter","")</f>
        <v>1</v>
      </c>
      <c r="AE79" s="3" t="str">
        <f>TEXT(IFERROR(DATEVALUE('Sales_RAW(BEFORE)'!AC81 &amp; " 1"), IFERROR(DATE(2025, 'Sales_RAW(BEFORE)'!AC81, 1), 'Sales_RAW(BEFORE)'!AC81)), "mmmm")</f>
        <v>August</v>
      </c>
      <c r="AF79" s="3">
        <f>_xlfn.LET(
  _xlpm.raw, TRIM(SUBSTITUTE('Sales_RAW(BEFORE)'!AD81, "'", "")),
  _xlpm.num, IFERROR(VALUE(_xlpm.raw), 0),
  IF(_xlpm.num &lt; 100, 2000 + _xlpm.num, _xlpm.num)
)</f>
        <v>2025</v>
      </c>
      <c r="AG79" s="3" t="str">
        <f>PROPER('Sales_RAW(BEFORE)'!AE81)</f>
        <v>Net 60</v>
      </c>
      <c r="AH79" s="3" cm="1">
        <f t="array" ref="AH79">_xlfn.LET(
  _xlpm.val, LOWER(TRIM('Sales_RAW(BEFORE)'!AF81)),
  _xlfn.IFS(
    OR(_xlpm.val="", _xlpm.val="null", _xlpm.val="N/A", _xlpm.val="-", _xlpm.val="#N/A"), 0,
    ISNUMBER('Sales_RAW(BEFORE)'!AF81), 'Sales_RAW(BEFORE)'!AF81,
    TRUE, IFERROR(_xlfn.NUMBERVALUE(_xlpm.val), 0)
  )
)</f>
        <v>84</v>
      </c>
      <c r="AI79" s="5">
        <f>IF(IFERROR(VALUE(SUBSTITUTE(SUBSTITUTE(TRIM('Sales_RAW(BEFORE)'!AG81), "%", ""), ",", ".")), 0) &gt; 1, IFERROR(VALUE(SUBSTITUTE(SUBSTITUTE(TRIM('Sales_RAW(BEFORE)'!AG81), "%", ""), ",", ".")), 0) / 100, IFERROR(VALUE(SUBSTITUTE(SUBSTITUTE(TRIM('Sales_RAW(BEFORE)'!AG81), "%", ""), ",", ".")), 0))</f>
        <v>0.08</v>
      </c>
      <c r="AJ79" s="6">
        <f t="shared" si="6"/>
        <v>966.97919999999999</v>
      </c>
      <c r="AK79" s="6">
        <f t="shared" si="7"/>
        <v>13054.2192</v>
      </c>
      <c r="AL79" s="6">
        <f>IFERROR(VALUE(SUBSTITUTE(SUBSTITUTE(SUBSTITUTE('Sales_RAW(BEFORE)'!AJ81,"$",""),"USD",""),",",".")),0)</f>
        <v>39</v>
      </c>
      <c r="AM79" s="3" t="str">
        <f>SUBSTITUTE(SUBSTITUTE(PROPER('Sales_RAW(BEFORE)'!AK81), "Fed Ex", "FedEx"),"Fedex","FedEx")</f>
        <v>Ups</v>
      </c>
      <c r="AN79" s="3" t="s">
        <v>1574</v>
      </c>
      <c r="AO79" s="3" t="str">
        <f>SUBSTITUTE('Sales_RAW(BEFORE)'!AM81,"kg","")</f>
        <v>27.61</v>
      </c>
      <c r="AP79" s="3" t="str">
        <f>_xlfn.LET(
  _xlpm.raw, UPPER(TRIM('Sales_RAW(BEFORE)'!AN81)),
  _xlpm.clean, RIGHT(_xlpm.raw, 1),
  IF(OR(_xlpm.raw="", _xlpm.raw="null"), "N/A", _xlpm.clean)
)</f>
        <v>A</v>
      </c>
      <c r="AQ79" s="3">
        <v>380</v>
      </c>
      <c r="AR79" s="3" cm="1">
        <f t="array" ref="AR79">_xlfn.LET(
  _xlpm.raw, LOWER(TRIM('Sales_RAW(BEFORE)'!AP81)),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79" s="3"/>
      <c r="AT79" s="3"/>
      <c r="AU79" s="3"/>
      <c r="AV79" s="8">
        <f>IF(IFERROR(VALUE(SUBSTITUTE(SUBSTITUTE(TRIM('Sales_RAW(BEFORE)'!AT81), "%", ""), ",", ".")), 0) &gt; 1, IFERROR(VALUE(SUBSTITUTE(SUBSTITUTE(TRIM('Sales_RAW(BEFORE)'!AT81), "%", ""), ",", ".")), 0) / 100, IFERROR(VALUE(SUBSTITUTE(SUBSTITUTE(TRIM('Sales_RAW(BEFORE)'!AT81), "%", ""), ",", ".")), 0))</f>
        <v>0</v>
      </c>
      <c r="AW79" s="6">
        <f>BA79*(_xlfn.XLOOKUP(N79,Employees!$A$2:$A$26,Employees!$E$2:$E$26,2))</f>
        <v>234.97594560000002</v>
      </c>
      <c r="AX79" s="3" t="str">
        <f>PROPER('Sales_RAW(BEFORE)'!AV81)</f>
        <v>Sophia Jones</v>
      </c>
      <c r="AY79" s="3" t="str">
        <f t="shared" si="8"/>
        <v>Sophia Jones</v>
      </c>
      <c r="AZ79" s="3"/>
      <c r="BA79" s="24">
        <f>AK79*(1-(_xlfn.XLOOKUP(G79, Exchange_Rates!$B$8:$F$8, Exchange_Rates!$B$9:$F$9, 0)+J79))</f>
        <v>11748.797280000001</v>
      </c>
      <c r="BB79" s="7" cm="1">
        <f t="array" ref="BB79">_xlfn.LET(
  _xlpm.raw_dt, SUBSTITUTE(TRIM(C79), ".", "/"),
  _xlpm.dt, IFERROR(DATEVALUE(_xlpm.raw_dt), C79),
  _xlpm.p_code, TRIM(E79),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46987</v>
      </c>
      <c r="BC79" s="25">
        <f t="shared" si="9"/>
        <v>0</v>
      </c>
    </row>
    <row r="80" spans="1:55" ht="15.75" thickBot="1" x14ac:dyDescent="0.3">
      <c r="A80" s="3" t="s">
        <v>1575</v>
      </c>
      <c r="B80" s="10">
        <v>45836</v>
      </c>
      <c r="C80" s="4">
        <v>45937</v>
      </c>
      <c r="D80" s="3" t="str">
        <f>"P-" &amp; TEXT(VALUE(SUBSTITUTE(SUBSTITUTE(SUBSTITUTE(UPPER(TRIM('Sales_RAW(BEFORE)'!D82)), "P", ""), "-", ""), "_", "")),"000")</f>
        <v>P-053</v>
      </c>
      <c r="E80" s="3" t="str">
        <f>VLOOKUP(D80,Product_List!$A$2:$B$61,2,FALSE)</f>
        <v>Monitor Basic 53</v>
      </c>
      <c r="F80" s="3" t="str">
        <f>_xlfn.XLOOKUP(E80,Product_List!$B$2:$B$61,Product_List!$E$2:$E$61,2)</f>
        <v>Global Distrib</v>
      </c>
      <c r="G80" s="3" t="str">
        <f>VLOOKUP(E80,Product_List!$B$2:$C$61,2,FALSE)</f>
        <v>Equipment</v>
      </c>
      <c r="H80" s="3" t="str">
        <f>SUBSTITUTE(SUBSTITUTE('Sales_RAW(BEFORE)'!G82,"kom",""),".","")</f>
        <v>5</v>
      </c>
      <c r="I80" s="6">
        <f>VLOOKUP(E80,Product_List!$B$2:$D$61,3,FALSE)</f>
        <v>553.22</v>
      </c>
      <c r="J80" s="5">
        <f>IF(IFERROR(VALUE(SUBSTITUTE(SUBSTITUTE(TRIM('Sales_RAW(BEFORE)'!I82), "%", ""), ",", ".")), 0) &gt; 1, IFERROR(VALUE(SUBSTITUTE(SUBSTITUTE(TRIM('Sales_RAW(BEFORE)'!I82), "%", ""), ",", ".")), 0) / 100, IFERROR(VALUE(SUBSTITUTE(SUBSTITUTE(TRIM('Sales_RAW(BEFORE)'!I82), "%", ""), ",", ".")), 0))</f>
        <v>0.1</v>
      </c>
      <c r="K80" s="6">
        <f t="shared" si="5"/>
        <v>2766.1000000000004</v>
      </c>
      <c r="L80" s="6" t="str" cm="1">
        <f t="array" ref="L80">_xlfn.LET(
  _xlpm.valuta, UPPER(TRIM('Sales_RAW(BEFORE)'!K82)),
  _xlfn.IFS(
    _xlpm.valuta = "", "",
    OR(_xlpm.valuta = "USD", _xlpm.valuta = "$"), "$",
    OR(_xlpm.valuta = "EUR", _xlpm.valuta = "€"), "€",
    TRUE, _xlpm.valuta
  )
)</f>
        <v>$</v>
      </c>
      <c r="M80" s="3" t="str">
        <f>"E" &amp; TEXT(VALUE(SUBSTITUTE(SUBSTITUTE(SUBSTITUTE(UPPER(TRIM('Sales_RAW(BEFORE)'!L82)), "EMP", ""), "E", ""), "-", "")),"000")</f>
        <v>E002</v>
      </c>
      <c r="N80" s="3" t="str">
        <f>_xlfn.XLOOKUP(M80,Employees!$D$2:$D$26,Employees!$A$2:$A$26)</f>
        <v>Sarah Wilson</v>
      </c>
      <c r="O80" s="3" t="str">
        <f>_xlfn.XLOOKUP(N80,Employees!$A$2:$A$26,Employees!$C$2:$C$26,2)</f>
        <v>Online</v>
      </c>
      <c r="P80" s="3" t="str">
        <f>PROPER('Sales_RAW(BEFORE)'!N82)</f>
        <v>West</v>
      </c>
      <c r="Q80" s="3" t="str">
        <f>VLOOKUP(N80,Employees!$A$2:$B$26,2,FALSE)</f>
        <v>Los Angeles</v>
      </c>
      <c r="R80" s="3" t="str">
        <f>PROPER('Sales_RAW(BEFORE)'!P82)</f>
        <v>Acme Inc.</v>
      </c>
      <c r="S80" s="3" t="str">
        <f>SUBSTITUTE(SUBSTITUTE('Sales_RAW(BEFORE)'!Q82,"EIN",""),":","")</f>
        <v xml:space="preserve"> 511809674</v>
      </c>
      <c r="T80" s="3" t="s">
        <v>1359</v>
      </c>
      <c r="U80" s="3" t="s">
        <v>1584</v>
      </c>
      <c r="V80" s="3" t="s">
        <v>1585</v>
      </c>
      <c r="W80" s="3" t="s">
        <v>1586</v>
      </c>
      <c r="X80" s="3" t="s">
        <v>173</v>
      </c>
      <c r="Y80" s="3" t="str">
        <f>PROPER('Sales_RAW(BEFORE)'!W82)</f>
        <v>Paypal</v>
      </c>
      <c r="Z80" s="3" t="str">
        <f>PROPER('Sales_RAW(BEFORE)'!X82)</f>
        <v>Delivered</v>
      </c>
      <c r="AA80" s="3" t="str" cm="1">
        <f t="array" ref="AA80">_xlfn.LET(
  _xlpm.val, TRIM(LOWER('Sales_RAW(BEFORE)'!Y82)),
  _xlfn.IFS(
    OR(_xlpm.val="yes", _xlpm.val="paid"), "Paid",
    OR(_xlpm.val="no", _xlpm.val="unpaid"), "Unpaid",
    OR(_xlpm.val="partial", _xlpm.val="partial paid"), "Partial",
    _xlpm.val="", "",
    TRUE, 'Sales_RAW(BEFORE)'!AY82
  )
)</f>
        <v>Partial</v>
      </c>
      <c r="AB80" s="3" t="s">
        <v>1587</v>
      </c>
      <c r="AC80" s="3" t="str">
        <f>PROPER('Sales_RAW(BEFORE)'!AA82)</f>
        <v>Store</v>
      </c>
      <c r="AD80" s="3" t="str">
        <f>SUBSTITUTE(SUBSTITUTE(SUBSTITUTE(SUBSTITUTE('Sales_RAW(BEFORE)'!AB82,"st",""),"q",""),"Q",""),"uarter","")</f>
        <v>1</v>
      </c>
      <c r="AE80" s="3" t="str">
        <f>TEXT(IFERROR(DATEVALUE('Sales_RAW(BEFORE)'!AC82 &amp; " 1"), IFERROR(DATE(2025, 'Sales_RAW(BEFORE)'!AC82, 1), 'Sales_RAW(BEFORE)'!AC82)), "mmmm")</f>
        <v>June</v>
      </c>
      <c r="AF80" s="3">
        <f>_xlfn.LET(
  _xlpm.raw, TRIM(SUBSTITUTE('Sales_RAW(BEFORE)'!AD82, "'", "")),
  _xlpm.num, IFERROR(VALUE(_xlpm.raw), 0),
  IF(_xlpm.num &lt; 100, 2000 + _xlpm.num, _xlpm.num)
)</f>
        <v>2025</v>
      </c>
      <c r="AG80" s="3" t="str">
        <f>PROPER('Sales_RAW(BEFORE)'!AE82)</f>
        <v>Net 60</v>
      </c>
      <c r="AH80" s="3" cm="1">
        <f t="array" ref="AH80">_xlfn.LET(
  _xlpm.val, LOWER(TRIM('Sales_RAW(BEFORE)'!AF82)),
  _xlfn.IFS(
    OR(_xlpm.val="", _xlpm.val="null", _xlpm.val="N/A", _xlpm.val="-", _xlpm.val="#N/A"), 0,
    ISNUMBER('Sales_RAW(BEFORE)'!AF82), 'Sales_RAW(BEFORE)'!AF82,
    TRUE, IFERROR(_xlfn.NUMBERVALUE(_xlpm.val), 0)
  )
)</f>
        <v>85</v>
      </c>
      <c r="AI80" s="5">
        <f>IF(IFERROR(VALUE(SUBSTITUTE(SUBSTITUTE(TRIM('Sales_RAW(BEFORE)'!AG82), "%", ""), ",", ".")), 0) &gt; 1, IFERROR(VALUE(SUBSTITUTE(SUBSTITUTE(TRIM('Sales_RAW(BEFORE)'!AG82), "%", ""), ",", ".")), 0) / 100, IFERROR(VALUE(SUBSTITUTE(SUBSTITUTE(TRIM('Sales_RAW(BEFORE)'!AG82), "%", ""), ",", ".")), 0))</f>
        <v>0.08</v>
      </c>
      <c r="AJ80" s="6">
        <f t="shared" si="6"/>
        <v>221.28800000000004</v>
      </c>
      <c r="AK80" s="6">
        <f t="shared" si="7"/>
        <v>2987.3880000000004</v>
      </c>
      <c r="AL80" s="6">
        <f>IFERROR(VALUE(SUBSTITUTE(SUBSTITUTE(SUBSTITUTE('Sales_RAW(BEFORE)'!AJ82,"$",""),"USD",""),",",".")),0)</f>
        <v>44.76</v>
      </c>
      <c r="AM80" s="3" t="str">
        <f>SUBSTITUTE(SUBSTITUTE(PROPER('Sales_RAW(BEFORE)'!AK82), "Fed Ex", "FedEx"),"Fedex","FedEx")</f>
        <v>Ups</v>
      </c>
      <c r="AN80" s="3" t="s">
        <v>1589</v>
      </c>
      <c r="AO80" s="3" t="str">
        <f>SUBSTITUTE('Sales_RAW(BEFORE)'!AM82,"kg","")</f>
        <v xml:space="preserve">22.9 </v>
      </c>
      <c r="AP80" s="3" t="str">
        <f>_xlfn.LET(
  _xlpm.raw, UPPER(TRIM('Sales_RAW(BEFORE)'!AN82)),
  _xlpm.clean, RIGHT(_xlpm.raw, 1),
  IF(OR(_xlpm.raw="", _xlpm.raw="null"), "N/A", _xlpm.clean)
)</f>
        <v>B</v>
      </c>
      <c r="AQ80" s="3">
        <v>278</v>
      </c>
      <c r="AR80" s="3" cm="1">
        <f t="array" ref="AR80">_xlfn.LET(
  _xlpm.raw, LOWER(TRIM('Sales_RAW(BEFORE)'!AP82)),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80" s="3"/>
      <c r="AT80" s="3"/>
      <c r="AU80" s="3"/>
      <c r="AV80" s="8">
        <f>IF(IFERROR(VALUE(SUBSTITUTE(SUBSTITUTE(TRIM('Sales_RAW(BEFORE)'!AT82), "%", ""), ",", ".")), 0) &gt; 1, IFERROR(VALUE(SUBSTITUTE(SUBSTITUTE(TRIM('Sales_RAW(BEFORE)'!AT82), "%", ""), ",", ".")), 0) / 100, IFERROR(VALUE(SUBSTITUTE(SUBSTITUTE(TRIM('Sales_RAW(BEFORE)'!AT82), "%", ""), ",", ".")), 0))</f>
        <v>0</v>
      </c>
      <c r="AW80" s="6">
        <f>BA80*(_xlfn.XLOOKUP(N80,Employees!$A$2:$A$26,Employees!$E$2:$E$26,2))</f>
        <v>71.697311999999997</v>
      </c>
      <c r="AX80" s="3" t="str">
        <f>PROPER('Sales_RAW(BEFORE)'!AV82)</f>
        <v xml:space="preserve">Emily Wilson   </v>
      </c>
      <c r="AY80" s="3" t="str">
        <f t="shared" si="8"/>
        <v xml:space="preserve">Emily Wilson   </v>
      </c>
      <c r="AZ80" s="3"/>
      <c r="BA80" s="24">
        <f>AK80*(1-(_xlfn.XLOOKUP(G80, Exchange_Rates!$B$8:$F$8, Exchange_Rates!$B$9:$F$9, 0)+J80))</f>
        <v>2389.9104000000002</v>
      </c>
      <c r="BB80" s="7" cm="1">
        <f t="array" ref="BB80">_xlfn.LET(
  _xlpm.raw_dt, SUBSTITUTE(TRIM(C80), ".", "/"),
  _xlpm.dt, IFERROR(DATEVALUE(_xlpm.raw_dt), C80),
  _xlpm.p_code, TRIM(E80),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46667</v>
      </c>
      <c r="BC80" s="25">
        <f t="shared" si="9"/>
        <v>0</v>
      </c>
    </row>
    <row r="81" spans="1:55" ht="15.75" thickBot="1" x14ac:dyDescent="0.3">
      <c r="A81" s="3" t="s">
        <v>1594</v>
      </c>
      <c r="B81" s="10">
        <f>DATE(2025,2,16)</f>
        <v>45704</v>
      </c>
      <c r="C81" s="4">
        <v>45716</v>
      </c>
      <c r="D81" s="3" t="str">
        <f>"P-" &amp; TEXT(VALUE(SUBSTITUTE(SUBSTITUTE(SUBSTITUTE(UPPER(TRIM('Sales_RAW(BEFORE)'!D83)), "P", ""), "-", ""), "_", "")),"000")</f>
        <v>P-041</v>
      </c>
      <c r="E81" s="3" t="str">
        <f>VLOOKUP(D81,Product_List!$A$2:$B$61,2,FALSE)</f>
        <v>Monitor X 41</v>
      </c>
      <c r="F81" s="3" t="str">
        <f>_xlfn.XLOOKUP(E81,Product_List!$B$2:$B$61,Product_List!$E$2:$E$61,2)</f>
        <v>TechSupply Co</v>
      </c>
      <c r="G81" s="3" t="str">
        <f>VLOOKUP(E81,Product_List!$B$2:$C$61,2,FALSE)</f>
        <v>Software</v>
      </c>
      <c r="H81" s="3" t="str">
        <f>SUBSTITUTE(SUBSTITUTE('Sales_RAW(BEFORE)'!G83,"kom",""),".","")</f>
        <v xml:space="preserve">19 </v>
      </c>
      <c r="I81" s="6">
        <f>VLOOKUP(E81,Product_List!$B$2:$D$61,3,FALSE)</f>
        <v>247.64</v>
      </c>
      <c r="J81" s="5">
        <f>IF(IFERROR(VALUE(SUBSTITUTE(SUBSTITUTE(TRIM('Sales_RAW(BEFORE)'!I83), "%", ""), ",", ".")), 0) &gt; 1, IFERROR(VALUE(SUBSTITUTE(SUBSTITUTE(TRIM('Sales_RAW(BEFORE)'!I83), "%", ""), ",", ".")), 0) / 100, IFERROR(VALUE(SUBSTITUTE(SUBSTITUTE(TRIM('Sales_RAW(BEFORE)'!I83), "%", ""), ",", ".")), 0))</f>
        <v>0.05</v>
      </c>
      <c r="K81" s="6">
        <f t="shared" si="5"/>
        <v>4705.16</v>
      </c>
      <c r="L81" s="6" t="str" cm="1">
        <f t="array" ref="L81">_xlfn.LET(
  _xlpm.valuta, UPPER(TRIM('Sales_RAW(BEFORE)'!K83)),
  _xlfn.IFS(
    _xlpm.valuta = "", "",
    OR(_xlpm.valuta = "USD", _xlpm.valuta = "$"), "$",
    OR(_xlpm.valuta = "EUR", _xlpm.valuta = "€"), "€",
    TRUE, _xlpm.valuta
  )
)</f>
        <v>$</v>
      </c>
      <c r="M81" s="3" t="str">
        <f>"E" &amp; TEXT(VALUE(SUBSTITUTE(SUBSTITUTE(SUBSTITUTE(UPPER(TRIM('Sales_RAW(BEFORE)'!L83)), "EMP", ""), "E", ""), "-", "")),"000")</f>
        <v>E018</v>
      </c>
      <c r="N81" s="3" t="str">
        <f>_xlfn.XLOOKUP(M81,Employees!$D$2:$D$26,Employees!$A$2:$A$26)</f>
        <v>John Miller</v>
      </c>
      <c r="O81" s="3" t="str">
        <f>_xlfn.XLOOKUP(N81,Employees!$A$2:$A$26,Employees!$C$2:$C$26,2)</f>
        <v>Retail</v>
      </c>
      <c r="P81" s="3" t="str">
        <f>PROPER('Sales_RAW(BEFORE)'!N83)</f>
        <v>South</v>
      </c>
      <c r="Q81" s="3" t="str">
        <f>VLOOKUP(N81,Employees!$A$2:$B$26,2,FALSE)</f>
        <v>Houston</v>
      </c>
      <c r="R81" s="3" t="str">
        <f>PROPER('Sales_RAW(BEFORE)'!P83)</f>
        <v>Globex Inc</v>
      </c>
      <c r="S81" s="3" t="str">
        <f>SUBSTITUTE(SUBSTITUTE('Sales_RAW(BEFORE)'!Q83,"EIN",""),":","")</f>
        <v xml:space="preserve"> 390686616</v>
      </c>
      <c r="T81" s="3" t="s">
        <v>66</v>
      </c>
      <c r="U81" s="3" t="s">
        <v>1604</v>
      </c>
      <c r="V81" s="3" t="s">
        <v>1605</v>
      </c>
      <c r="W81" s="3" t="s">
        <v>1606</v>
      </c>
      <c r="X81" s="3" t="s">
        <v>173</v>
      </c>
      <c r="Y81" s="3" t="str">
        <f>PROPER('Sales_RAW(BEFORE)'!W83)</f>
        <v>Credit Card</v>
      </c>
      <c r="Z81" s="3" t="str">
        <f>PROPER('Sales_RAW(BEFORE)'!X83)</f>
        <v>Cancelled</v>
      </c>
      <c r="AA81" s="3" t="str" cm="1">
        <f t="array" ref="AA81">_xlfn.LET(
  _xlpm.val, TRIM(LOWER('Sales_RAW(BEFORE)'!Y83)),
  _xlfn.IFS(
    OR(_xlpm.val="yes", _xlpm.val="paid"), "Paid",
    OR(_xlpm.val="no", _xlpm.val="unpaid"), "Unpaid",
    OR(_xlpm.val="partial", _xlpm.val="partial paid"), "Partial",
    _xlpm.val="", "",
    TRUE, 'Sales_RAW(BEFORE)'!AY83
  )
)</f>
        <v>Paid</v>
      </c>
      <c r="AB81" s="3" t="s">
        <v>1607</v>
      </c>
      <c r="AC81" s="3" t="str">
        <f>PROPER('Sales_RAW(BEFORE)'!AA83)</f>
        <v>Web</v>
      </c>
      <c r="AD81" s="3" t="str">
        <f>SUBSTITUTE(SUBSTITUTE(SUBSTITUTE(SUBSTITUTE('Sales_RAW(BEFORE)'!AB83,"st",""),"q",""),"Q",""),"uarter","")</f>
        <v>2</v>
      </c>
      <c r="AE81" s="3" t="str">
        <f>TEXT(IFERROR(DATEVALUE('Sales_RAW(BEFORE)'!AC83 &amp; " 1"), IFERROR(DATE(2025, 'Sales_RAW(BEFORE)'!AC83, 1), 'Sales_RAW(BEFORE)'!AC83)), "mmmm")</f>
        <v>February</v>
      </c>
      <c r="AF81" s="3">
        <f>_xlfn.LET(
  _xlpm.raw, TRIM(SUBSTITUTE('Sales_RAW(BEFORE)'!AD83, "'", "")),
  _xlpm.num, IFERROR(VALUE(_xlpm.raw), 0),
  IF(_xlpm.num &lt; 100, 2000 + _xlpm.num, _xlpm.num)
)</f>
        <v>2025</v>
      </c>
      <c r="AG81" s="3" t="str">
        <f>PROPER('Sales_RAW(BEFORE)'!AE83)</f>
        <v>15</v>
      </c>
      <c r="AH81" s="3" cm="1">
        <f t="array" ref="AH81">_xlfn.LET(
  _xlpm.val, LOWER(TRIM('Sales_RAW(BEFORE)'!AF83)),
  _xlfn.IFS(
    OR(_xlpm.val="", _xlpm.val="null", _xlpm.val="N/A", _xlpm.val="-", _xlpm.val="#N/A"), 0,
    ISNUMBER('Sales_RAW(BEFORE)'!AF83), 'Sales_RAW(BEFORE)'!AF83,
    TRUE, IFERROR(_xlfn.NUMBERVALUE(_xlpm.val), 0)
  )
)</f>
        <v>39</v>
      </c>
      <c r="AI81" s="5">
        <f>IF(IFERROR(VALUE(SUBSTITUTE(SUBSTITUTE(TRIM('Sales_RAW(BEFORE)'!AG83), "%", ""), ",", ".")), 0) &gt; 1, IFERROR(VALUE(SUBSTITUTE(SUBSTITUTE(TRIM('Sales_RAW(BEFORE)'!AG83), "%", ""), ",", ".")), 0) / 100, IFERROR(VALUE(SUBSTITUTE(SUBSTITUTE(TRIM('Sales_RAW(BEFORE)'!AG83), "%", ""), ",", ".")), 0))</f>
        <v>0.08</v>
      </c>
      <c r="AJ81" s="6">
        <f t="shared" si="6"/>
        <v>376.4128</v>
      </c>
      <c r="AK81" s="6">
        <f t="shared" si="7"/>
        <v>5081.5727999999999</v>
      </c>
      <c r="AL81" s="6">
        <f>IFERROR(VALUE(SUBSTITUTE(SUBSTITUTE(SUBSTITUTE('Sales_RAW(BEFORE)'!AJ83,"$",""),"USD",""),",",".")),0)</f>
        <v>2.71</v>
      </c>
      <c r="AM81" s="3" t="str">
        <f>SUBSTITUTE(SUBSTITUTE(PROPER('Sales_RAW(BEFORE)'!AK83), "Fed Ex", "FedEx"),"Fedex","FedEx")</f>
        <v>FedEx</v>
      </c>
      <c r="AN81" s="3" t="s">
        <v>1609</v>
      </c>
      <c r="AO81" s="3" t="str">
        <f>SUBSTITUTE('Sales_RAW(BEFORE)'!AM83,"kg","")</f>
        <v>15.7</v>
      </c>
      <c r="AP81" s="3" t="str">
        <f>_xlfn.LET(
  _xlpm.raw, UPPER(TRIM('Sales_RAW(BEFORE)'!AN83)),
  _xlpm.clean, RIGHT(_xlpm.raw, 1),
  IF(OR(_xlpm.raw="", _xlpm.raw="null"), "N/A", _xlpm.clean)
)</f>
        <v>A</v>
      </c>
      <c r="AQ81" s="3">
        <v>160</v>
      </c>
      <c r="AR81" s="3" cm="1">
        <f t="array" ref="AR81">_xlfn.LET(
  _xlpm.raw, LOWER(TRIM('Sales_RAW(BEFORE)'!AP83)),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81" s="3"/>
      <c r="AT81" s="3"/>
      <c r="AU81" s="3"/>
      <c r="AV81" s="8">
        <f>IF(IFERROR(VALUE(SUBSTITUTE(SUBSTITUTE(TRIM('Sales_RAW(BEFORE)'!AT83), "%", ""), ",", ".")), 0) &gt; 1, IFERROR(VALUE(SUBSTITUTE(SUBSTITUTE(TRIM('Sales_RAW(BEFORE)'!AT83), "%", ""), ",", ".")), 0) / 100, IFERROR(VALUE(SUBSTITUTE(SUBSTITUTE(TRIM('Sales_RAW(BEFORE)'!AT83), "%", ""), ",", ".")), 0))</f>
        <v>0</v>
      </c>
      <c r="AW81" s="6">
        <f>BA81*(_xlfn.XLOOKUP(N81,Employees!$A$2:$A$26,Employees!$E$2:$E$26,2))</f>
        <v>81.3051648</v>
      </c>
      <c r="AX81" s="3" t="str">
        <f>PROPER('Sales_RAW(BEFORE)'!AV83)</f>
        <v xml:space="preserve">   Daniel Smith</v>
      </c>
      <c r="AY81" s="3" t="str">
        <f t="shared" si="8"/>
        <v xml:space="preserve">   Daniel Smith</v>
      </c>
      <c r="AZ81" s="3"/>
      <c r="BA81" s="24">
        <f>AK81*(1-(_xlfn.XLOOKUP(G81, Exchange_Rates!$B$8:$F$8, Exchange_Rates!$B$9:$F$9, 0)+J81))</f>
        <v>4065.2582400000001</v>
      </c>
      <c r="BB81" s="7" cm="1">
        <f t="array" ref="BB81">_xlfn.LET(
  _xlpm.raw_dt, SUBSTITUTE(TRIM(C81), ".", "/"),
  _xlpm.dt, IFERROR(DATEVALUE(_xlpm.raw_dt), C81),
  _xlpm.p_code, TRIM(E81),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46446</v>
      </c>
      <c r="BC81" s="25">
        <f t="shared" si="9"/>
        <v>0</v>
      </c>
    </row>
    <row r="82" spans="1:55" ht="15.75" thickBot="1" x14ac:dyDescent="0.3">
      <c r="A82" s="3" t="s">
        <v>1612</v>
      </c>
      <c r="B82" s="10">
        <v>45678</v>
      </c>
      <c r="C82" s="4">
        <v>45684</v>
      </c>
      <c r="D82" s="3" t="str">
        <f>"P-" &amp; TEXT(VALUE(SUBSTITUTE(SUBSTITUTE(SUBSTITUTE(UPPER(TRIM('Sales_RAW(BEFORE)'!D84)), "P", ""), "-", ""), "_", "")),"000")</f>
        <v>P-045</v>
      </c>
      <c r="E82" s="3" t="str">
        <f>VLOOKUP(D82,Product_List!$A$2:$B$61,2,FALSE)</f>
        <v>Keyboard Max 45</v>
      </c>
      <c r="F82" s="3" t="str">
        <f>_xlfn.XLOOKUP(E82,Product_List!$B$2:$B$61,Product_List!$E$2:$E$61,2)</f>
        <v>TechSupply Co</v>
      </c>
      <c r="G82" s="3" t="str">
        <f>VLOOKUP(E82,Product_List!$B$2:$C$61,2,FALSE)</f>
        <v>Software</v>
      </c>
      <c r="H82" s="3" t="str">
        <f>SUBSTITUTE(SUBSTITUTE('Sales_RAW(BEFORE)'!G84,"kom",""),".","")</f>
        <v>8</v>
      </c>
      <c r="I82" s="6">
        <f>VLOOKUP(E82,Product_List!$B$2:$D$61,3,FALSE)</f>
        <v>227.08</v>
      </c>
      <c r="J82" s="5">
        <f>IF(IFERROR(VALUE(SUBSTITUTE(SUBSTITUTE(TRIM('Sales_RAW(BEFORE)'!I84), "%", ""), ",", ".")), 0) &gt; 1, IFERROR(VALUE(SUBSTITUTE(SUBSTITUTE(TRIM('Sales_RAW(BEFORE)'!I84), "%", ""), ",", ".")), 0) / 100, IFERROR(VALUE(SUBSTITUTE(SUBSTITUTE(TRIM('Sales_RAW(BEFORE)'!I84), "%", ""), ",", ".")), 0))</f>
        <v>0</v>
      </c>
      <c r="K82" s="6">
        <f t="shared" si="5"/>
        <v>1816.64</v>
      </c>
      <c r="L82" s="6" t="str" cm="1">
        <f t="array" ref="L82">_xlfn.LET(
  _xlpm.valuta, UPPER(TRIM('Sales_RAW(BEFORE)'!K84)),
  _xlfn.IFS(
    _xlpm.valuta = "", "",
    OR(_xlpm.valuta = "USD", _xlpm.valuta = "$"), "$",
    OR(_xlpm.valuta = "EUR", _xlpm.valuta = "€"), "€",
    TRUE, _xlpm.valuta
  )
)</f>
        <v>$</v>
      </c>
      <c r="M82" s="3" t="str">
        <f>"E" &amp; TEXT(VALUE(SUBSTITUTE(SUBSTITUTE(SUBSTITUTE(UPPER(TRIM('Sales_RAW(BEFORE)'!L84)), "EMP", ""), "E", ""), "-", "")),"000")</f>
        <v>E023</v>
      </c>
      <c r="N82" s="3" t="str">
        <f>_xlfn.XLOOKUP(M82,Employees!$D$2:$D$26,Employees!$A$2:$A$26)</f>
        <v>Laura Anderson</v>
      </c>
      <c r="O82" s="3" t="str">
        <f>_xlfn.XLOOKUP(N82,Employees!$A$2:$A$26,Employees!$C$2:$C$26,2)</f>
        <v>Sales</v>
      </c>
      <c r="P82" s="3" t="str">
        <f>PROPER('Sales_RAW(BEFORE)'!N84)</f>
        <v>West</v>
      </c>
      <c r="Q82" s="3" t="str">
        <f>VLOOKUP(N82,Employees!$A$2:$B$26,2,FALSE)</f>
        <v>Seattle</v>
      </c>
      <c r="R82" s="3" t="str">
        <f>PROPER('Sales_RAW(BEFORE)'!P84)</f>
        <v>Vortex Inc.</v>
      </c>
      <c r="S82" s="3" t="str">
        <f>SUBSTITUTE(SUBSTITUTE('Sales_RAW(BEFORE)'!Q84,"EIN",""),":","")</f>
        <v>236601477</v>
      </c>
      <c r="T82" s="3" t="s">
        <v>976</v>
      </c>
      <c r="U82" s="3" t="s">
        <v>1619</v>
      </c>
      <c r="V82" s="3" t="s">
        <v>1620</v>
      </c>
      <c r="W82" s="3" t="s">
        <v>1621</v>
      </c>
      <c r="X82" s="3" t="s">
        <v>173</v>
      </c>
      <c r="Y82" s="3" t="str">
        <f>PROPER('Sales_RAW(BEFORE)'!W84)</f>
        <v>Credit Card</v>
      </c>
      <c r="Z82" s="3" t="str">
        <f>PROPER('Sales_RAW(BEFORE)'!X84)</f>
        <v>Cancelled</v>
      </c>
      <c r="AA82" s="3" t="str" cm="1">
        <f t="array" ref="AA82">_xlfn.LET(
  _xlpm.val, TRIM(LOWER('Sales_RAW(BEFORE)'!Y84)),
  _xlfn.IFS(
    OR(_xlpm.val="yes", _xlpm.val="paid"), "Paid",
    OR(_xlpm.val="no", _xlpm.val="unpaid"), "Unpaid",
    OR(_xlpm.val="partial", _xlpm.val="partial paid"), "Partial",
    _xlpm.val="", "",
    TRUE, 'Sales_RAW(BEFORE)'!AY84
  )
)</f>
        <v>Paid</v>
      </c>
      <c r="AB82" s="3" t="s">
        <v>1622</v>
      </c>
      <c r="AC82" s="3" t="str">
        <f>PROPER('Sales_RAW(BEFORE)'!AA84)</f>
        <v>Online</v>
      </c>
      <c r="AD82" s="3" t="str">
        <f>SUBSTITUTE(SUBSTITUTE(SUBSTITUTE(SUBSTITUTE('Sales_RAW(BEFORE)'!AB84,"st",""),"q",""),"Q",""),"uarter","")</f>
        <v>2</v>
      </c>
      <c r="AE82" s="3" t="str">
        <f>TEXT(IFERROR(DATEVALUE('Sales_RAW(BEFORE)'!AC84 &amp; " 1"), IFERROR(DATE(2025, 'Sales_RAW(BEFORE)'!AC84, 1), 'Sales_RAW(BEFORE)'!AC84)), "mmmm")</f>
        <v>January</v>
      </c>
      <c r="AF82" s="3">
        <f>_xlfn.LET(
  _xlpm.raw, TRIM(SUBSTITUTE('Sales_RAW(BEFORE)'!AD84, "'", "")),
  _xlpm.num, IFERROR(VALUE(_xlpm.raw), 0),
  IF(_xlpm.num &lt; 100, 2000 + _xlpm.num, _xlpm.num)
)</f>
        <v>2025</v>
      </c>
      <c r="AG82" s="3" t="str">
        <f>PROPER('Sales_RAW(BEFORE)'!AE84)</f>
        <v>Immediate</v>
      </c>
      <c r="AH82" s="3" cm="1">
        <f t="array" ref="AH82">_xlfn.LET(
  _xlpm.val, LOWER(TRIM('Sales_RAW(BEFORE)'!AF84)),
  _xlfn.IFS(
    OR(_xlpm.val="", _xlpm.val="null", _xlpm.val="N/A", _xlpm.val="-", _xlpm.val="#N/A"), 0,
    ISNUMBER('Sales_RAW(BEFORE)'!AF84), 'Sales_RAW(BEFORE)'!AF84,
    TRUE, IFERROR(_xlfn.NUMBERVALUE(_xlpm.val), 0)
  )
)</f>
        <v>33</v>
      </c>
      <c r="AI82" s="5">
        <f>IF(IFERROR(VALUE(SUBSTITUTE(SUBSTITUTE(TRIM('Sales_RAW(BEFORE)'!AG84), "%", ""), ",", ".")), 0) &gt; 1, IFERROR(VALUE(SUBSTITUTE(SUBSTITUTE(TRIM('Sales_RAW(BEFORE)'!AG84), "%", ""), ",", ".")), 0) / 100, IFERROR(VALUE(SUBSTITUTE(SUBSTITUTE(TRIM('Sales_RAW(BEFORE)'!AG84), "%", ""), ",", ".")), 0))</f>
        <v>0.08</v>
      </c>
      <c r="AJ82" s="6">
        <f t="shared" si="6"/>
        <v>145.33120000000002</v>
      </c>
      <c r="AK82" s="6">
        <f t="shared" si="7"/>
        <v>1961.9712000000002</v>
      </c>
      <c r="AL82" s="6">
        <f>IFERROR(VALUE(SUBSTITUTE(SUBSTITUTE(SUBSTITUTE('Sales_RAW(BEFORE)'!AJ84,"$",""),"USD",""),",",".")),0)</f>
        <v>25.1</v>
      </c>
      <c r="AM82" s="3" t="str">
        <f>SUBSTITUTE(SUBSTITUTE(PROPER('Sales_RAW(BEFORE)'!AK84), "Fed Ex", "FedEx"),"Fedex","FedEx")</f>
        <v>Dhl</v>
      </c>
      <c r="AN82" s="3" t="s">
        <v>1624</v>
      </c>
      <c r="AO82" s="3" t="str">
        <f>SUBSTITUTE('Sales_RAW(BEFORE)'!AM84,"kg","")</f>
        <v xml:space="preserve">14.5 </v>
      </c>
      <c r="AP82" s="3" t="str">
        <f>_xlfn.LET(
  _xlpm.raw, UPPER(TRIM('Sales_RAW(BEFORE)'!AN84)),
  _xlpm.clean, RIGHT(_xlpm.raw, 1),
  IF(OR(_xlpm.raw="", _xlpm.raw="null"), "N/A", _xlpm.clean)
)</f>
        <v>B</v>
      </c>
      <c r="AQ82" s="3">
        <v>328</v>
      </c>
      <c r="AR82" s="3" cm="1">
        <f t="array" ref="AR82">_xlfn.LET(
  _xlpm.raw, LOWER(TRIM('Sales_RAW(BEFORE)'!AP84)),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82" s="3"/>
      <c r="AT82" s="3"/>
      <c r="AU82" s="3"/>
      <c r="AV82" s="8">
        <f>IF(IFERROR(VALUE(SUBSTITUTE(SUBSTITUTE(TRIM('Sales_RAW(BEFORE)'!AT84), "%", ""), ",", ".")), 0) &gt; 1, IFERROR(VALUE(SUBSTITUTE(SUBSTITUTE(TRIM('Sales_RAW(BEFORE)'!AT84), "%", ""), ",", ".")), 0) / 100, IFERROR(VALUE(SUBSTITUTE(SUBSTITUTE(TRIM('Sales_RAW(BEFORE)'!AT84), "%", ""), ",", ".")), 0))</f>
        <v>0.3</v>
      </c>
      <c r="AW82" s="6">
        <f>BA82*(_xlfn.XLOOKUP(N82,Employees!$A$2:$A$26,Employees!$E$2:$E$26,2))</f>
        <v>33.353510399999998</v>
      </c>
      <c r="AX82" s="3" t="str">
        <f>PROPER('Sales_RAW(BEFORE)'!AV84)</f>
        <v>Sarah Jones</v>
      </c>
      <c r="AY82" s="3" t="str">
        <f t="shared" si="8"/>
        <v>Sarah Jones</v>
      </c>
      <c r="AZ82" s="3"/>
      <c r="BA82" s="24">
        <f>AK82*(1-(_xlfn.XLOOKUP(G82, Exchange_Rates!$B$8:$F$8, Exchange_Rates!$B$9:$F$9, 0)+J82))</f>
        <v>1667.67552</v>
      </c>
      <c r="BB82" s="7" cm="1">
        <f t="array" ref="BB82">_xlfn.LET(
  _xlpm.raw_dt, SUBSTITUTE(TRIM(C82), ".", "/"),
  _xlpm.dt, IFERROR(DATEVALUE(_xlpm.raw_dt), C82),
  _xlpm.p_code, TRIM(E82),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46779</v>
      </c>
      <c r="BC82" s="25">
        <f t="shared" si="9"/>
        <v>500.30265599999996</v>
      </c>
    </row>
    <row r="83" spans="1:55" ht="15.75" thickBot="1" x14ac:dyDescent="0.3">
      <c r="A83" s="3" t="s">
        <v>1628</v>
      </c>
      <c r="B83" s="10">
        <v>45835</v>
      </c>
      <c r="C83" s="4">
        <v>45849</v>
      </c>
      <c r="D83" s="3" t="str">
        <f>"P-" &amp; TEXT(VALUE(SUBSTITUTE(SUBSTITUTE(SUBSTITUTE(UPPER(TRIM('Sales_RAW(BEFORE)'!D85)), "P", ""), "-", ""), "_", "")),"000")</f>
        <v>P-040</v>
      </c>
      <c r="E83" s="3" t="str">
        <f>VLOOKUP(D83,Product_List!$A$2:$B$61,2,FALSE)</f>
        <v>Monitor Plus 40</v>
      </c>
      <c r="F83" s="3" t="str">
        <f>_xlfn.XLOOKUP(E83,Product_List!$B$2:$B$61,Product_List!$E$2:$E$61,2)</f>
        <v>TechSupply Co</v>
      </c>
      <c r="G83" s="3" t="str">
        <f>VLOOKUP(E83,Product_List!$B$2:$C$61,2,FALSE)</f>
        <v>Software</v>
      </c>
      <c r="H83" s="3" t="str">
        <f>SUBSTITUTE(SUBSTITUTE('Sales_RAW(BEFORE)'!G85,"kom",""),".","")</f>
        <v xml:space="preserve">33 </v>
      </c>
      <c r="I83" s="6">
        <f>VLOOKUP(E83,Product_List!$B$2:$D$61,3,FALSE)</f>
        <v>98.06</v>
      </c>
      <c r="J83" s="5">
        <f>IF(IFERROR(VALUE(SUBSTITUTE(SUBSTITUTE(TRIM('Sales_RAW(BEFORE)'!I85), "%", ""), ",", ".")), 0) &gt; 1, IFERROR(VALUE(SUBSTITUTE(SUBSTITUTE(TRIM('Sales_RAW(BEFORE)'!I85), "%", ""), ",", ".")), 0) / 100, IFERROR(VALUE(SUBSTITUTE(SUBSTITUTE(TRIM('Sales_RAW(BEFORE)'!I85), "%", ""), ",", ".")), 0))</f>
        <v>0.1</v>
      </c>
      <c r="K83" s="6">
        <f t="shared" si="5"/>
        <v>3235.98</v>
      </c>
      <c r="L83" s="6" t="str" cm="1">
        <f t="array" ref="L83">_xlfn.LET(
  _xlpm.valuta, UPPER(TRIM('Sales_RAW(BEFORE)'!K85)),
  _xlfn.IFS(
    _xlpm.valuta = "", "",
    OR(_xlpm.valuta = "USD", _xlpm.valuta = "$"), "$",
    OR(_xlpm.valuta = "EUR", _xlpm.valuta = "€"), "€",
    TRUE, _xlpm.valuta
  )
)</f>
        <v>$</v>
      </c>
      <c r="M83" s="3" t="str">
        <f>"E" &amp; TEXT(VALUE(SUBSTITUTE(SUBSTITUTE(SUBSTITUTE(UPPER(TRIM('Sales_RAW(BEFORE)'!L85)), "EMP", ""), "E", ""), "-", "")),"000")</f>
        <v>E005</v>
      </c>
      <c r="N83" s="3" t="str">
        <f>_xlfn.XLOOKUP(M83,Employees!$D$2:$D$26,Employees!$A$2:$A$26)</f>
        <v>Laura Williams</v>
      </c>
      <c r="O83" s="3" t="str">
        <f>_xlfn.XLOOKUP(N83,Employees!$A$2:$A$26,Employees!$C$2:$C$26,2)</f>
        <v>Online</v>
      </c>
      <c r="P83" s="3" t="str">
        <f>PROPER('Sales_RAW(BEFORE)'!N85)</f>
        <v>West</v>
      </c>
      <c r="Q83" s="3" t="str">
        <f>VLOOKUP(N83,Employees!$A$2:$B$26,2,FALSE)</f>
        <v>Houston</v>
      </c>
      <c r="R83" s="3" t="str">
        <f>PROPER('Sales_RAW(BEFORE)'!P85)</f>
        <v xml:space="preserve">Umbrella Inc.   </v>
      </c>
      <c r="S83" s="3" t="str">
        <f>SUBSTITUTE(SUBSTITUTE('Sales_RAW(BEFORE)'!Q85,"EIN",""),":","")</f>
        <v xml:space="preserve"> 644652046</v>
      </c>
      <c r="T83" s="3" t="s">
        <v>505</v>
      </c>
      <c r="U83" s="3" t="s">
        <v>1636</v>
      </c>
      <c r="V83" s="3" t="s">
        <v>1637</v>
      </c>
      <c r="W83" s="3" t="s">
        <v>1638</v>
      </c>
      <c r="X83" s="3" t="s">
        <v>173</v>
      </c>
      <c r="Y83" s="3" t="str">
        <f>PROPER('Sales_RAW(BEFORE)'!W85)</f>
        <v>Wire Transfer</v>
      </c>
      <c r="Z83" s="3" t="str">
        <f>PROPER('Sales_RAW(BEFORE)'!X85)</f>
        <v>Processing</v>
      </c>
      <c r="AA83" s="3" t="str" cm="1">
        <f t="array" ref="AA83">_xlfn.LET(
  _xlpm.val, TRIM(LOWER('Sales_RAW(BEFORE)'!Y85)),
  _xlfn.IFS(
    OR(_xlpm.val="yes", _xlpm.val="paid"), "Paid",
    OR(_xlpm.val="no", _xlpm.val="unpaid"), "Unpaid",
    OR(_xlpm.val="partial", _xlpm.val="partial paid"), "Partial",
    _xlpm.val="", "",
    TRUE, 'Sales_RAW(BEFORE)'!AY85
  )
)</f>
        <v>Partial</v>
      </c>
      <c r="AB83" s="3" t="s">
        <v>1639</v>
      </c>
      <c r="AC83" s="3" t="str">
        <f>PROPER('Sales_RAW(BEFORE)'!AA85)</f>
        <v>Online</v>
      </c>
      <c r="AD83" s="3" t="str">
        <f>SUBSTITUTE(SUBSTITUTE(SUBSTITUTE(SUBSTITUTE('Sales_RAW(BEFORE)'!AB85,"st",""),"q",""),"Q",""),"uarter","")</f>
        <v>2</v>
      </c>
      <c r="AE83" s="3" t="str">
        <f>TEXT(IFERROR(DATEVALUE('Sales_RAW(BEFORE)'!AC85 &amp; " 1"), IFERROR(DATE(2025, 'Sales_RAW(BEFORE)'!AC85, 1), 'Sales_RAW(BEFORE)'!AC85)), "mmmm")</f>
        <v>June</v>
      </c>
      <c r="AF83" s="3">
        <f>_xlfn.LET(
  _xlpm.raw, TRIM(SUBSTITUTE('Sales_RAW(BEFORE)'!AD85, "'", "")),
  _xlpm.num, IFERROR(VALUE(_xlpm.raw), 0),
  IF(_xlpm.num &lt; 100, 2000 + _xlpm.num, _xlpm.num)
)</f>
        <v>2025</v>
      </c>
      <c r="AG83" s="3" t="str">
        <f>PROPER('Sales_RAW(BEFORE)'!AE85)</f>
        <v>Net 30</v>
      </c>
      <c r="AH83" s="3" cm="1">
        <f t="array" ref="AH83">_xlfn.LET(
  _xlpm.val, LOWER(TRIM('Sales_RAW(BEFORE)'!AF85)),
  _xlfn.IFS(
    OR(_xlpm.val="", _xlpm.val="null", _xlpm.val="N/A", _xlpm.val="-", _xlpm.val="#N/A"), 0,
    ISNUMBER('Sales_RAW(BEFORE)'!AF85), 'Sales_RAW(BEFORE)'!AF85,
    TRUE, IFERROR(_xlfn.NUMBERVALUE(_xlpm.val), 0)
  )
)</f>
        <v>0</v>
      </c>
      <c r="AI83" s="5">
        <f>IF(IFERROR(VALUE(SUBSTITUTE(SUBSTITUTE(TRIM('Sales_RAW(BEFORE)'!AG85), "%", ""), ",", ".")), 0) &gt; 1, IFERROR(VALUE(SUBSTITUTE(SUBSTITUTE(TRIM('Sales_RAW(BEFORE)'!AG85), "%", ""), ",", ".")), 0) / 100, IFERROR(VALUE(SUBSTITUTE(SUBSTITUTE(TRIM('Sales_RAW(BEFORE)'!AG85), "%", ""), ",", ".")), 0))</f>
        <v>0.08</v>
      </c>
      <c r="AJ83" s="6">
        <f t="shared" si="6"/>
        <v>258.8784</v>
      </c>
      <c r="AK83" s="6">
        <f t="shared" si="7"/>
        <v>3494.8584000000001</v>
      </c>
      <c r="AL83" s="6">
        <f>IFERROR(VALUE(SUBSTITUTE(SUBSTITUTE(SUBSTITUTE('Sales_RAW(BEFORE)'!AJ85,"$",""),"USD",""),",",".")),0)</f>
        <v>19.02</v>
      </c>
      <c r="AM83" s="3" t="str">
        <f>SUBSTITUTE(SUBSTITUTE(PROPER('Sales_RAW(BEFORE)'!AK85), "Fed Ex", "FedEx"),"Fedex","FedEx")</f>
        <v>Ups</v>
      </c>
      <c r="AN83" s="3" t="s">
        <v>1641</v>
      </c>
      <c r="AO83" s="3" t="str">
        <f>SUBSTITUTE('Sales_RAW(BEFORE)'!AM85,"kg","")</f>
        <v>4.33</v>
      </c>
      <c r="AP83" s="3" t="str">
        <f>_xlfn.LET(
  _xlpm.raw, UPPER(TRIM('Sales_RAW(BEFORE)'!AN85)),
  _xlpm.clean, RIGHT(_xlpm.raw, 1),
  IF(OR(_xlpm.raw="", _xlpm.raw="null"), "N/A", _xlpm.clean)
)</f>
        <v>A</v>
      </c>
      <c r="AQ83" s="3">
        <v>40</v>
      </c>
      <c r="AR83" s="3" cm="1">
        <f t="array" ref="AR83">_xlfn.LET(
  _xlpm.raw, LOWER(TRIM('Sales_RAW(BEFORE)'!AP85)),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83" s="3"/>
      <c r="AT83" s="3"/>
      <c r="AU83" s="3"/>
      <c r="AV83" s="8">
        <f>IF(IFERROR(VALUE(SUBSTITUTE(SUBSTITUTE(TRIM('Sales_RAW(BEFORE)'!AT85), "%", ""), ",", ".")), 0) &gt; 1, IFERROR(VALUE(SUBSTITUTE(SUBSTITUTE(TRIM('Sales_RAW(BEFORE)'!AT85), "%", ""), ",", ".")), 0) / 100, IFERROR(VALUE(SUBSTITUTE(SUBSTITUTE(TRIM('Sales_RAW(BEFORE)'!AT85), "%", ""), ",", ".")), 0))</f>
        <v>0.3</v>
      </c>
      <c r="AW83" s="6">
        <f>BA83*(_xlfn.XLOOKUP(N83,Employees!$A$2:$A$26,Employees!$E$2:$E$26,2))</f>
        <v>78.634313999999989</v>
      </c>
      <c r="AX83" s="3" t="str">
        <f>PROPER('Sales_RAW(BEFORE)'!AV85)</f>
        <v xml:space="preserve"> Sophia Smith  </v>
      </c>
      <c r="AY83" s="3" t="str">
        <f t="shared" si="8"/>
        <v xml:space="preserve"> Sophia Smith  </v>
      </c>
      <c r="AZ83" s="3"/>
      <c r="BA83" s="24">
        <f>AK83*(1-(_xlfn.XLOOKUP(G83, Exchange_Rates!$B$8:$F$8, Exchange_Rates!$B$9:$F$9, 0)+J83))</f>
        <v>2621.1437999999998</v>
      </c>
      <c r="BB83" s="7" cm="1">
        <f t="array" ref="BB83">_xlfn.LET(
  _xlpm.raw_dt, SUBSTITUTE(TRIM(C83), ".", "/"),
  _xlpm.dt, IFERROR(DATEVALUE(_xlpm.raw_dt), C83),
  _xlpm.p_code, TRIM(E83),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46579</v>
      </c>
      <c r="BC83" s="25">
        <f t="shared" si="9"/>
        <v>786.34313999999995</v>
      </c>
    </row>
    <row r="84" spans="1:55" ht="15.75" thickBot="1" x14ac:dyDescent="0.3">
      <c r="A84" s="3" t="s">
        <v>1644</v>
      </c>
      <c r="B84" s="10">
        <f>DATE(2026,2,7)</f>
        <v>46060</v>
      </c>
      <c r="C84" s="4">
        <v>46065</v>
      </c>
      <c r="D84" s="3" t="str">
        <f>"P-" &amp; TEXT(VALUE(SUBSTITUTE(SUBSTITUTE(SUBSTITUTE(UPPER(TRIM('Sales_RAW(BEFORE)'!D86)), "P", ""), "-", ""), "_", "")),"000")</f>
        <v>P-039</v>
      </c>
      <c r="E84" s="3" t="str">
        <f>VLOOKUP(D84,Product_List!$A$2:$B$61,2,FALSE)</f>
        <v>Cable Plus 39</v>
      </c>
      <c r="F84" s="3" t="str">
        <f>_xlfn.XLOOKUP(E84,Product_List!$B$2:$B$61,Product_List!$E$2:$E$61,2)</f>
        <v>TechSupply Co</v>
      </c>
      <c r="G84" s="3" t="str">
        <f>VLOOKUP(E84,Product_List!$B$2:$C$61,2,FALSE)</f>
        <v>Software</v>
      </c>
      <c r="H84" s="3" t="str">
        <f>SUBSTITUTE(SUBSTITUTE('Sales_RAW(BEFORE)'!G86,"kom",""),".","")</f>
        <v xml:space="preserve">36 </v>
      </c>
      <c r="I84" s="6">
        <f>VLOOKUP(E84,Product_List!$B$2:$D$61,3,FALSE)</f>
        <v>601.47</v>
      </c>
      <c r="J84" s="5">
        <f>IF(IFERROR(VALUE(SUBSTITUTE(SUBSTITUTE(TRIM('Sales_RAW(BEFORE)'!I86), "%", ""), ",", ".")), 0) &gt; 1, IFERROR(VALUE(SUBSTITUTE(SUBSTITUTE(TRIM('Sales_RAW(BEFORE)'!I86), "%", ""), ",", ".")), 0) / 100, IFERROR(VALUE(SUBSTITUTE(SUBSTITUTE(TRIM('Sales_RAW(BEFORE)'!I86), "%", ""), ",", ".")), 0))</f>
        <v>0</v>
      </c>
      <c r="K84" s="6">
        <f t="shared" si="5"/>
        <v>21652.920000000002</v>
      </c>
      <c r="L84" s="6" t="str" cm="1">
        <f t="array" ref="L84">_xlfn.LET(
  _xlpm.valuta, UPPER(TRIM('Sales_RAW(BEFORE)'!K86)),
  _xlfn.IFS(
    _xlpm.valuta = "", "",
    OR(_xlpm.valuta = "USD", _xlpm.valuta = "$"), "$",
    OR(_xlpm.valuta = "EUR", _xlpm.valuta = "€"), "€",
    TRUE, _xlpm.valuta
  )
)</f>
        <v>$</v>
      </c>
      <c r="M84" s="3" t="str">
        <f>"E" &amp; TEXT(VALUE(SUBSTITUTE(SUBSTITUTE(SUBSTITUTE(UPPER(TRIM('Sales_RAW(BEFORE)'!L86)), "EMP", ""), "E", ""), "-", "")),"000")</f>
        <v>E023</v>
      </c>
      <c r="N84" s="3" t="str">
        <f>_xlfn.XLOOKUP(M84,Employees!$D$2:$D$26,Employees!$A$2:$A$26)</f>
        <v>Laura Anderson</v>
      </c>
      <c r="O84" s="3" t="str">
        <f>_xlfn.XLOOKUP(N84,Employees!$A$2:$A$26,Employees!$C$2:$C$26,2)</f>
        <v>Sales</v>
      </c>
      <c r="P84" s="3" t="str">
        <f>PROPER('Sales_RAW(BEFORE)'!N86)</f>
        <v>North</v>
      </c>
      <c r="Q84" s="3" t="str">
        <f>VLOOKUP(N84,Employees!$A$2:$B$26,2,FALSE)</f>
        <v>Seattle</v>
      </c>
      <c r="R84" s="3" t="str">
        <f>PROPER('Sales_RAW(BEFORE)'!P86)</f>
        <v>Initech Inc</v>
      </c>
      <c r="S84" s="3" t="str">
        <f>SUBSTITUTE(SUBSTITUTE('Sales_RAW(BEFORE)'!Q86,"EIN",""),":","")</f>
        <v xml:space="preserve"> 438265607</v>
      </c>
      <c r="T84" s="3" t="s">
        <v>564</v>
      </c>
      <c r="U84" s="3" t="s">
        <v>1653</v>
      </c>
      <c r="V84" s="3" t="s">
        <v>1654</v>
      </c>
      <c r="W84" s="3" t="s">
        <v>1655</v>
      </c>
      <c r="X84" s="3" t="s">
        <v>173</v>
      </c>
      <c r="Y84" s="3" t="str">
        <f>PROPER('Sales_RAW(BEFORE)'!W86)</f>
        <v>Paypal</v>
      </c>
      <c r="Z84" s="3" t="str">
        <f>PROPER('Sales_RAW(BEFORE)'!X86)</f>
        <v>Cancelled</v>
      </c>
      <c r="AA84" s="3" t="str" cm="1">
        <f t="array" ref="AA84">_xlfn.LET(
  _xlpm.val, TRIM(LOWER('Sales_RAW(BEFORE)'!Y86)),
  _xlfn.IFS(
    OR(_xlpm.val="yes", _xlpm.val="paid"), "Paid",
    OR(_xlpm.val="no", _xlpm.val="unpaid"), "Unpaid",
    OR(_xlpm.val="partial", _xlpm.val="partial paid"), "Partial",
    _xlpm.val="", "",
    TRUE, 'Sales_RAW(BEFORE)'!AY86
  )
)</f>
        <v>Unpaid</v>
      </c>
      <c r="AB84" s="3" t="s">
        <v>1656</v>
      </c>
      <c r="AC84" s="3" t="str">
        <f>PROPER('Sales_RAW(BEFORE)'!AA86)</f>
        <v>Online</v>
      </c>
      <c r="AD84" s="3" t="str">
        <f>SUBSTITUTE(SUBSTITUTE(SUBSTITUTE(SUBSTITUTE('Sales_RAW(BEFORE)'!AB86,"st",""),"q",""),"Q",""),"uarter","")</f>
        <v>4</v>
      </c>
      <c r="AE84" s="3" t="str">
        <f>TEXT(IFERROR(DATEVALUE('Sales_RAW(BEFORE)'!AC86 &amp; " 1"), IFERROR(DATE(2025, 'Sales_RAW(BEFORE)'!AC86, 1), 'Sales_RAW(BEFORE)'!AC86)), "mmmm")</f>
        <v>February</v>
      </c>
      <c r="AF84" s="3">
        <f>_xlfn.LET(
  _xlpm.raw, TRIM(SUBSTITUTE('Sales_RAW(BEFORE)'!AD86, "'", "")),
  _xlpm.num, IFERROR(VALUE(_xlpm.raw), 0),
  IF(_xlpm.num &lt; 100, 2000 + _xlpm.num, _xlpm.num)
)</f>
        <v>2026</v>
      </c>
      <c r="AG84" s="3" t="str">
        <f>PROPER('Sales_RAW(BEFORE)'!AE86)</f>
        <v>Immediate</v>
      </c>
      <c r="AH84" s="3" cm="1">
        <f t="array" ref="AH84">_xlfn.LET(
  _xlpm.val, LOWER(TRIM('Sales_RAW(BEFORE)'!AF86)),
  _xlfn.IFS(
    OR(_xlpm.val="", _xlpm.val="null", _xlpm.val="N/A", _xlpm.val="-", _xlpm.val="#N/A"), 0,
    ISNUMBER('Sales_RAW(BEFORE)'!AF86), 'Sales_RAW(BEFORE)'!AF86,
    TRUE, IFERROR(_xlfn.NUMBERVALUE(_xlpm.val), 0)
  )
)</f>
        <v>0</v>
      </c>
      <c r="AI84" s="5">
        <f>IF(IFERROR(VALUE(SUBSTITUTE(SUBSTITUTE(TRIM('Sales_RAW(BEFORE)'!AG86), "%", ""), ",", ".")), 0) &gt; 1, IFERROR(VALUE(SUBSTITUTE(SUBSTITUTE(TRIM('Sales_RAW(BEFORE)'!AG86), "%", ""), ",", ".")), 0) / 100, IFERROR(VALUE(SUBSTITUTE(SUBSTITUTE(TRIM('Sales_RAW(BEFORE)'!AG86), "%", ""), ",", ".")), 0))</f>
        <v>0.08</v>
      </c>
      <c r="AJ84" s="6">
        <f t="shared" si="6"/>
        <v>1732.2336000000003</v>
      </c>
      <c r="AK84" s="6">
        <f t="shared" si="7"/>
        <v>23385.153600000001</v>
      </c>
      <c r="AL84" s="6">
        <f>IFERROR(VALUE(SUBSTITUTE(SUBSTITUTE(SUBSTITUTE('Sales_RAW(BEFORE)'!AJ86,"$",""),"USD",""),",",".")),0)</f>
        <v>19.91</v>
      </c>
      <c r="AM84" s="3" t="str">
        <f>SUBSTITUTE(SUBSTITUTE(PROPER('Sales_RAW(BEFORE)'!AK86), "Fed Ex", "FedEx"),"Fedex","FedEx")</f>
        <v>Ups</v>
      </c>
      <c r="AN84" s="3" t="s">
        <v>1658</v>
      </c>
      <c r="AO84" s="3" t="str">
        <f>SUBSTITUTE('Sales_RAW(BEFORE)'!AM86,"kg","")</f>
        <v>17.37</v>
      </c>
      <c r="AP84" s="3" t="str">
        <f>_xlfn.LET(
  _xlpm.raw, UPPER(TRIM('Sales_RAW(BEFORE)'!AN86)),
  _xlpm.clean, RIGHT(_xlpm.raw, 1),
  IF(OR(_xlpm.raw="", _xlpm.raw="null"), "N/A", _xlpm.clean)
)</f>
        <v>B</v>
      </c>
      <c r="AQ84" s="3">
        <v>384</v>
      </c>
      <c r="AR84" s="3" cm="1">
        <f t="array" ref="AR84">_xlfn.LET(
  _xlpm.raw, LOWER(TRIM('Sales_RAW(BEFORE)'!AP86)),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84" s="3"/>
      <c r="AT84" s="3"/>
      <c r="AU84" s="3"/>
      <c r="AV84" s="8">
        <f>IF(IFERROR(VALUE(SUBSTITUTE(SUBSTITUTE(TRIM('Sales_RAW(BEFORE)'!AT86), "%", ""), ",", ".")), 0) &gt; 1, IFERROR(VALUE(SUBSTITUTE(SUBSTITUTE(TRIM('Sales_RAW(BEFORE)'!AT86), "%", ""), ",", ".")), 0) / 100, IFERROR(VALUE(SUBSTITUTE(SUBSTITUTE(TRIM('Sales_RAW(BEFORE)'!AT86), "%", ""), ",", ".")), 0))</f>
        <v>0</v>
      </c>
      <c r="AW84" s="6">
        <f>BA84*(_xlfn.XLOOKUP(N84,Employees!$A$2:$A$26,Employees!$E$2:$E$26,2))</f>
        <v>397.54761120000006</v>
      </c>
      <c r="AX84" s="3" t="str">
        <f>PROPER('Sales_RAW(BEFORE)'!AV86)</f>
        <v>Emily Brown</v>
      </c>
      <c r="AY84" s="3" t="str">
        <f t="shared" si="8"/>
        <v>Emily Brown</v>
      </c>
      <c r="AZ84" s="3"/>
      <c r="BA84" s="24">
        <f>AK84*(1-(_xlfn.XLOOKUP(G84, Exchange_Rates!$B$8:$F$8, Exchange_Rates!$B$9:$F$9, 0)+J84))</f>
        <v>19877.380560000001</v>
      </c>
      <c r="BB84" s="7" cm="1">
        <f t="array" ref="BB84">_xlfn.LET(
  _xlpm.raw_dt, SUBSTITUTE(TRIM(C84), ".", "/"),
  _xlpm.dt, IFERROR(DATEVALUE(_xlpm.raw_dt), C84),
  _xlpm.p_code, TRIM(E84),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46430</v>
      </c>
      <c r="BC84" s="25">
        <f t="shared" si="9"/>
        <v>0</v>
      </c>
    </row>
    <row r="85" spans="1:55" ht="15.75" thickBot="1" x14ac:dyDescent="0.3">
      <c r="A85" s="3" t="s">
        <v>1661</v>
      </c>
      <c r="B85" s="10">
        <v>45671</v>
      </c>
      <c r="C85" s="4" t="s">
        <v>91</v>
      </c>
      <c r="D85" s="3" t="str">
        <f>"P-" &amp; TEXT(VALUE(SUBSTITUTE(SUBSTITUTE(SUBSTITUTE(UPPER(TRIM('Sales_RAW(BEFORE)'!D87)), "P", ""), "-", ""), "_", "")),"000")</f>
        <v>P-043</v>
      </c>
      <c r="E85" s="3" t="str">
        <f>VLOOKUP(D85,Product_List!$A$2:$B$61,2,FALSE)</f>
        <v>Headphones X 43</v>
      </c>
      <c r="F85" s="3" t="str">
        <f>_xlfn.XLOOKUP(E85,Product_List!$B$2:$B$61,Product_List!$E$2:$E$61,2)</f>
        <v>Global Distrib</v>
      </c>
      <c r="G85" s="3" t="str">
        <f>VLOOKUP(E85,Product_List!$B$2:$C$61,2,FALSE)</f>
        <v>Equipment</v>
      </c>
      <c r="H85" s="3" t="str">
        <f>SUBSTITUTE(SUBSTITUTE('Sales_RAW(BEFORE)'!G87,"kom",""),".","")</f>
        <v>22</v>
      </c>
      <c r="I85" s="6">
        <f>VLOOKUP(E85,Product_List!$B$2:$D$61,3,FALSE)</f>
        <v>156.69</v>
      </c>
      <c r="J85" s="5">
        <f>IF(IFERROR(VALUE(SUBSTITUTE(SUBSTITUTE(TRIM('Sales_RAW(BEFORE)'!I87), "%", ""), ",", ".")), 0) &gt; 1, IFERROR(VALUE(SUBSTITUTE(SUBSTITUTE(TRIM('Sales_RAW(BEFORE)'!I87), "%", ""), ",", ".")), 0) / 100, IFERROR(VALUE(SUBSTITUTE(SUBSTITUTE(TRIM('Sales_RAW(BEFORE)'!I87), "%", ""), ",", ".")), 0))</f>
        <v>0.1</v>
      </c>
      <c r="K85" s="6">
        <f>(H85*I85)/(HLOOKUP(AE85,Exchange_Rates!$B$1:$M$2,2,FALSE))</f>
        <v>3726.6810810810807</v>
      </c>
      <c r="L85" s="6" t="str" cm="1">
        <f t="array" ref="L85">_xlfn.LET(
  _xlpm.valuta, UPPER(TRIM('Sales_RAW(BEFORE)'!K87)),
  _xlfn.IFS(
    _xlpm.valuta = "", "",
    OR(_xlpm.valuta = "USD", _xlpm.valuta = "$"), "$",
    OR(_xlpm.valuta = "EUR", _xlpm.valuta = "€"), "€",
    TRUE, _xlpm.valuta
  )
)</f>
        <v>€</v>
      </c>
      <c r="M85" s="3" t="str">
        <f>"E" &amp; TEXT(VALUE(SUBSTITUTE(SUBSTITUTE(SUBSTITUTE(UPPER(TRIM('Sales_RAW(BEFORE)'!L87)), "EMP", ""), "E", ""), "-", "")),"000")</f>
        <v>E024</v>
      </c>
      <c r="N85" s="3" t="str">
        <f>_xlfn.XLOOKUP(M85,Employees!$D$2:$D$26,Employees!$A$2:$A$26)</f>
        <v>Robert Smith</v>
      </c>
      <c r="O85" s="3" t="str">
        <f>_xlfn.XLOOKUP(N85,Employees!$A$2:$A$26,Employees!$C$2:$C$26,2)</f>
        <v>Retail</v>
      </c>
      <c r="P85" s="3" t="str">
        <f>PROPER('Sales_RAW(BEFORE)'!N87)</f>
        <v>West</v>
      </c>
      <c r="Q85" s="3" t="str">
        <f>VLOOKUP(N85,Employees!$A$2:$B$26,2,FALSE)</f>
        <v>Chicago</v>
      </c>
      <c r="R85" s="3" t="str">
        <f>PROPER('Sales_RAW(BEFORE)'!P87)</f>
        <v xml:space="preserve">  Vortex Inc</v>
      </c>
      <c r="S85" s="3" t="str">
        <f>SUBSTITUTE(SUBSTITUTE('Sales_RAW(BEFORE)'!Q87,"EIN",""),":","")</f>
        <v>205902968</v>
      </c>
      <c r="T85" s="3" t="s">
        <v>142</v>
      </c>
      <c r="U85" s="3" t="s">
        <v>1672</v>
      </c>
      <c r="V85" s="3" t="s">
        <v>1673</v>
      </c>
      <c r="W85" s="3" t="s">
        <v>1674</v>
      </c>
      <c r="X85" s="3" t="s">
        <v>173</v>
      </c>
      <c r="Y85" s="3" t="str">
        <f>PROPER('Sales_RAW(BEFORE)'!W87)</f>
        <v>Credit Card</v>
      </c>
      <c r="Z85" s="3" t="str">
        <f>PROPER('Sales_RAW(BEFORE)'!X87)</f>
        <v>Pending</v>
      </c>
      <c r="AA85" s="3" t="str" cm="1">
        <f t="array" ref="AA85">_xlfn.LET(
  _xlpm.val, TRIM(LOWER('Sales_RAW(BEFORE)'!Y87)),
  _xlfn.IFS(
    OR(_xlpm.val="yes", _xlpm.val="paid"), "Paid",
    OR(_xlpm.val="no", _xlpm.val="unpaid"), "Unpaid",
    OR(_xlpm.val="partial", _xlpm.val="partial paid"), "Partial",
    _xlpm.val="", "",
    TRUE, 'Sales_RAW(BEFORE)'!AY87
  )
)</f>
        <v>Unpaid</v>
      </c>
      <c r="AB85" s="3" t="s">
        <v>1675</v>
      </c>
      <c r="AC85" s="3" t="str">
        <f>PROPER('Sales_RAW(BEFORE)'!AA87)</f>
        <v>Online</v>
      </c>
      <c r="AD85" s="3" t="str">
        <f>SUBSTITUTE(SUBSTITUTE(SUBSTITUTE(SUBSTITUTE('Sales_RAW(BEFORE)'!AB87,"st",""),"q",""),"Q",""),"uarter","")</f>
        <v>1</v>
      </c>
      <c r="AE85" s="3" t="str">
        <f>TEXT(IFERROR(DATEVALUE('Sales_RAW(BEFORE)'!AC87 &amp; " 1"), IFERROR(DATE(2025, 'Sales_RAW(BEFORE)'!AC87, 1), 'Sales_RAW(BEFORE)'!AC87)), "mmmm")</f>
        <v>January</v>
      </c>
      <c r="AF85" s="3">
        <f>_xlfn.LET(
  _xlpm.raw, TRIM(SUBSTITUTE('Sales_RAW(BEFORE)'!AD87, "'", "")),
  _xlpm.num, IFERROR(VALUE(_xlpm.raw), 0),
  IF(_xlpm.num &lt; 100, 2000 + _xlpm.num, _xlpm.num)
)</f>
        <v>2025</v>
      </c>
      <c r="AG85" s="3" t="str">
        <f>PROPER('Sales_RAW(BEFORE)'!AE87)</f>
        <v>Net 30</v>
      </c>
      <c r="AH85" s="3" cm="1">
        <f t="array" ref="AH85">_xlfn.LET(
  _xlpm.val, LOWER(TRIM('Sales_RAW(BEFORE)'!AF87)),
  _xlfn.IFS(
    OR(_xlpm.val="", _xlpm.val="null", _xlpm.val="N/A", _xlpm.val="-", _xlpm.val="#N/A"), 0,
    ISNUMBER('Sales_RAW(BEFORE)'!AF87), 'Sales_RAW(BEFORE)'!AF87,
    TRUE, IFERROR(_xlfn.NUMBERVALUE(_xlpm.val), 0)
  )
)</f>
        <v>0</v>
      </c>
      <c r="AI85" s="5">
        <f>IF(IFERROR(VALUE(SUBSTITUTE(SUBSTITUTE(TRIM('Sales_RAW(BEFORE)'!AG87), "%", ""), ",", ".")), 0) &gt; 1, IFERROR(VALUE(SUBSTITUTE(SUBSTITUTE(TRIM('Sales_RAW(BEFORE)'!AG87), "%", ""), ",", ".")), 0) / 100, IFERROR(VALUE(SUBSTITUTE(SUBSTITUTE(TRIM('Sales_RAW(BEFORE)'!AG87), "%", ""), ",", ".")), 0))</f>
        <v>0.08</v>
      </c>
      <c r="AJ85" s="6">
        <f t="shared" si="6"/>
        <v>298.13448648648648</v>
      </c>
      <c r="AK85" s="6">
        <f t="shared" si="7"/>
        <v>4024.8155675675671</v>
      </c>
      <c r="AL85" s="6">
        <f>IFERROR(VALUE(SUBSTITUTE(SUBSTITUTE(SUBSTITUTE('Sales_RAW(BEFORE)'!AJ87,"$",""),"USD",""),",",".")),0)</f>
        <v>47.68</v>
      </c>
      <c r="AM85" s="3" t="str">
        <f>SUBSTITUTE(SUBSTITUTE(PROPER('Sales_RAW(BEFORE)'!AK87), "Fed Ex", "FedEx"),"Fedex","FedEx")</f>
        <v>Dhl</v>
      </c>
      <c r="AN85" s="3" t="s">
        <v>1676</v>
      </c>
      <c r="AO85" s="3" t="str">
        <f>SUBSTITUTE('Sales_RAW(BEFORE)'!AM87,"kg","")</f>
        <v xml:space="preserve">6.6 </v>
      </c>
      <c r="AP85" s="3" t="str">
        <f>_xlfn.LET(
  _xlpm.raw, UPPER(TRIM('Sales_RAW(BEFORE)'!AN87)),
  _xlpm.clean, RIGHT(_xlpm.raw, 1),
  IF(OR(_xlpm.raw="", _xlpm.raw="null"), "N/A", _xlpm.clean)
)</f>
        <v>A</v>
      </c>
      <c r="AQ85" s="3">
        <v>477</v>
      </c>
      <c r="AR85" s="3" cm="1">
        <f t="array" ref="AR85">_xlfn.LET(
  _xlpm.raw, LOWER(TRIM('Sales_RAW(BEFORE)'!AP87)),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85" s="3"/>
      <c r="AT85" s="3"/>
      <c r="AU85" s="3"/>
      <c r="AV85" s="8">
        <f>IF(IFERROR(VALUE(SUBSTITUTE(SUBSTITUTE(TRIM('Sales_RAW(BEFORE)'!AT87), "%", ""), ",", ".")), 0) &gt; 1, IFERROR(VALUE(SUBSTITUTE(SUBSTITUTE(TRIM('Sales_RAW(BEFORE)'!AT87), "%", ""), ",", ".")), 0) / 100, IFERROR(VALUE(SUBSTITUTE(SUBSTITUTE(TRIM('Sales_RAW(BEFORE)'!AT87), "%", ""), ",", ".")), 0))</f>
        <v>0.25</v>
      </c>
      <c r="AW85" s="6">
        <f>BA85*(_xlfn.XLOOKUP(N85,Employees!$A$2:$A$26,Employees!$E$2:$E$26,2))</f>
        <v>64.397049081081079</v>
      </c>
      <c r="AX85" s="3" t="str">
        <f>PROPER('Sales_RAW(BEFORE)'!AV87)</f>
        <v>Sarah Miller</v>
      </c>
      <c r="AY85" s="3" t="str">
        <f t="shared" si="8"/>
        <v>Sarah Miller</v>
      </c>
      <c r="AZ85" s="3"/>
      <c r="BA85" s="24">
        <f>AK85*(1-(_xlfn.XLOOKUP(G85, Exchange_Rates!$B$8:$F$8, Exchange_Rates!$B$9:$F$9, 0)+J85))</f>
        <v>3219.8524540540539</v>
      </c>
      <c r="BB85" s="7" t="str" cm="1">
        <f t="array" ref="BB85">_xlfn.LET(
  _xlpm.raw_dt, SUBSTITUTE(TRIM(C85), ".", "/"),
  _xlpm.dt, IFERROR(DATEVALUE(_xlpm.raw_dt), C85),
  _xlpm.p_code, TRIM(E85),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Empty</v>
      </c>
      <c r="BC85" s="25">
        <f t="shared" si="9"/>
        <v>804.96311351351346</v>
      </c>
    </row>
    <row r="86" spans="1:55" ht="15.75" thickBot="1" x14ac:dyDescent="0.3">
      <c r="A86" s="3" t="s">
        <v>1680</v>
      </c>
      <c r="B86" s="10">
        <v>46176</v>
      </c>
      <c r="C86" s="4">
        <v>46240</v>
      </c>
      <c r="D86" s="3" t="str">
        <f>"P-" &amp; TEXT(VALUE(SUBSTITUTE(SUBSTITUTE(SUBSTITUTE(UPPER(TRIM('Sales_RAW(BEFORE)'!D88)), "P", ""), "-", ""), "_", "")),"000")</f>
        <v>P-038</v>
      </c>
      <c r="E86" s="3" t="str">
        <f>VLOOKUP(D86,Product_List!$A$2:$B$61,2,FALSE)</f>
        <v>Cable Max 38</v>
      </c>
      <c r="F86" s="3" t="str">
        <f>_xlfn.XLOOKUP(E86,Product_List!$B$2:$B$61,Product_List!$E$2:$E$61,2)</f>
        <v>TechSupply Co</v>
      </c>
      <c r="G86" s="3" t="str">
        <f>VLOOKUP(E86,Product_List!$B$2:$C$61,2,FALSE)</f>
        <v>Electronics</v>
      </c>
      <c r="H86" s="3" t="str">
        <f>SUBSTITUTE(SUBSTITUTE('Sales_RAW(BEFORE)'!G88,"kom",""),".","")</f>
        <v xml:space="preserve">3 </v>
      </c>
      <c r="I86" s="6">
        <f>VLOOKUP(E86,Product_List!$B$2:$D$61,3,FALSE)</f>
        <v>687.68</v>
      </c>
      <c r="J86" s="5">
        <f>IF(IFERROR(VALUE(SUBSTITUTE(SUBSTITUTE(TRIM('Sales_RAW(BEFORE)'!I88), "%", ""), ",", ".")), 0) &gt; 1, IFERROR(VALUE(SUBSTITUTE(SUBSTITUTE(TRIM('Sales_RAW(BEFORE)'!I88), "%", ""), ",", ".")), 0) / 100, IFERROR(VALUE(SUBSTITUTE(SUBSTITUTE(TRIM('Sales_RAW(BEFORE)'!I88), "%", ""), ",", ".")), 0))</f>
        <v>0.1</v>
      </c>
      <c r="K86" s="6">
        <f t="shared" si="5"/>
        <v>2063.04</v>
      </c>
      <c r="L86" s="6" t="str" cm="1">
        <f t="array" ref="L86">_xlfn.LET(
  _xlpm.valuta, UPPER(TRIM('Sales_RAW(BEFORE)'!K88)),
  _xlfn.IFS(
    _xlpm.valuta = "", "",
    OR(_xlpm.valuta = "USD", _xlpm.valuta = "$"), "$",
    OR(_xlpm.valuta = "EUR", _xlpm.valuta = "€"), "€",
    TRUE, _xlpm.valuta
  )
)</f>
        <v>$</v>
      </c>
      <c r="M86" s="3" t="str">
        <f>"E" &amp; TEXT(VALUE(SUBSTITUTE(SUBSTITUTE(SUBSTITUTE(UPPER(TRIM('Sales_RAW(BEFORE)'!L88)), "EMP", ""), "E", ""), "-", "")),"000")</f>
        <v>E006</v>
      </c>
      <c r="N86" s="3" t="str">
        <f>_xlfn.XLOOKUP(M86,Employees!$D$2:$D$26,Employees!$A$2:$A$26)</f>
        <v>Emily Davis</v>
      </c>
      <c r="O86" s="3" t="str">
        <f>_xlfn.XLOOKUP(N86,Employees!$A$2:$A$26,Employees!$C$2:$C$26,2)</f>
        <v>Retail</v>
      </c>
      <c r="P86" s="3" t="str">
        <f>PROPER('Sales_RAW(BEFORE)'!N88)</f>
        <v>East</v>
      </c>
      <c r="Q86" s="3" t="str">
        <f>VLOOKUP(N86,Employees!$A$2:$B$26,2,FALSE)</f>
        <v>Houston</v>
      </c>
      <c r="R86" s="3" t="str">
        <f>PROPER('Sales_RAW(BEFORE)'!P88)</f>
        <v>Acme Llc</v>
      </c>
      <c r="S86" s="3" t="str">
        <f>SUBSTITUTE(SUBSTITUTE('Sales_RAW(BEFORE)'!Q88,"EIN",""),":","")</f>
        <v xml:space="preserve"> 224975322</v>
      </c>
      <c r="T86" s="3" t="s">
        <v>484</v>
      </c>
      <c r="U86" s="3" t="s">
        <v>1689</v>
      </c>
      <c r="V86" s="3" t="s">
        <v>1690</v>
      </c>
      <c r="W86" s="3" t="s">
        <v>1691</v>
      </c>
      <c r="X86" s="3" t="s">
        <v>173</v>
      </c>
      <c r="Y86" s="3" t="str">
        <f>PROPER('Sales_RAW(BEFORE)'!W88)</f>
        <v>Wire Transfer</v>
      </c>
      <c r="Z86" s="3" t="str">
        <f>PROPER('Sales_RAW(BEFORE)'!X88)</f>
        <v>Pending</v>
      </c>
      <c r="AA86" s="3" t="str" cm="1">
        <f t="array" ref="AA86">_xlfn.LET(
  _xlpm.val, TRIM(LOWER('Sales_RAW(BEFORE)'!Y88)),
  _xlfn.IFS(
    OR(_xlpm.val="yes", _xlpm.val="paid"), "Paid",
    OR(_xlpm.val="no", _xlpm.val="unpaid"), "Unpaid",
    OR(_xlpm.val="partial", _xlpm.val="partial paid"), "Partial",
    _xlpm.val="", "",
    TRUE, 'Sales_RAW(BEFORE)'!AY88
  )
)</f>
        <v>Partial</v>
      </c>
      <c r="AB86" s="3" t="s">
        <v>1692</v>
      </c>
      <c r="AC86" s="3" t="str">
        <f>PROPER('Sales_RAW(BEFORE)'!AA88)</f>
        <v>Store</v>
      </c>
      <c r="AD86" s="3" t="str">
        <f>SUBSTITUTE(SUBSTITUTE(SUBSTITUTE(SUBSTITUTE('Sales_RAW(BEFORE)'!AB88,"st",""),"q",""),"Q",""),"uarter","")</f>
        <v>1</v>
      </c>
      <c r="AE86" s="3" t="str">
        <f>TEXT(IFERROR(DATEVALUE('Sales_RAW(BEFORE)'!AC88 &amp; " 1"), IFERROR(DATE(2025, 'Sales_RAW(BEFORE)'!AC88, 1), 'Sales_RAW(BEFORE)'!AC88)), "mmmm")</f>
        <v>June</v>
      </c>
      <c r="AF86" s="3">
        <f>_xlfn.LET(
  _xlpm.raw, TRIM(SUBSTITUTE('Sales_RAW(BEFORE)'!AD88, "'", "")),
  _xlpm.num, IFERROR(VALUE(_xlpm.raw), 0),
  IF(_xlpm.num &lt; 100, 2000 + _xlpm.num, _xlpm.num)
)</f>
        <v>2026</v>
      </c>
      <c r="AG86" s="3" t="str">
        <f>PROPER('Sales_RAW(BEFORE)'!AE88)</f>
        <v>15</v>
      </c>
      <c r="AH86" s="3" cm="1">
        <f t="array" ref="AH86">_xlfn.LET(
  _xlpm.val, LOWER(TRIM('Sales_RAW(BEFORE)'!AF88)),
  _xlfn.IFS(
    OR(_xlpm.val="", _xlpm.val="null", _xlpm.val="N/A", _xlpm.val="-", _xlpm.val="#N/A"), 0,
    ISNUMBER('Sales_RAW(BEFORE)'!AF88), 'Sales_RAW(BEFORE)'!AF88,
    TRUE, IFERROR(_xlfn.NUMBERVALUE(_xlpm.val), 0)
  )
)</f>
        <v>87</v>
      </c>
      <c r="AI86" s="5">
        <f>IF(IFERROR(VALUE(SUBSTITUTE(SUBSTITUTE(TRIM('Sales_RAW(BEFORE)'!AG88), "%", ""), ",", ".")), 0) &gt; 1, IFERROR(VALUE(SUBSTITUTE(SUBSTITUTE(TRIM('Sales_RAW(BEFORE)'!AG88), "%", ""), ",", ".")), 0) / 100, IFERROR(VALUE(SUBSTITUTE(SUBSTITUTE(TRIM('Sales_RAW(BEFORE)'!AG88), "%", ""), ",", ".")), 0))</f>
        <v>0.08</v>
      </c>
      <c r="AJ86" s="6">
        <f t="shared" si="6"/>
        <v>165.04320000000001</v>
      </c>
      <c r="AK86" s="6">
        <f t="shared" si="7"/>
        <v>2228.0832</v>
      </c>
      <c r="AL86" s="6">
        <f>IFERROR(VALUE(SUBSTITUTE(SUBSTITUTE(SUBSTITUTE('Sales_RAW(BEFORE)'!AJ88,"$",""),"USD",""),",",".")),0)</f>
        <v>24.6</v>
      </c>
      <c r="AM86" s="3" t="str">
        <f>SUBSTITUTE(SUBSTITUTE(PROPER('Sales_RAW(BEFORE)'!AK88), "Fed Ex", "FedEx"),"Fedex","FedEx")</f>
        <v>Dhl</v>
      </c>
      <c r="AN86" s="3" t="s">
        <v>1693</v>
      </c>
      <c r="AO86" s="3" t="str">
        <f>SUBSTITUTE('Sales_RAW(BEFORE)'!AM88,"kg","")</f>
        <v>3,97</v>
      </c>
      <c r="AP86" s="3" t="str">
        <f>_xlfn.LET(
  _xlpm.raw, UPPER(TRIM('Sales_RAW(BEFORE)'!AN88)),
  _xlpm.clean, RIGHT(_xlpm.raw, 1),
  IF(OR(_xlpm.raw="", _xlpm.raw="null"), "N/A", _xlpm.clean)
)</f>
        <v>B</v>
      </c>
      <c r="AQ86" s="3">
        <v>374</v>
      </c>
      <c r="AR86" s="3" cm="1">
        <f t="array" ref="AR86">_xlfn.LET(
  _xlpm.raw, LOWER(TRIM('Sales_RAW(BEFORE)'!AP88)),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86" s="3"/>
      <c r="AT86" s="3"/>
      <c r="AU86" s="3"/>
      <c r="AV86" s="8">
        <f>IF(IFERROR(VALUE(SUBSTITUTE(SUBSTITUTE(TRIM('Sales_RAW(BEFORE)'!AT88), "%", ""), ",", ".")), 0) &gt; 1, IFERROR(VALUE(SUBSTITUTE(SUBSTITUTE(TRIM('Sales_RAW(BEFORE)'!AT88), "%", ""), ",", ".")), 0) / 100, IFERROR(VALUE(SUBSTITUTE(SUBSTITUTE(TRIM('Sales_RAW(BEFORE)'!AT88), "%", ""), ",", ".")), 0))</f>
        <v>0.18</v>
      </c>
      <c r="AW86" s="6">
        <f>BA86*(_xlfn.XLOOKUP(N86,Employees!$A$2:$A$26,Employees!$E$2:$E$26,2))</f>
        <v>89.123328000000015</v>
      </c>
      <c r="AX86" s="3" t="str">
        <f>PROPER('Sales_RAW(BEFORE)'!AV88)</f>
        <v xml:space="preserve">John Williams   </v>
      </c>
      <c r="AY86" s="3" t="str">
        <f t="shared" si="8"/>
        <v xml:space="preserve">John Williams   </v>
      </c>
      <c r="AZ86" s="3"/>
      <c r="BA86" s="24">
        <f>AK86*(1-(_xlfn.XLOOKUP(G86, Exchange_Rates!$B$8:$F$8, Exchange_Rates!$B$9:$F$9, 0)+J86))</f>
        <v>1782.4665600000001</v>
      </c>
      <c r="BB86" s="7" cm="1">
        <f t="array" ref="BB86">_xlfn.LET(
  _xlpm.raw_dt, SUBSTITUTE(TRIM(C86), ".", "/"),
  _xlpm.dt, IFERROR(DATEVALUE(_xlpm.raw_dt), C86),
  _xlpm.p_code, TRIM(E86),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46971</v>
      </c>
      <c r="BC86" s="25">
        <f t="shared" si="9"/>
        <v>320.8439808</v>
      </c>
    </row>
    <row r="87" spans="1:55" ht="15.75" thickBot="1" x14ac:dyDescent="0.3">
      <c r="A87" s="3" t="s">
        <v>1698</v>
      </c>
      <c r="B87" s="10">
        <v>45887</v>
      </c>
      <c r="C87" s="4">
        <f>DATE(2025,8,30)</f>
        <v>45899</v>
      </c>
      <c r="D87" s="3" t="str">
        <f>"P-" &amp; TEXT(VALUE(SUBSTITUTE(SUBSTITUTE(SUBSTITUTE(UPPER(TRIM('Sales_RAW(BEFORE)'!D89)), "P", ""), "-", ""), "_", "")),"000")</f>
        <v>P-050</v>
      </c>
      <c r="E87" s="3" t="str">
        <f>VLOOKUP(D87,Product_List!$A$2:$B$61,2,FALSE)</f>
        <v>License X 50</v>
      </c>
      <c r="F87" s="3" t="str">
        <f>_xlfn.XLOOKUP(E87,Product_List!$B$2:$B$61,Product_List!$E$2:$E$61,2)</f>
        <v>BestParts</v>
      </c>
      <c r="G87" s="3" t="str">
        <f>VLOOKUP(E87,Product_List!$B$2:$C$61,2,FALSE)</f>
        <v>Equipment</v>
      </c>
      <c r="H87" s="3" t="str">
        <f>SUBSTITUTE(SUBSTITUTE('Sales_RAW(BEFORE)'!G89,"kom",""),".","")</f>
        <v>7</v>
      </c>
      <c r="I87" s="6">
        <f>VLOOKUP(E87,Product_List!$B$2:$D$61,3,FALSE)</f>
        <v>39.53</v>
      </c>
      <c r="J87" s="5">
        <f>IF(IFERROR(VALUE(SUBSTITUTE(SUBSTITUTE(TRIM('Sales_RAW(BEFORE)'!I89), "%", ""), ",", ".")), 0) &gt; 1, IFERROR(VALUE(SUBSTITUTE(SUBSTITUTE(TRIM('Sales_RAW(BEFORE)'!I89), "%", ""), ",", ".")), 0) / 100, IFERROR(VALUE(SUBSTITUTE(SUBSTITUTE(TRIM('Sales_RAW(BEFORE)'!I89), "%", ""), ",", ".")), 0))</f>
        <v>0.1</v>
      </c>
      <c r="K87" s="6">
        <f>(H87*I87)/(HLOOKUP(AE87,Exchange_Rates!$B$1:$M$2,2,FALSE))</f>
        <v>300.11930585683302</v>
      </c>
      <c r="L87" s="6" t="str" cm="1">
        <f t="array" ref="L87">_xlfn.LET(
  _xlpm.valuta, UPPER(TRIM('Sales_RAW(BEFORE)'!K89)),
  _xlfn.IFS(
    _xlpm.valuta = "", "",
    OR(_xlpm.valuta = "USD", _xlpm.valuta = "$"), "$",
    OR(_xlpm.valuta = "EUR", _xlpm.valuta = "€"), "€",
    TRUE, _xlpm.valuta
  )
)</f>
        <v>€</v>
      </c>
      <c r="M87" s="3" t="str">
        <f>"E" &amp; TEXT(VALUE(SUBSTITUTE(SUBSTITUTE(SUBSTITUTE(UPPER(TRIM('Sales_RAW(BEFORE)'!L89)), "EMP", ""), "E", ""), "-", "")),"000")</f>
        <v>E024</v>
      </c>
      <c r="N87" s="3" t="str">
        <f>_xlfn.XLOOKUP(M87,Employees!$D$2:$D$26,Employees!$A$2:$A$26)</f>
        <v>Robert Smith</v>
      </c>
      <c r="O87" s="3" t="str">
        <f>_xlfn.XLOOKUP(N87,Employees!$A$2:$A$26,Employees!$C$2:$C$26,2)</f>
        <v>Retail</v>
      </c>
      <c r="P87" s="3" t="str">
        <f>PROPER('Sales_RAW(BEFORE)'!N89)</f>
        <v>North</v>
      </c>
      <c r="Q87" s="3" t="str">
        <f>VLOOKUP(N87,Employees!$A$2:$B$26,2,FALSE)</f>
        <v>Chicago</v>
      </c>
      <c r="R87" s="3" t="str">
        <f>PROPER('Sales_RAW(BEFORE)'!P89)</f>
        <v>Acme Inc</v>
      </c>
      <c r="S87" s="3" t="str">
        <f>SUBSTITUTE(SUBSTITUTE('Sales_RAW(BEFORE)'!Q89,"EIN",""),":","")</f>
        <v xml:space="preserve"> 809377576</v>
      </c>
      <c r="T87" s="3" t="s">
        <v>1708</v>
      </c>
      <c r="U87" s="3" t="s">
        <v>1709</v>
      </c>
      <c r="V87" s="3" t="s">
        <v>1710</v>
      </c>
      <c r="W87" s="3" t="s">
        <v>142</v>
      </c>
      <c r="X87" s="3" t="s">
        <v>173</v>
      </c>
      <c r="Y87" s="3" t="str">
        <f>PROPER('Sales_RAW(BEFORE)'!W89)</f>
        <v>Credit Card</v>
      </c>
      <c r="Z87" s="3" t="str">
        <f>PROPER('Sales_RAW(BEFORE)'!X89)</f>
        <v>Cancelled</v>
      </c>
      <c r="AA87" s="3" t="str" cm="1">
        <f t="array" ref="AA87">_xlfn.LET(
  _xlpm.val, TRIM(LOWER('Sales_RAW(BEFORE)'!Y89)),
  _xlfn.IFS(
    OR(_xlpm.val="yes", _xlpm.val="paid"), "Paid",
    OR(_xlpm.val="no", _xlpm.val="unpaid"), "Unpaid",
    OR(_xlpm.val="partial", _xlpm.val="partial paid"), "Partial",
    _xlpm.val="", "",
    TRUE, 'Sales_RAW(BEFORE)'!AY89
  )
)</f>
        <v>Partial</v>
      </c>
      <c r="AB87" s="3" t="s">
        <v>1711</v>
      </c>
      <c r="AC87" s="3" t="str">
        <f>PROPER('Sales_RAW(BEFORE)'!AA89)</f>
        <v>Store</v>
      </c>
      <c r="AD87" s="3" t="str">
        <f>SUBSTITUTE(SUBSTITUTE(SUBSTITUTE(SUBSTITUTE('Sales_RAW(BEFORE)'!AB89,"st",""),"q",""),"Q",""),"uarter","")</f>
        <v>1</v>
      </c>
      <c r="AE87" s="3" t="str">
        <f>TEXT(IFERROR(DATEVALUE('Sales_RAW(BEFORE)'!AC89 &amp; " 1"), IFERROR(DATE(2025, 'Sales_RAW(BEFORE)'!AC89, 1), 'Sales_RAW(BEFORE)'!AC89)), "mmmm")</f>
        <v>August</v>
      </c>
      <c r="AF87" s="3">
        <f>_xlfn.LET(
  _xlpm.raw, TRIM(SUBSTITUTE('Sales_RAW(BEFORE)'!AD89, "'", "")),
  _xlpm.num, IFERROR(VALUE(_xlpm.raw), 0),
  IF(_xlpm.num &lt; 100, 2000 + _xlpm.num, _xlpm.num)
)</f>
        <v>2025</v>
      </c>
      <c r="AG87" s="3" t="str">
        <f>PROPER('Sales_RAW(BEFORE)'!AE89)</f>
        <v>Net 30</v>
      </c>
      <c r="AH87" s="3" cm="1">
        <f t="array" ref="AH87">_xlfn.LET(
  _xlpm.val, LOWER(TRIM('Sales_RAW(BEFORE)'!AF89)),
  _xlfn.IFS(
    OR(_xlpm.val="", _xlpm.val="null", _xlpm.val="N/A", _xlpm.val="-", _xlpm.val="#N/A"), 0,
    ISNUMBER('Sales_RAW(BEFORE)'!AF89), 'Sales_RAW(BEFORE)'!AF89,
    TRUE, IFERROR(_xlfn.NUMBERVALUE(_xlpm.val), 0)
  )
)</f>
        <v>64</v>
      </c>
      <c r="AI87" s="5">
        <f>IF(IFERROR(VALUE(SUBSTITUTE(SUBSTITUTE(TRIM('Sales_RAW(BEFORE)'!AG89), "%", ""), ",", ".")), 0) &gt; 1, IFERROR(VALUE(SUBSTITUTE(SUBSTITUTE(TRIM('Sales_RAW(BEFORE)'!AG89), "%", ""), ",", ".")), 0) / 100, IFERROR(VALUE(SUBSTITUTE(SUBSTITUTE(TRIM('Sales_RAW(BEFORE)'!AG89), "%", ""), ",", ".")), 0))</f>
        <v>0.08</v>
      </c>
      <c r="AJ87" s="6">
        <f t="shared" si="6"/>
        <v>24.009544468546643</v>
      </c>
      <c r="AK87" s="6">
        <f t="shared" si="7"/>
        <v>324.12885032537969</v>
      </c>
      <c r="AL87" s="6">
        <f>IFERROR(VALUE(SUBSTITUTE(SUBSTITUTE(SUBSTITUTE('Sales_RAW(BEFORE)'!AJ89,"$",""),"USD",""),",",".")),0)</f>
        <v>24.92</v>
      </c>
      <c r="AM87" s="3" t="str">
        <f>SUBSTITUTE(SUBSTITUTE(PROPER('Sales_RAW(BEFORE)'!AK89), "Fed Ex", "FedEx"),"Fedex","FedEx")</f>
        <v>Usps</v>
      </c>
      <c r="AN87" s="3" t="s">
        <v>1713</v>
      </c>
      <c r="AO87" s="3" t="str">
        <f>SUBSTITUTE('Sales_RAW(BEFORE)'!AM89,"kg","")</f>
        <v>20.89</v>
      </c>
      <c r="AP87" s="3" t="str">
        <f>_xlfn.LET(
  _xlpm.raw, UPPER(TRIM('Sales_RAW(BEFORE)'!AN89)),
  _xlpm.clean, RIGHT(_xlpm.raw, 1),
  IF(OR(_xlpm.raw="", _xlpm.raw="null"), "N/A", _xlpm.clean)
)</f>
        <v>C</v>
      </c>
      <c r="AQ87" s="3">
        <v>206</v>
      </c>
      <c r="AR87" s="3" cm="1">
        <f t="array" ref="AR87">_xlfn.LET(
  _xlpm.raw, LOWER(TRIM('Sales_RAW(BEFORE)'!AP89)),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87" s="3"/>
      <c r="AT87" s="3"/>
      <c r="AU87" s="3"/>
      <c r="AV87" s="8">
        <f>IF(IFERROR(VALUE(SUBSTITUTE(SUBSTITUTE(TRIM('Sales_RAW(BEFORE)'!AT89), "%", ""), ",", ".")), 0) &gt; 1, IFERROR(VALUE(SUBSTITUTE(SUBSTITUTE(TRIM('Sales_RAW(BEFORE)'!AT89), "%", ""), ",", ".")), 0) / 100, IFERROR(VALUE(SUBSTITUTE(SUBSTITUTE(TRIM('Sales_RAW(BEFORE)'!AT89), "%", ""), ",", ".")), 0))</f>
        <v>0.3</v>
      </c>
      <c r="AW87" s="6">
        <f>BA87*(_xlfn.XLOOKUP(N87,Employees!$A$2:$A$26,Employees!$E$2:$E$26,2))</f>
        <v>5.186061605206076</v>
      </c>
      <c r="AX87" s="3" t="str">
        <f>PROPER('Sales_RAW(BEFORE)'!AV89)</f>
        <v xml:space="preserve">Jessica Williams   </v>
      </c>
      <c r="AY87" s="3" t="str">
        <f t="shared" si="8"/>
        <v xml:space="preserve">Jessica Williams   </v>
      </c>
      <c r="AZ87" s="3"/>
      <c r="BA87" s="24">
        <f>AK87*(1-(_xlfn.XLOOKUP(G87, Exchange_Rates!$B$8:$F$8, Exchange_Rates!$B$9:$F$9, 0)+J87))</f>
        <v>259.30308026030377</v>
      </c>
      <c r="BB87" s="7" cm="1">
        <f t="array" ref="BB87">_xlfn.LET(
  _xlpm.raw_dt, SUBSTITUTE(TRIM(C87), ".", "/"),
  _xlpm.dt, IFERROR(DATEVALUE(_xlpm.raw_dt), C87),
  _xlpm.p_code, TRIM(E87),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46264</v>
      </c>
      <c r="BC87" s="25">
        <f t="shared" si="9"/>
        <v>77.790924078091123</v>
      </c>
    </row>
    <row r="88" spans="1:55" ht="15.75" thickBot="1" x14ac:dyDescent="0.3">
      <c r="A88" s="3" t="s">
        <v>1715</v>
      </c>
      <c r="B88" s="10">
        <v>45674</v>
      </c>
      <c r="C88" s="4" t="s">
        <v>134</v>
      </c>
      <c r="D88" s="3" t="str">
        <f>"P-" &amp; TEXT(VALUE(SUBSTITUTE(SUBSTITUTE(SUBSTITUTE(UPPER(TRIM('Sales_RAW(BEFORE)'!D90)), "P", ""), "-", ""), "_", "")),"000")</f>
        <v>P-014</v>
      </c>
      <c r="E88" s="3" t="str">
        <f>VLOOKUP(D88,Product_List!$A$2:$B$61,2,FALSE)</f>
        <v>License Max 14</v>
      </c>
      <c r="F88" s="3" t="str">
        <f>_xlfn.XLOOKUP(E88,Product_List!$B$2:$B$61,Product_List!$E$2:$E$61,2)</f>
        <v>OfficeHub</v>
      </c>
      <c r="G88" s="3" t="str">
        <f>VLOOKUP(E88,Product_List!$B$2:$C$61,2,FALSE)</f>
        <v>Software</v>
      </c>
      <c r="H88" s="3" t="str">
        <f>SUBSTITUTE(SUBSTITUTE('Sales_RAW(BEFORE)'!G90,"kom",""),".","")</f>
        <v xml:space="preserve">22 </v>
      </c>
      <c r="I88" s="6">
        <f>VLOOKUP(E88,Product_List!$B$2:$D$61,3,FALSE)</f>
        <v>1166.96</v>
      </c>
      <c r="J88" s="5">
        <f>IF(IFERROR(VALUE(SUBSTITUTE(SUBSTITUTE(TRIM('Sales_RAW(BEFORE)'!I90), "%", ""), ",", ".")), 0) &gt; 1, IFERROR(VALUE(SUBSTITUTE(SUBSTITUTE(TRIM('Sales_RAW(BEFORE)'!I90), "%", ""), ",", ".")), 0) / 100, IFERROR(VALUE(SUBSTITUTE(SUBSTITUTE(TRIM('Sales_RAW(BEFORE)'!I90), "%", ""), ",", ".")), 0))</f>
        <v>0.1</v>
      </c>
      <c r="K88" s="6">
        <f t="shared" si="5"/>
        <v>25673.120000000003</v>
      </c>
      <c r="L88" s="6" t="str" cm="1">
        <f t="array" ref="L88">_xlfn.LET(
  _xlpm.valuta, UPPER(TRIM('Sales_RAW(BEFORE)'!K90)),
  _xlfn.IFS(
    _xlpm.valuta = "", "",
    OR(_xlpm.valuta = "USD", _xlpm.valuta = "$"), "$",
    OR(_xlpm.valuta = "EUR", _xlpm.valuta = "€"), "€",
    TRUE, _xlpm.valuta
  )
)</f>
        <v>$</v>
      </c>
      <c r="M88" s="3" t="str">
        <f>"E" &amp; TEXT(VALUE(SUBSTITUTE(SUBSTITUTE(SUBSTITUTE(UPPER(TRIM('Sales_RAW(BEFORE)'!L90)), "EMP", ""), "E", ""), "-", "")),"000")</f>
        <v>E005</v>
      </c>
      <c r="N88" s="3" t="str">
        <f>_xlfn.XLOOKUP(M88,Employees!$D$2:$D$26,Employees!$A$2:$A$26)</f>
        <v>Laura Williams</v>
      </c>
      <c r="O88" s="3" t="str">
        <f>_xlfn.XLOOKUP(N88,Employees!$A$2:$A$26,Employees!$C$2:$C$26,2)</f>
        <v>Online</v>
      </c>
      <c r="P88" s="3" t="str">
        <f>PROPER('Sales_RAW(BEFORE)'!N90)</f>
        <v>West</v>
      </c>
      <c r="Q88" s="3" t="str">
        <f>VLOOKUP(N88,Employees!$A$2:$B$26,2,FALSE)</f>
        <v>Houston</v>
      </c>
      <c r="R88" s="3" t="str">
        <f>PROPER('Sales_RAW(BEFORE)'!P90)</f>
        <v>Globex Inc.</v>
      </c>
      <c r="S88" s="3" t="str">
        <f>SUBSTITUTE(SUBSTITUTE('Sales_RAW(BEFORE)'!Q90,"EIN",""),":","")</f>
        <v>834490030</v>
      </c>
      <c r="T88" s="3" t="s">
        <v>1722</v>
      </c>
      <c r="U88" s="3" t="s">
        <v>1723</v>
      </c>
      <c r="V88" s="3" t="s">
        <v>1724</v>
      </c>
      <c r="W88" s="3" t="s">
        <v>1725</v>
      </c>
      <c r="X88" s="3" t="s">
        <v>173</v>
      </c>
      <c r="Y88" s="3" t="str">
        <f>PROPER('Sales_RAW(BEFORE)'!W90)</f>
        <v>Cash</v>
      </c>
      <c r="Z88" s="3" t="str">
        <f>PROPER('Sales_RAW(BEFORE)'!X90)</f>
        <v>Processing</v>
      </c>
      <c r="AA88" s="3" t="str" cm="1">
        <f t="array" ref="AA88">_xlfn.LET(
  _xlpm.val, TRIM(LOWER('Sales_RAW(BEFORE)'!Y90)),
  _xlfn.IFS(
    OR(_xlpm.val="yes", _xlpm.val="paid"), "Paid",
    OR(_xlpm.val="no", _xlpm.val="unpaid"), "Unpaid",
    OR(_xlpm.val="partial", _xlpm.val="partial paid"), "Partial",
    _xlpm.val="", "",
    TRUE, 'Sales_RAW(BEFORE)'!AY90
  )
)</f>
        <v>Unpaid</v>
      </c>
      <c r="AB88" s="3" t="s">
        <v>1726</v>
      </c>
      <c r="AC88" s="3" t="str">
        <f>PROPER('Sales_RAW(BEFORE)'!AA90)</f>
        <v>Online</v>
      </c>
      <c r="AD88" s="3" t="str">
        <f>SUBSTITUTE(SUBSTITUTE(SUBSTITUTE(SUBSTITUTE('Sales_RAW(BEFORE)'!AB90,"st",""),"q",""),"Q",""),"uarter","")</f>
        <v>1</v>
      </c>
      <c r="AE88" s="3" t="str">
        <f>TEXT(IFERROR(DATEVALUE('Sales_RAW(BEFORE)'!AC90 &amp; " 1"), IFERROR(DATE(2025, 'Sales_RAW(BEFORE)'!AC90, 1), 'Sales_RAW(BEFORE)'!AC90)), "mmmm")</f>
        <v>January</v>
      </c>
      <c r="AF88" s="3">
        <f>_xlfn.LET(
  _xlpm.raw, TRIM(SUBSTITUTE('Sales_RAW(BEFORE)'!AD90, "'", "")),
  _xlpm.num, IFERROR(VALUE(_xlpm.raw), 0),
  IF(_xlpm.num &lt; 100, 2000 + _xlpm.num, _xlpm.num)
)</f>
        <v>2025</v>
      </c>
      <c r="AG88" s="3" t="str">
        <f>PROPER('Sales_RAW(BEFORE)'!AE90)</f>
        <v>Net 60</v>
      </c>
      <c r="AH88" s="3" cm="1">
        <f t="array" ref="AH88">_xlfn.LET(
  _xlpm.val, LOWER(TRIM('Sales_RAW(BEFORE)'!AF90)),
  _xlfn.IFS(
    OR(_xlpm.val="", _xlpm.val="null", _xlpm.val="N/A", _xlpm.val="-", _xlpm.val="#N/A"), 0,
    ISNUMBER('Sales_RAW(BEFORE)'!AF90), 'Sales_RAW(BEFORE)'!AF90,
    TRUE, IFERROR(_xlfn.NUMBERVALUE(_xlpm.val), 0)
  )
)</f>
        <v>14</v>
      </c>
      <c r="AI88" s="5">
        <f>IF(IFERROR(VALUE(SUBSTITUTE(SUBSTITUTE(TRIM('Sales_RAW(BEFORE)'!AG90), "%", ""), ",", ".")), 0) &gt; 1, IFERROR(VALUE(SUBSTITUTE(SUBSTITUTE(TRIM('Sales_RAW(BEFORE)'!AG90), "%", ""), ",", ".")), 0) / 100, IFERROR(VALUE(SUBSTITUTE(SUBSTITUTE(TRIM('Sales_RAW(BEFORE)'!AG90), "%", ""), ",", ".")), 0))</f>
        <v>0.08</v>
      </c>
      <c r="AJ88" s="6">
        <f t="shared" si="6"/>
        <v>2053.8496000000005</v>
      </c>
      <c r="AK88" s="6">
        <f t="shared" si="7"/>
        <v>27726.969600000004</v>
      </c>
      <c r="AL88" s="6">
        <f>IFERROR(VALUE(SUBSTITUTE(SUBSTITUTE(SUBSTITUTE('Sales_RAW(BEFORE)'!AJ90,"$",""),"USD",""),",",".")),0)</f>
        <v>8.75</v>
      </c>
      <c r="AM88" s="3" t="str">
        <f>SUBSTITUTE(SUBSTITUTE(PROPER('Sales_RAW(BEFORE)'!AK90), "Fed Ex", "FedEx"),"Fedex","FedEx")</f>
        <v>FedEx</v>
      </c>
      <c r="AN88" s="3" t="s">
        <v>1728</v>
      </c>
      <c r="AO88" s="3" t="str">
        <f>SUBSTITUTE('Sales_RAW(BEFORE)'!AM90,"kg","")</f>
        <v xml:space="preserve">1.6 </v>
      </c>
      <c r="AP88" s="3" t="str">
        <f>_xlfn.LET(
  _xlpm.raw, UPPER(TRIM('Sales_RAW(BEFORE)'!AN90)),
  _xlpm.clean, RIGHT(_xlpm.raw, 1),
  IF(OR(_xlpm.raw="", _xlpm.raw="null"), "N/A", _xlpm.clean)
)</f>
        <v>B</v>
      </c>
      <c r="AQ88" s="3">
        <v>465</v>
      </c>
      <c r="AR88" s="3" cm="1">
        <f t="array" ref="AR88">_xlfn.LET(
  _xlpm.raw, LOWER(TRIM('Sales_RAW(BEFORE)'!AP90)),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88" s="3"/>
      <c r="AT88" s="3"/>
      <c r="AU88" s="3"/>
      <c r="AV88" s="8">
        <f>IF(IFERROR(VALUE(SUBSTITUTE(SUBSTITUTE(TRIM('Sales_RAW(BEFORE)'!AT90), "%", ""), ",", ".")), 0) &gt; 1, IFERROR(VALUE(SUBSTITUTE(SUBSTITUTE(TRIM('Sales_RAW(BEFORE)'!AT90), "%", ""), ",", ".")), 0) / 100, IFERROR(VALUE(SUBSTITUTE(SUBSTITUTE(TRIM('Sales_RAW(BEFORE)'!AT90), "%", ""), ",", ".")), 0))</f>
        <v>0</v>
      </c>
      <c r="AW88" s="6">
        <f>BA88*(_xlfn.XLOOKUP(N88,Employees!$A$2:$A$26,Employees!$E$2:$E$26,2))</f>
        <v>623.85681599999998</v>
      </c>
      <c r="AX88" s="3" t="str">
        <f>PROPER('Sales_RAW(BEFORE)'!AV90)</f>
        <v>Sarah Miller</v>
      </c>
      <c r="AY88" s="3" t="str">
        <f t="shared" si="8"/>
        <v>Sarah Miller</v>
      </c>
      <c r="AZ88" s="3"/>
      <c r="BA88" s="24">
        <f>AK88*(1-(_xlfn.XLOOKUP(G88, Exchange_Rates!$B$8:$F$8, Exchange_Rates!$B$9:$F$9, 0)+J88))</f>
        <v>20795.227200000001</v>
      </c>
      <c r="BB88" s="7" t="str" cm="1">
        <f t="array" ref="BB88">_xlfn.LET(
  _xlpm.raw_dt, SUBSTITUTE(TRIM(C88), ".", "/"),
  _xlpm.dt, IFERROR(DATEVALUE(_xlpm.raw_dt), C88),
  _xlpm.p_code, TRIM(E88),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Empty</v>
      </c>
      <c r="BC88" s="25">
        <f t="shared" si="9"/>
        <v>0</v>
      </c>
    </row>
    <row r="89" spans="1:55" ht="15.75" thickBot="1" x14ac:dyDescent="0.3">
      <c r="A89" s="3" t="s">
        <v>1731</v>
      </c>
      <c r="B89" s="10">
        <v>45775</v>
      </c>
      <c r="C89" s="4">
        <v>45935</v>
      </c>
      <c r="D89" s="3" t="str">
        <f>"P-" &amp; TEXT(VALUE(SUBSTITUTE(SUBSTITUTE(SUBSTITUTE(UPPER(TRIM('Sales_RAW(BEFORE)'!D91)), "P", ""), "-", ""), "_", "")),"000")</f>
        <v>P-012</v>
      </c>
      <c r="E89" s="3" t="str">
        <f>VLOOKUP(D89,Product_List!$A$2:$B$61,2,FALSE)</f>
        <v>Keyboard Basic 12</v>
      </c>
      <c r="F89" s="3" t="str">
        <f>_xlfn.XLOOKUP(E89,Product_List!$B$2:$B$61,Product_List!$E$2:$E$61,2)</f>
        <v>OfficeHub</v>
      </c>
      <c r="G89" s="3" t="str">
        <f>VLOOKUP(E89,Product_List!$B$2:$C$61,2,FALSE)</f>
        <v>Electronics</v>
      </c>
      <c r="H89" s="3" t="str">
        <f>SUBSTITUTE(SUBSTITUTE('Sales_RAW(BEFORE)'!G91,"kom",""),".","")</f>
        <v>38</v>
      </c>
      <c r="I89" s="6">
        <f>VLOOKUP(E89,Product_List!$B$2:$D$61,3,FALSE)</f>
        <v>823.88</v>
      </c>
      <c r="J89" s="5">
        <f>IF(IFERROR(VALUE(SUBSTITUTE(SUBSTITUTE(TRIM('Sales_RAW(BEFORE)'!I91), "%", ""), ",", ".")), 0) &gt; 1, IFERROR(VALUE(SUBSTITUTE(SUBSTITUTE(TRIM('Sales_RAW(BEFORE)'!I91), "%", ""), ",", ".")), 0) / 100, IFERROR(VALUE(SUBSTITUTE(SUBSTITUTE(TRIM('Sales_RAW(BEFORE)'!I91), "%", ""), ",", ".")), 0))</f>
        <v>0.1</v>
      </c>
      <c r="K89" s="6">
        <f t="shared" si="5"/>
        <v>31307.439999999999</v>
      </c>
      <c r="L89" s="6" t="str" cm="1">
        <f t="array" ref="L89">_xlfn.LET(
  _xlpm.valuta, UPPER(TRIM('Sales_RAW(BEFORE)'!K91)),
  _xlfn.IFS(
    _xlpm.valuta = "", "",
    OR(_xlpm.valuta = "USD", _xlpm.valuta = "$"), "$",
    OR(_xlpm.valuta = "EUR", _xlpm.valuta = "€"), "€",
    TRUE, _xlpm.valuta
  )
)</f>
        <v>$</v>
      </c>
      <c r="M89" s="3" t="str">
        <f>"E" &amp; TEXT(VALUE(SUBSTITUTE(SUBSTITUTE(SUBSTITUTE(UPPER(TRIM('Sales_RAW(BEFORE)'!L91)), "EMP", ""), "E", ""), "-", "")),"000")</f>
        <v>E012</v>
      </c>
      <c r="N89" s="3" t="str">
        <f>_xlfn.XLOOKUP(M89,Employees!$D$2:$D$26,Employees!$A$2:$A$26)</f>
        <v>John Smith</v>
      </c>
      <c r="O89" s="3" t="str">
        <f>_xlfn.XLOOKUP(N89,Employees!$A$2:$A$26,Employees!$C$2:$C$26,2)</f>
        <v>Sales</v>
      </c>
      <c r="P89" s="3" t="str">
        <f>PROPER('Sales_RAW(BEFORE)'!N91)</f>
        <v>West</v>
      </c>
      <c r="Q89" s="3" t="str">
        <f>VLOOKUP(N89,Employees!$A$2:$B$26,2,FALSE)</f>
        <v>Miami</v>
      </c>
      <c r="R89" s="3" t="str">
        <f>PROPER('Sales_RAW(BEFORE)'!P91)</f>
        <v xml:space="preserve">Globex Inc.  </v>
      </c>
      <c r="S89" s="3" t="str">
        <f>SUBSTITUTE(SUBSTITUTE('Sales_RAW(BEFORE)'!Q91,"EIN",""),":","")</f>
        <v xml:space="preserve"> 288109254</v>
      </c>
      <c r="T89" s="3" t="s">
        <v>258</v>
      </c>
      <c r="U89" s="3" t="s">
        <v>1741</v>
      </c>
      <c r="V89" s="3" t="s">
        <v>1742</v>
      </c>
      <c r="W89" s="3" t="s">
        <v>1743</v>
      </c>
      <c r="X89" s="3" t="s">
        <v>173</v>
      </c>
      <c r="Y89" s="3" t="str">
        <f>PROPER('Sales_RAW(BEFORE)'!W91)</f>
        <v>Cash</v>
      </c>
      <c r="Z89" s="3" t="str">
        <f>PROPER('Sales_RAW(BEFORE)'!X91)</f>
        <v>Processing</v>
      </c>
      <c r="AA89" s="3" t="str" cm="1">
        <f t="array" ref="AA89">_xlfn.LET(
  _xlpm.val, TRIM(LOWER('Sales_RAW(BEFORE)'!Y91)),
  _xlfn.IFS(
    OR(_xlpm.val="yes", _xlpm.val="paid"), "Paid",
    OR(_xlpm.val="no", _xlpm.val="unpaid"), "Unpaid",
    OR(_xlpm.val="partial", _xlpm.val="partial paid"), "Partial",
    _xlpm.val="", "",
    TRUE, 'Sales_RAW(BEFORE)'!AY91
  )
)</f>
        <v>Unpaid</v>
      </c>
      <c r="AB89" s="3" t="s">
        <v>1744</v>
      </c>
      <c r="AC89" s="3" t="str">
        <f>PROPER('Sales_RAW(BEFORE)'!AA91)</f>
        <v>Phone</v>
      </c>
      <c r="AD89" s="3" t="str">
        <f>SUBSTITUTE(SUBSTITUTE(SUBSTITUTE(SUBSTITUTE('Sales_RAW(BEFORE)'!AB91,"st",""),"q",""),"Q",""),"uarter","")</f>
        <v>1</v>
      </c>
      <c r="AE89" s="3" t="str">
        <f>TEXT(IFERROR(DATEVALUE('Sales_RAW(BEFORE)'!AC91 &amp; " 1"), IFERROR(DATE(2025, 'Sales_RAW(BEFORE)'!AC91, 1), 'Sales_RAW(BEFORE)'!AC91)), "mmmm")</f>
        <v>April</v>
      </c>
      <c r="AF89" s="3">
        <f>_xlfn.LET(
  _xlpm.raw, TRIM(SUBSTITUTE('Sales_RAW(BEFORE)'!AD91, "'", "")),
  _xlpm.num, IFERROR(VALUE(_xlpm.raw), 0),
  IF(_xlpm.num &lt; 100, 2000 + _xlpm.num, _xlpm.num)
)</f>
        <v>2025</v>
      </c>
      <c r="AG89" s="3" t="str">
        <f>PROPER('Sales_RAW(BEFORE)'!AE91)</f>
        <v>15</v>
      </c>
      <c r="AH89" s="3" cm="1">
        <f t="array" ref="AH89">_xlfn.LET(
  _xlpm.val, LOWER(TRIM('Sales_RAW(BEFORE)'!AF91)),
  _xlfn.IFS(
    OR(_xlpm.val="", _xlpm.val="null", _xlpm.val="N/A", _xlpm.val="-", _xlpm.val="#N/A"), 0,
    ISNUMBER('Sales_RAW(BEFORE)'!AF91), 'Sales_RAW(BEFORE)'!AF91,
    TRUE, IFERROR(_xlfn.NUMBERVALUE(_xlpm.val), 0)
  )
)</f>
        <v>0</v>
      </c>
      <c r="AI89" s="5">
        <f>IF(IFERROR(VALUE(SUBSTITUTE(SUBSTITUTE(TRIM('Sales_RAW(BEFORE)'!AG91), "%", ""), ",", ".")), 0) &gt; 1, IFERROR(VALUE(SUBSTITUTE(SUBSTITUTE(TRIM('Sales_RAW(BEFORE)'!AG91), "%", ""), ",", ".")), 0) / 100, IFERROR(VALUE(SUBSTITUTE(SUBSTITUTE(TRIM('Sales_RAW(BEFORE)'!AG91), "%", ""), ",", ".")), 0))</f>
        <v>0.08</v>
      </c>
      <c r="AJ89" s="6">
        <f t="shared" si="6"/>
        <v>2504.5951999999997</v>
      </c>
      <c r="AK89" s="6">
        <f t="shared" si="7"/>
        <v>33812.035199999998</v>
      </c>
      <c r="AL89" s="6">
        <f>IFERROR(VALUE(SUBSTITUTE(SUBSTITUTE(SUBSTITUTE('Sales_RAW(BEFORE)'!AJ91,"$",""),"USD",""),",",".")),0)</f>
        <v>8.67</v>
      </c>
      <c r="AM89" s="3" t="str">
        <f>SUBSTITUTE(SUBSTITUTE(PROPER('Sales_RAW(BEFORE)'!AK91), "Fed Ex", "FedEx"),"Fedex","FedEx")</f>
        <v>Ups</v>
      </c>
      <c r="AN89" s="3" t="s">
        <v>1746</v>
      </c>
      <c r="AO89" s="3" t="str">
        <f>SUBSTITUTE('Sales_RAW(BEFORE)'!AM91,"kg","")</f>
        <v>1,55</v>
      </c>
      <c r="AP89" s="3" t="str">
        <f>_xlfn.LET(
  _xlpm.raw, UPPER(TRIM('Sales_RAW(BEFORE)'!AN91)),
  _xlpm.clean, RIGHT(_xlpm.raw, 1),
  IF(OR(_xlpm.raw="", _xlpm.raw="null"), "N/A", _xlpm.clean)
)</f>
        <v>B</v>
      </c>
      <c r="AQ89" s="3">
        <v>90</v>
      </c>
      <c r="AR89" s="3" cm="1">
        <f t="array" ref="AR89">_xlfn.LET(
  _xlpm.raw, LOWER(TRIM('Sales_RAW(BEFORE)'!AP91)),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89" s="3"/>
      <c r="AT89" s="3"/>
      <c r="AU89" s="3"/>
      <c r="AV89" s="8">
        <f>IF(IFERROR(VALUE(SUBSTITUTE(SUBSTITUTE(TRIM('Sales_RAW(BEFORE)'!AT91), "%", ""), ",", ".")), 0) &gt; 1, IFERROR(VALUE(SUBSTITUTE(SUBSTITUTE(TRIM('Sales_RAW(BEFORE)'!AT91), "%", ""), ",", ".")), 0) / 100, IFERROR(VALUE(SUBSTITUTE(SUBSTITUTE(TRIM('Sales_RAW(BEFORE)'!AT91), "%", ""), ",", ".")), 0))</f>
        <v>0</v>
      </c>
      <c r="AW89" s="6">
        <f>BA89*(_xlfn.XLOOKUP(N89,Employees!$A$2:$A$26,Employees!$E$2:$E$26,2))</f>
        <v>540.99256320000006</v>
      </c>
      <c r="AX89" s="3" t="str">
        <f>PROPER('Sales_RAW(BEFORE)'!AV91)</f>
        <v>Sophia Wilson</v>
      </c>
      <c r="AY89" s="3" t="str">
        <f t="shared" si="8"/>
        <v>Sophia Wilson</v>
      </c>
      <c r="AZ89" s="3"/>
      <c r="BA89" s="24">
        <f>AK89*(1-(_xlfn.XLOOKUP(G89, Exchange_Rates!$B$8:$F$8, Exchange_Rates!$B$9:$F$9, 0)+J89))</f>
        <v>27049.62816</v>
      </c>
      <c r="BB89" s="7" cm="1">
        <f t="array" ref="BB89">_xlfn.LET(
  _xlpm.raw_dt, SUBSTITUTE(TRIM(C89), ".", "/"),
  _xlpm.dt, IFERROR(DATEVALUE(_xlpm.raw_dt), C89),
  _xlpm.p_code, TRIM(E89),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47031</v>
      </c>
      <c r="BC89" s="25">
        <f t="shared" si="9"/>
        <v>0</v>
      </c>
    </row>
    <row r="90" spans="1:55" ht="15.75" thickBot="1" x14ac:dyDescent="0.3">
      <c r="A90" s="3" t="s">
        <v>1750</v>
      </c>
      <c r="B90" s="10">
        <v>45869</v>
      </c>
      <c r="C90" s="4">
        <f>DATE(2025,8,1)</f>
        <v>45870</v>
      </c>
      <c r="D90" s="3" t="str">
        <f>"P-" &amp; TEXT(VALUE(SUBSTITUTE(SUBSTITUTE(SUBSTITUTE(UPPER(TRIM('Sales_RAW(BEFORE)'!D92)), "P", ""), "-", ""), "_", "")),"000")</f>
        <v>P-034</v>
      </c>
      <c r="E90" s="3" t="str">
        <f>VLOOKUP(D90,Product_List!$A$2:$B$61,2,FALSE)</f>
        <v>Mouse X 34</v>
      </c>
      <c r="F90" s="3" t="str">
        <f>_xlfn.XLOOKUP(E90,Product_List!$B$2:$B$61,Product_List!$E$2:$E$61,2)</f>
        <v>Global Distrib</v>
      </c>
      <c r="G90" s="3" t="str">
        <f>VLOOKUP(E90,Product_List!$B$2:$C$61,2,FALSE)</f>
        <v>Office</v>
      </c>
      <c r="H90" s="3" t="str">
        <f>SUBSTITUTE(SUBSTITUTE('Sales_RAW(BEFORE)'!G92,"kom",""),".","")</f>
        <v xml:space="preserve">12 </v>
      </c>
      <c r="I90" s="6">
        <f>VLOOKUP(E90,Product_List!$B$2:$D$61,3,FALSE)</f>
        <v>23.03</v>
      </c>
      <c r="J90" s="5">
        <f>IF(IFERROR(VALUE(SUBSTITUTE(SUBSTITUTE(TRIM('Sales_RAW(BEFORE)'!I92), "%", ""), ",", ".")), 0) &gt; 1, IFERROR(VALUE(SUBSTITUTE(SUBSTITUTE(TRIM('Sales_RAW(BEFORE)'!I92), "%", ""), ",", ".")), 0) / 100, IFERROR(VALUE(SUBSTITUTE(SUBSTITUTE(TRIM('Sales_RAW(BEFORE)'!I92), "%", ""), ",", ".")), 0))</f>
        <v>0.05</v>
      </c>
      <c r="K90" s="6">
        <f>(H90*I90)/(HLOOKUP(AE90,Exchange_Rates!$B$1:$M$2,2,FALSE))</f>
        <v>295.88865096359746</v>
      </c>
      <c r="L90" s="6" t="str" cm="1">
        <f t="array" ref="L90">_xlfn.LET(
  _xlpm.valuta, UPPER(TRIM('Sales_RAW(BEFORE)'!K92)),
  _xlfn.IFS(
    _xlpm.valuta = "", "",
    OR(_xlpm.valuta = "USD", _xlpm.valuta = "$"), "$",
    OR(_xlpm.valuta = "EUR", _xlpm.valuta = "€"), "€",
    TRUE, _xlpm.valuta
  )
)</f>
        <v>€</v>
      </c>
      <c r="M90" s="3" t="str">
        <f>"E" &amp; TEXT(VALUE(SUBSTITUTE(SUBSTITUTE(SUBSTITUTE(UPPER(TRIM('Sales_RAW(BEFORE)'!L92)), "EMP", ""), "E", ""), "-", "")),"000")</f>
        <v>E020</v>
      </c>
      <c r="N90" s="3" t="str">
        <f>_xlfn.XLOOKUP(M90,Employees!$D$2:$D$26,Employees!$A$2:$A$26)</f>
        <v>Robert Taylor</v>
      </c>
      <c r="O90" s="3" t="str">
        <f>_xlfn.XLOOKUP(N90,Employees!$A$2:$A$26,Employees!$C$2:$C$26,2)</f>
        <v>Retail</v>
      </c>
      <c r="P90" s="3" t="str">
        <f>PROPER('Sales_RAW(BEFORE)'!N92)</f>
        <v>West</v>
      </c>
      <c r="Q90" s="3" t="str">
        <f>VLOOKUP(N90,Employees!$A$2:$B$26,2,FALSE)</f>
        <v>New York</v>
      </c>
      <c r="R90" s="3" t="str">
        <f>PROPER('Sales_RAW(BEFORE)'!P92)</f>
        <v>Wayne Ltd.</v>
      </c>
      <c r="S90" s="3" t="str">
        <f>SUBSTITUTE(SUBSTITUTE('Sales_RAW(BEFORE)'!Q92,"EIN",""),":","")</f>
        <v xml:space="preserve"> 466401441</v>
      </c>
      <c r="T90" s="3" t="s">
        <v>66</v>
      </c>
      <c r="U90" s="3" t="s">
        <v>1759</v>
      </c>
      <c r="V90" s="3" t="s">
        <v>1760</v>
      </c>
      <c r="W90" s="3" t="s">
        <v>1761</v>
      </c>
      <c r="X90" s="3" t="s">
        <v>173</v>
      </c>
      <c r="Y90" s="3" t="str">
        <f>PROPER('Sales_RAW(BEFORE)'!W92)</f>
        <v>Credit Card</v>
      </c>
      <c r="Z90" s="3" t="str">
        <f>PROPER('Sales_RAW(BEFORE)'!X92)</f>
        <v>Delivered</v>
      </c>
      <c r="AA90" s="3" t="str" cm="1">
        <f t="array" ref="AA90">_xlfn.LET(
  _xlpm.val, TRIM(LOWER('Sales_RAW(BEFORE)'!Y92)),
  _xlfn.IFS(
    OR(_xlpm.val="yes", _xlpm.val="paid"), "Paid",
    OR(_xlpm.val="no", _xlpm.val="unpaid"), "Unpaid",
    OR(_xlpm.val="partial", _xlpm.val="partial paid"), "Partial",
    _xlpm.val="", "",
    TRUE, 'Sales_RAW(BEFORE)'!AY92
  )
)</f>
        <v>Paid</v>
      </c>
      <c r="AB90" s="3" t="s">
        <v>1762</v>
      </c>
      <c r="AC90" s="3" t="str">
        <f>PROPER('Sales_RAW(BEFORE)'!AA92)</f>
        <v>Online</v>
      </c>
      <c r="AD90" s="3" t="str">
        <f>SUBSTITUTE(SUBSTITUTE(SUBSTITUTE(SUBSTITUTE('Sales_RAW(BEFORE)'!AB92,"st",""),"q",""),"Q",""),"uarter","")</f>
        <v>3</v>
      </c>
      <c r="AE90" s="3" t="str">
        <f>TEXT(IFERROR(DATEVALUE('Sales_RAW(BEFORE)'!AC92 &amp; " 1"), IFERROR(DATE(2025, 'Sales_RAW(BEFORE)'!AC92, 1), 'Sales_RAW(BEFORE)'!AC92)), "mmmm")</f>
        <v>July</v>
      </c>
      <c r="AF90" s="3">
        <f>_xlfn.LET(
  _xlpm.raw, TRIM(SUBSTITUTE('Sales_RAW(BEFORE)'!AD92, "'", "")),
  _xlpm.num, IFERROR(VALUE(_xlpm.raw), 0),
  IF(_xlpm.num &lt; 100, 2000 + _xlpm.num, _xlpm.num)
)</f>
        <v>2025</v>
      </c>
      <c r="AG90" s="3" t="str">
        <f>PROPER('Sales_RAW(BEFORE)'!AE92)</f>
        <v>15</v>
      </c>
      <c r="AH90" s="3" cm="1">
        <f t="array" ref="AH90">_xlfn.LET(
  _xlpm.val, LOWER(TRIM('Sales_RAW(BEFORE)'!AF92)),
  _xlfn.IFS(
    OR(_xlpm.val="", _xlpm.val="null", _xlpm.val="N/A", _xlpm.val="-", _xlpm.val="#N/A"), 0,
    ISNUMBER('Sales_RAW(BEFORE)'!AF92), 'Sales_RAW(BEFORE)'!AF92,
    TRUE, IFERROR(_xlfn.NUMBERVALUE(_xlpm.val), 0)
  )
)</f>
        <v>83</v>
      </c>
      <c r="AI90" s="5">
        <f>IF(IFERROR(VALUE(SUBSTITUTE(SUBSTITUTE(TRIM('Sales_RAW(BEFORE)'!AG92), "%", ""), ",", ".")), 0) &gt; 1, IFERROR(VALUE(SUBSTITUTE(SUBSTITUTE(TRIM('Sales_RAW(BEFORE)'!AG92), "%", ""), ",", ".")), 0) / 100, IFERROR(VALUE(SUBSTITUTE(SUBSTITUTE(TRIM('Sales_RAW(BEFORE)'!AG92), "%", ""), ",", ".")), 0))</f>
        <v>0.08</v>
      </c>
      <c r="AJ90" s="6">
        <f t="shared" si="6"/>
        <v>23.671092077087796</v>
      </c>
      <c r="AK90" s="6">
        <f t="shared" si="7"/>
        <v>319.55974304068525</v>
      </c>
      <c r="AL90" s="6">
        <f>IFERROR(VALUE(SUBSTITUTE(SUBSTITUTE(SUBSTITUTE('Sales_RAW(BEFORE)'!AJ92,"$",""),"USD",""),",",".")),0)</f>
        <v>12.39</v>
      </c>
      <c r="AM90" s="3" t="str">
        <f>SUBSTITUTE(SUBSTITUTE(PROPER('Sales_RAW(BEFORE)'!AK92), "Fed Ex", "FedEx"),"Fedex","FedEx")</f>
        <v>Usps</v>
      </c>
      <c r="AN90" s="3" t="s">
        <v>1764</v>
      </c>
      <c r="AO90" s="3" t="str">
        <f>SUBSTITUTE('Sales_RAW(BEFORE)'!AM92,"kg","")</f>
        <v>26,88</v>
      </c>
      <c r="AP90" s="3" t="str">
        <f>_xlfn.LET(
  _xlpm.raw, UPPER(TRIM('Sales_RAW(BEFORE)'!AN92)),
  _xlpm.clean, RIGHT(_xlpm.raw, 1),
  IF(OR(_xlpm.raw="", _xlpm.raw="null"), "N/A", _xlpm.clean)
)</f>
        <v>A</v>
      </c>
      <c r="AQ90" s="3">
        <v>15</v>
      </c>
      <c r="AR90" s="3" cm="1">
        <f t="array" ref="AR90">_xlfn.LET(
  _xlpm.raw, LOWER(TRIM('Sales_RAW(BEFORE)'!AP92)),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90" s="3"/>
      <c r="AT90" s="3"/>
      <c r="AU90" s="3"/>
      <c r="AV90" s="8">
        <f>IF(IFERROR(VALUE(SUBSTITUTE(SUBSTITUTE(TRIM('Sales_RAW(BEFORE)'!AT92), "%", ""), ",", ".")), 0) &gt; 1, IFERROR(VALUE(SUBSTITUTE(SUBSTITUTE(TRIM('Sales_RAW(BEFORE)'!AT92), "%", ""), ",", ".")), 0) / 100, IFERROR(VALUE(SUBSTITUTE(SUBSTITUTE(TRIM('Sales_RAW(BEFORE)'!AT92), "%", ""), ",", ".")), 0))</f>
        <v>0.15</v>
      </c>
      <c r="AW90" s="6">
        <f>BA90*(_xlfn.XLOOKUP(N90,Employees!$A$2:$A$26,Employees!$E$2:$E$26,2))</f>
        <v>8.148773447537474</v>
      </c>
      <c r="AX90" s="3" t="str">
        <f>PROPER('Sales_RAW(BEFORE)'!AV92)</f>
        <v xml:space="preserve">  Daniel Miller</v>
      </c>
      <c r="AY90" s="3" t="str">
        <f t="shared" si="8"/>
        <v xml:space="preserve">  Daniel Miller</v>
      </c>
      <c r="AZ90" s="3"/>
      <c r="BA90" s="24">
        <f>AK90*(1-(_xlfn.XLOOKUP(G90, Exchange_Rates!$B$8:$F$8, Exchange_Rates!$B$9:$F$9, 0)+J90))</f>
        <v>271.62578158458246</v>
      </c>
      <c r="BB90" s="7" cm="1">
        <f t="array" ref="BB90">_xlfn.LET(
  _xlpm.raw_dt, SUBSTITUTE(TRIM(C90), ".", "/"),
  _xlpm.dt, IFERROR(DATEVALUE(_xlpm.raw_dt), C90),
  _xlpm.p_code, TRIM(E90),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46600</v>
      </c>
      <c r="BC90" s="25">
        <f t="shared" si="9"/>
        <v>40.743867237687368</v>
      </c>
    </row>
    <row r="91" spans="1:55" ht="15.75" thickBot="1" x14ac:dyDescent="0.3">
      <c r="A91" s="3" t="s">
        <v>1768</v>
      </c>
      <c r="B91" s="10">
        <v>45684</v>
      </c>
      <c r="C91" s="4">
        <f>DATE(2025,2,10)</f>
        <v>45698</v>
      </c>
      <c r="D91" s="3" t="str">
        <f>"P-" &amp; TEXT(VALUE(SUBSTITUTE(SUBSTITUTE(SUBSTITUTE(UPPER(TRIM('Sales_RAW(BEFORE)'!D93)), "P", ""), "-", ""), "_", "")),"000")</f>
        <v>P-054</v>
      </c>
      <c r="E91" s="3" t="str">
        <f>VLOOKUP(D91,Product_List!$A$2:$B$61,2,FALSE)</f>
        <v>Mouse Basic 54</v>
      </c>
      <c r="F91" s="3" t="str">
        <f>_xlfn.XLOOKUP(E91,Product_List!$B$2:$B$61,Product_List!$E$2:$E$61,2)</f>
        <v>OfficeHub</v>
      </c>
      <c r="G91" s="3" t="str">
        <f>VLOOKUP(E91,Product_List!$B$2:$C$61,2,FALSE)</f>
        <v>Office</v>
      </c>
      <c r="H91" s="3" t="str">
        <f>SUBSTITUTE(SUBSTITUTE('Sales_RAW(BEFORE)'!G93,"kom",""),".","")</f>
        <v xml:space="preserve">4 </v>
      </c>
      <c r="I91" s="6">
        <f>VLOOKUP(E91,Product_List!$B$2:$D$61,3,FALSE)</f>
        <v>801.23</v>
      </c>
      <c r="J91" s="5">
        <f>IF(IFERROR(VALUE(SUBSTITUTE(SUBSTITUTE(TRIM('Sales_RAW(BEFORE)'!I93), "%", ""), ",", ".")), 0) &gt; 1, IFERROR(VALUE(SUBSTITUTE(SUBSTITUTE(TRIM('Sales_RAW(BEFORE)'!I93), "%", ""), ",", ".")), 0) / 100, IFERROR(VALUE(SUBSTITUTE(SUBSTITUTE(TRIM('Sales_RAW(BEFORE)'!I93), "%", ""), ",", ".")), 0))</f>
        <v>0.1</v>
      </c>
      <c r="K91" s="6">
        <f t="shared" si="5"/>
        <v>3204.92</v>
      </c>
      <c r="L91" s="6" t="str" cm="1">
        <f t="array" ref="L91">_xlfn.LET(
  _xlpm.valuta, UPPER(TRIM('Sales_RAW(BEFORE)'!K93)),
  _xlfn.IFS(
    _xlpm.valuta = "", "",
    OR(_xlpm.valuta = "USD", _xlpm.valuta = "$"), "$",
    OR(_xlpm.valuta = "EUR", _xlpm.valuta = "€"), "€",
    TRUE, _xlpm.valuta
  )
)</f>
        <v>$</v>
      </c>
      <c r="M91" s="3" t="str">
        <f>"E" &amp; TEXT(VALUE(SUBSTITUTE(SUBSTITUTE(SUBSTITUTE(UPPER(TRIM('Sales_RAW(BEFORE)'!L93)), "EMP", ""), "E", ""), "-", "")),"000")</f>
        <v>E005</v>
      </c>
      <c r="N91" s="3" t="str">
        <f>_xlfn.XLOOKUP(M91,Employees!$D$2:$D$26,Employees!$A$2:$A$26)</f>
        <v>Laura Williams</v>
      </c>
      <c r="O91" s="3" t="str">
        <f>_xlfn.XLOOKUP(N91,Employees!$A$2:$A$26,Employees!$C$2:$C$26,2)</f>
        <v>Online</v>
      </c>
      <c r="P91" s="3" t="str">
        <f>PROPER('Sales_RAW(BEFORE)'!N93)</f>
        <v>North</v>
      </c>
      <c r="Q91" s="3" t="str">
        <f>VLOOKUP(N91,Employees!$A$2:$B$26,2,FALSE)</f>
        <v>Houston</v>
      </c>
      <c r="R91" s="3" t="str">
        <f>PROPER('Sales_RAW(BEFORE)'!P93)</f>
        <v xml:space="preserve">  Globex Inc</v>
      </c>
      <c r="S91" s="3" t="str">
        <f>SUBSTITUTE(SUBSTITUTE('Sales_RAW(BEFORE)'!Q93,"EIN",""),":","")</f>
        <v xml:space="preserve"> 452526338</v>
      </c>
      <c r="T91" s="3"/>
      <c r="U91" s="3" t="s">
        <v>1777</v>
      </c>
      <c r="V91" s="3" t="s">
        <v>1778</v>
      </c>
      <c r="W91" s="3" t="s">
        <v>1779</v>
      </c>
      <c r="X91" s="3" t="s">
        <v>173</v>
      </c>
      <c r="Y91" s="3" t="str">
        <f>PROPER('Sales_RAW(BEFORE)'!W93)</f>
        <v>Wire Transfer</v>
      </c>
      <c r="Z91" s="3" t="str">
        <f>PROPER('Sales_RAW(BEFORE)'!X93)</f>
        <v>Pending</v>
      </c>
      <c r="AA91" s="3" t="str" cm="1">
        <f t="array" ref="AA91">_xlfn.LET(
  _xlpm.val, TRIM(LOWER('Sales_RAW(BEFORE)'!Y93)),
  _xlfn.IFS(
    OR(_xlpm.val="yes", _xlpm.val="paid"), "Paid",
    OR(_xlpm.val="no", _xlpm.val="unpaid"), "Unpaid",
    OR(_xlpm.val="partial", _xlpm.val="partial paid"), "Partial",
    _xlpm.val="", "",
    TRUE, 'Sales_RAW(BEFORE)'!AY93
  )
)</f>
        <v>Paid</v>
      </c>
      <c r="AB91" s="3" t="s">
        <v>1780</v>
      </c>
      <c r="AC91" s="3" t="str">
        <f>PROPER('Sales_RAW(BEFORE)'!AA93)</f>
        <v>Store</v>
      </c>
      <c r="AD91" s="3" t="str">
        <f>SUBSTITUTE(SUBSTITUTE(SUBSTITUTE(SUBSTITUTE('Sales_RAW(BEFORE)'!AB93,"st",""),"q",""),"Q",""),"uarter","")</f>
        <v xml:space="preserve">1 </v>
      </c>
      <c r="AE91" s="3" t="str">
        <f>TEXT(IFERROR(DATEVALUE('Sales_RAW(BEFORE)'!AC93 &amp; " 1"), IFERROR(DATE(2025, 'Sales_RAW(BEFORE)'!AC93, 1), 'Sales_RAW(BEFORE)'!AC93)), "mmmm")</f>
        <v>January</v>
      </c>
      <c r="AF91" s="3">
        <f>_xlfn.LET(
  _xlpm.raw, TRIM(SUBSTITUTE('Sales_RAW(BEFORE)'!AD93, "'", "")),
  _xlpm.num, IFERROR(VALUE(_xlpm.raw), 0),
  IF(_xlpm.num &lt; 100, 2000 + _xlpm.num, _xlpm.num)
)</f>
        <v>2025</v>
      </c>
      <c r="AG91" s="3" t="str">
        <f>PROPER('Sales_RAW(BEFORE)'!AE93)</f>
        <v>Net 30</v>
      </c>
      <c r="AH91" s="3" cm="1">
        <f t="array" ref="AH91">_xlfn.LET(
  _xlpm.val, LOWER(TRIM('Sales_RAW(BEFORE)'!AF93)),
  _xlfn.IFS(
    OR(_xlpm.val="", _xlpm.val="null", _xlpm.val="N/A", _xlpm.val="-", _xlpm.val="#N/A"), 0,
    ISNUMBER('Sales_RAW(BEFORE)'!AF93), 'Sales_RAW(BEFORE)'!AF93,
    TRUE, IFERROR(_xlfn.NUMBERVALUE(_xlpm.val), 0)
  )
)</f>
        <v>40</v>
      </c>
      <c r="AI91" s="5">
        <f>IF(IFERROR(VALUE(SUBSTITUTE(SUBSTITUTE(TRIM('Sales_RAW(BEFORE)'!AG93), "%", ""), ",", ".")), 0) &gt; 1, IFERROR(VALUE(SUBSTITUTE(SUBSTITUTE(TRIM('Sales_RAW(BEFORE)'!AG93), "%", ""), ",", ".")), 0) / 100, IFERROR(VALUE(SUBSTITUTE(SUBSTITUTE(TRIM('Sales_RAW(BEFORE)'!AG93), "%", ""), ",", ".")), 0))</f>
        <v>0.08</v>
      </c>
      <c r="AJ91" s="6">
        <f t="shared" si="6"/>
        <v>256.39359999999999</v>
      </c>
      <c r="AK91" s="6">
        <f t="shared" si="7"/>
        <v>3461.3136</v>
      </c>
      <c r="AL91" s="6">
        <f>IFERROR(VALUE(SUBSTITUTE(SUBSTITUTE(SUBSTITUTE('Sales_RAW(BEFORE)'!AJ93,"$",""),"USD",""),",",".")),0)</f>
        <v>35.56</v>
      </c>
      <c r="AM91" s="3" t="str">
        <f>SUBSTITUTE(SUBSTITUTE(PROPER('Sales_RAW(BEFORE)'!AK93), "Fed Ex", "FedEx"),"Fedex","FedEx")</f>
        <v>Ups</v>
      </c>
      <c r="AN91" s="3" t="s">
        <v>1782</v>
      </c>
      <c r="AO91" s="3" t="str">
        <f>SUBSTITUTE('Sales_RAW(BEFORE)'!AM93,"kg","")</f>
        <v>17.76</v>
      </c>
      <c r="AP91" s="3" t="str">
        <f>_xlfn.LET(
  _xlpm.raw, UPPER(TRIM('Sales_RAW(BEFORE)'!AN93)),
  _xlpm.clean, RIGHT(_xlpm.raw, 1),
  IF(OR(_xlpm.raw="", _xlpm.raw="null"), "N/A", _xlpm.clean)
)</f>
        <v>B</v>
      </c>
      <c r="AQ91" s="3">
        <v>321</v>
      </c>
      <c r="AR91" s="3" cm="1">
        <f t="array" ref="AR91">_xlfn.LET(
  _xlpm.raw, LOWER(TRIM('Sales_RAW(BEFORE)'!AP93)),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91" s="3"/>
      <c r="AT91" s="3"/>
      <c r="AU91" s="3"/>
      <c r="AV91" s="8">
        <f>IF(IFERROR(VALUE(SUBSTITUTE(SUBSTITUTE(TRIM('Sales_RAW(BEFORE)'!AT93), "%", ""), ",", ".")), 0) &gt; 1, IFERROR(VALUE(SUBSTITUTE(SUBSTITUTE(TRIM('Sales_RAW(BEFORE)'!AT93), "%", ""), ",", ".")), 0) / 100, IFERROR(VALUE(SUBSTITUTE(SUBSTITUTE(TRIM('Sales_RAW(BEFORE)'!AT93), "%", ""), ",", ".")), 0))</f>
        <v>0.25</v>
      </c>
      <c r="AW91" s="6">
        <f>BA91*(_xlfn.XLOOKUP(N91,Employees!$A$2:$A$26,Employees!$E$2:$E$26,2))</f>
        <v>83.07152640000001</v>
      </c>
      <c r="AX91" s="3" t="str">
        <f>PROPER('Sales_RAW(BEFORE)'!AV93)</f>
        <v xml:space="preserve">Chris Williams   </v>
      </c>
      <c r="AY91" s="3" t="str">
        <f t="shared" si="8"/>
        <v xml:space="preserve">Chris Williams   </v>
      </c>
      <c r="AZ91" s="3"/>
      <c r="BA91" s="24">
        <f>AK91*(1-(_xlfn.XLOOKUP(G91, Exchange_Rates!$B$8:$F$8, Exchange_Rates!$B$9:$F$9, 0)+J91))</f>
        <v>2769.0508800000002</v>
      </c>
      <c r="BB91" s="7" cm="1">
        <f t="array" ref="BB91">_xlfn.LET(
  _xlpm.raw_dt, SUBSTITUTE(TRIM(C91), ".", "/"),
  _xlpm.dt, IFERROR(DATEVALUE(_xlpm.raw_dt), C91),
  _xlpm.p_code, TRIM(E91),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46428</v>
      </c>
      <c r="BC91" s="25">
        <f t="shared" si="9"/>
        <v>692.26272000000006</v>
      </c>
    </row>
    <row r="92" spans="1:55" ht="15.75" thickBot="1" x14ac:dyDescent="0.3">
      <c r="A92" s="3" t="s">
        <v>1786</v>
      </c>
      <c r="B92" s="10">
        <f>DATE(2025,4,16)</f>
        <v>45763</v>
      </c>
      <c r="C92" s="4">
        <v>45764</v>
      </c>
      <c r="D92" s="3" t="str">
        <f>"P-" &amp; TEXT(VALUE(SUBSTITUTE(SUBSTITUTE(SUBSTITUTE(UPPER(TRIM('Sales_RAW(BEFORE)'!D94)), "P", ""), "-", ""), "_", "")),"000")</f>
        <v>P-059</v>
      </c>
      <c r="E92" s="3" t="str">
        <f>VLOOKUP(D92,Product_List!$A$2:$B$61,2,FALSE)</f>
        <v>Keyboard Max 59</v>
      </c>
      <c r="F92" s="3" t="str">
        <f>_xlfn.XLOOKUP(E92,Product_List!$B$2:$B$61,Product_List!$E$2:$E$61,2)</f>
        <v>OfficeHub</v>
      </c>
      <c r="G92" s="3" t="str">
        <f>VLOOKUP(E92,Product_List!$B$2:$C$61,2,FALSE)</f>
        <v>Furniture</v>
      </c>
      <c r="H92" s="3" t="str">
        <f>SUBSTITUTE(SUBSTITUTE('Sales_RAW(BEFORE)'!G94,"kom",""),".","")</f>
        <v xml:space="preserve">9 </v>
      </c>
      <c r="I92" s="6">
        <f>VLOOKUP(E92,Product_List!$B$2:$D$61,3,FALSE)</f>
        <v>673.61</v>
      </c>
      <c r="J92" s="5">
        <f>IF(IFERROR(VALUE(SUBSTITUTE(SUBSTITUTE(TRIM('Sales_RAW(BEFORE)'!I94), "%", ""), ",", ".")), 0) &gt; 1, IFERROR(VALUE(SUBSTITUTE(SUBSTITUTE(TRIM('Sales_RAW(BEFORE)'!I94), "%", ""), ",", ".")), 0) / 100, IFERROR(VALUE(SUBSTITUTE(SUBSTITUTE(TRIM('Sales_RAW(BEFORE)'!I94), "%", ""), ",", ".")), 0))</f>
        <v>0.1</v>
      </c>
      <c r="K92" s="6">
        <f t="shared" si="5"/>
        <v>6062.49</v>
      </c>
      <c r="L92" s="6" t="str" cm="1">
        <f t="array" ref="L92">_xlfn.LET(
  _xlpm.valuta, UPPER(TRIM('Sales_RAW(BEFORE)'!K94)),
  _xlfn.IFS(
    _xlpm.valuta = "", "",
    OR(_xlpm.valuta = "USD", _xlpm.valuta = "$"), "$",
    OR(_xlpm.valuta = "EUR", _xlpm.valuta = "€"), "€",
    TRUE, _xlpm.valuta
  )
)</f>
        <v>$</v>
      </c>
      <c r="M92" s="3" t="str">
        <f>"E" &amp; TEXT(VALUE(SUBSTITUTE(SUBSTITUTE(SUBSTITUTE(UPPER(TRIM('Sales_RAW(BEFORE)'!L94)), "EMP", ""), "E", ""), "-", "")),"000")</f>
        <v>E008</v>
      </c>
      <c r="N92" s="3" t="str">
        <f>_xlfn.XLOOKUP(M92,Employees!$D$2:$D$26,Employees!$A$2:$A$26)</f>
        <v>Michael Williams</v>
      </c>
      <c r="O92" s="3" t="str">
        <f>_xlfn.XLOOKUP(N92,Employees!$A$2:$A$26,Employees!$C$2:$C$26,2)</f>
        <v>Wholesale</v>
      </c>
      <c r="P92" s="3" t="str">
        <f>PROPER('Sales_RAW(BEFORE)'!N94)</f>
        <v>South</v>
      </c>
      <c r="Q92" s="3" t="str">
        <f>VLOOKUP(N92,Employees!$A$2:$B$26,2,FALSE)</f>
        <v>New York</v>
      </c>
      <c r="R92" s="3" t="str">
        <f>PROPER('Sales_RAW(BEFORE)'!P94)</f>
        <v xml:space="preserve">   Wayne Ltd.</v>
      </c>
      <c r="S92" s="3" t="str">
        <f>SUBSTITUTE(SUBSTITUTE('Sales_RAW(BEFORE)'!Q94,"EIN",""),":","")</f>
        <v>668157470</v>
      </c>
      <c r="T92" s="3" t="s">
        <v>1232</v>
      </c>
      <c r="U92" s="3" t="s">
        <v>1796</v>
      </c>
      <c r="V92" s="3" t="s">
        <v>1797</v>
      </c>
      <c r="W92" s="3" t="s">
        <v>1798</v>
      </c>
      <c r="X92" s="3" t="s">
        <v>173</v>
      </c>
      <c r="Y92" s="3" t="str">
        <f>PROPER('Sales_RAW(BEFORE)'!W94)</f>
        <v>Credit Card</v>
      </c>
      <c r="Z92" s="3" t="str">
        <f>PROPER('Sales_RAW(BEFORE)'!X94)</f>
        <v>Delivered</v>
      </c>
      <c r="AA92" s="3" t="str" cm="1">
        <f t="array" ref="AA92">_xlfn.LET(
  _xlpm.val, TRIM(LOWER('Sales_RAW(BEFORE)'!Y94)),
  _xlfn.IFS(
    OR(_xlpm.val="yes", _xlpm.val="paid"), "Paid",
    OR(_xlpm.val="no", _xlpm.val="unpaid"), "Unpaid",
    OR(_xlpm.val="partial", _xlpm.val="partial paid"), "Partial",
    _xlpm.val="", "",
    TRUE, 'Sales_RAW(BEFORE)'!AY94
  )
)</f>
        <v>Partial</v>
      </c>
      <c r="AB92" s="3" t="s">
        <v>1799</v>
      </c>
      <c r="AC92" s="3" t="str">
        <f>PROPER('Sales_RAW(BEFORE)'!AA94)</f>
        <v>Online</v>
      </c>
      <c r="AD92" s="3" t="str">
        <f>SUBSTITUTE(SUBSTITUTE(SUBSTITUTE(SUBSTITUTE('Sales_RAW(BEFORE)'!AB94,"st",""),"q",""),"Q",""),"uarter","")</f>
        <v>1</v>
      </c>
      <c r="AE92" s="3" t="str">
        <f>TEXT(IFERROR(DATEVALUE('Sales_RAW(BEFORE)'!AC94 &amp; " 1"), IFERROR(DATE(2025, 'Sales_RAW(BEFORE)'!AC94, 1), 'Sales_RAW(BEFORE)'!AC94)), "mmmm")</f>
        <v>April</v>
      </c>
      <c r="AF92" s="3">
        <f>_xlfn.LET(
  _xlpm.raw, TRIM(SUBSTITUTE('Sales_RAW(BEFORE)'!AD94, "'", "")),
  _xlpm.num, IFERROR(VALUE(_xlpm.raw), 0),
  IF(_xlpm.num &lt; 100, 2000 + _xlpm.num, _xlpm.num)
)</f>
        <v>2025</v>
      </c>
      <c r="AG92" s="3" t="str">
        <f>PROPER('Sales_RAW(BEFORE)'!AE94)</f>
        <v>Net 60</v>
      </c>
      <c r="AH92" s="3" cm="1">
        <f t="array" ref="AH92">_xlfn.LET(
  _xlpm.val, LOWER(TRIM('Sales_RAW(BEFORE)'!AF94)),
  _xlfn.IFS(
    OR(_xlpm.val="", _xlpm.val="null", _xlpm.val="N/A", _xlpm.val="-", _xlpm.val="#N/A"), 0,
    ISNUMBER('Sales_RAW(BEFORE)'!AF94), 'Sales_RAW(BEFORE)'!AF94,
    TRUE, IFERROR(_xlfn.NUMBERVALUE(_xlpm.val), 0)
  )
)</f>
        <v>29</v>
      </c>
      <c r="AI92" s="5">
        <f>IF(IFERROR(VALUE(SUBSTITUTE(SUBSTITUTE(TRIM('Sales_RAW(BEFORE)'!AG94), "%", ""), ",", ".")), 0) &gt; 1, IFERROR(VALUE(SUBSTITUTE(SUBSTITUTE(TRIM('Sales_RAW(BEFORE)'!AG94), "%", ""), ",", ".")), 0) / 100, IFERROR(VALUE(SUBSTITUTE(SUBSTITUTE(TRIM('Sales_RAW(BEFORE)'!AG94), "%", ""), ",", ".")), 0))</f>
        <v>0.08</v>
      </c>
      <c r="AJ92" s="6">
        <f t="shared" si="6"/>
        <v>484.99919999999997</v>
      </c>
      <c r="AK92" s="6">
        <f t="shared" si="7"/>
        <v>6547.4892</v>
      </c>
      <c r="AL92" s="6">
        <f>IFERROR(VALUE(SUBSTITUTE(SUBSTITUTE(SUBSTITUTE('Sales_RAW(BEFORE)'!AJ94,"$",""),"USD",""),",",".")),0)</f>
        <v>32</v>
      </c>
      <c r="AM92" s="3" t="str">
        <f>SUBSTITUTE(SUBSTITUTE(PROPER('Sales_RAW(BEFORE)'!AK94), "Fed Ex", "FedEx"),"Fedex","FedEx")</f>
        <v>Dhl</v>
      </c>
      <c r="AN92" s="3" t="s">
        <v>1801</v>
      </c>
      <c r="AO92" s="3" t="str">
        <f>SUBSTITUTE('Sales_RAW(BEFORE)'!AM94,"kg","")</f>
        <v>10,47</v>
      </c>
      <c r="AP92" s="3" t="str">
        <f>_xlfn.LET(
  _xlpm.raw, UPPER(TRIM('Sales_RAW(BEFORE)'!AN94)),
  _xlpm.clean, RIGHT(_xlpm.raw, 1),
  IF(OR(_xlpm.raw="", _xlpm.raw="null"), "N/A", _xlpm.clean)
)</f>
        <v>A</v>
      </c>
      <c r="AQ92" s="3">
        <v>422</v>
      </c>
      <c r="AR92" s="3" cm="1">
        <f t="array" ref="AR92">_xlfn.LET(
  _xlpm.raw, LOWER(TRIM('Sales_RAW(BEFORE)'!AP94)),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92" s="3"/>
      <c r="AT92" s="3"/>
      <c r="AU92" s="3"/>
      <c r="AV92" s="8">
        <f>IF(IFERROR(VALUE(SUBSTITUTE(SUBSTITUTE(TRIM('Sales_RAW(BEFORE)'!AT94), "%", ""), ",", ".")), 0) &gt; 1, IFERROR(VALUE(SUBSTITUTE(SUBSTITUTE(TRIM('Sales_RAW(BEFORE)'!AT94), "%", ""), ",", ".")), 0) / 100, IFERROR(VALUE(SUBSTITUTE(SUBSTITUTE(TRIM('Sales_RAW(BEFORE)'!AT94), "%", ""), ",", ".")), 0))</f>
        <v>0.18</v>
      </c>
      <c r="AW92" s="6">
        <f>BA92*(_xlfn.XLOOKUP(N92,Employees!$A$2:$A$26,Employees!$E$2:$E$26,2))</f>
        <v>261.89956799999999</v>
      </c>
      <c r="AX92" s="3" t="str">
        <f>PROPER('Sales_RAW(BEFORE)'!AV94)</f>
        <v>Daniel Wilson</v>
      </c>
      <c r="AY92" s="3" t="str">
        <f t="shared" si="8"/>
        <v>Daniel Wilson</v>
      </c>
      <c r="AZ92" s="3"/>
      <c r="BA92" s="24">
        <f>AK92*(1-(_xlfn.XLOOKUP(G92, Exchange_Rates!$B$8:$F$8, Exchange_Rates!$B$9:$F$9, 0)+J92))</f>
        <v>5237.99136</v>
      </c>
      <c r="BB92" s="7" cm="1">
        <f t="array" ref="BB92">_xlfn.LET(
  _xlpm.raw_dt, SUBSTITUTE(TRIM(C92), ".", "/"),
  _xlpm.dt, IFERROR(DATEVALUE(_xlpm.raw_dt), C92),
  _xlpm.p_code, TRIM(E92),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46494</v>
      </c>
      <c r="BC92" s="25">
        <f t="shared" si="9"/>
        <v>942.83844479999993</v>
      </c>
    </row>
    <row r="93" spans="1:55" ht="15.75" thickBot="1" x14ac:dyDescent="0.3">
      <c r="A93" s="3" t="s">
        <v>1805</v>
      </c>
      <c r="B93" s="10">
        <v>45681</v>
      </c>
      <c r="C93" s="4">
        <f>DATE(2025,1,29)</f>
        <v>45686</v>
      </c>
      <c r="D93" s="3" t="str">
        <f>"P-" &amp; TEXT(VALUE(SUBSTITUTE(SUBSTITUTE(SUBSTITUTE(UPPER(TRIM('Sales_RAW(BEFORE)'!D95)), "P", ""), "-", ""), "_", "")),"000")</f>
        <v>P-015</v>
      </c>
      <c r="E93" s="3" t="str">
        <f>VLOOKUP(D93,Product_List!$A$2:$B$61,2,FALSE)</f>
        <v>License Max 15</v>
      </c>
      <c r="F93" s="3" t="str">
        <f>_xlfn.XLOOKUP(E93,Product_List!$B$2:$B$61,Product_List!$E$2:$E$61,2)</f>
        <v>Global Distrib</v>
      </c>
      <c r="G93" s="3" t="str">
        <f>VLOOKUP(E93,Product_List!$B$2:$C$61,2,FALSE)</f>
        <v>Software</v>
      </c>
      <c r="H93" s="3" t="str">
        <f>SUBSTITUTE(SUBSTITUTE('Sales_RAW(BEFORE)'!G95,"kom",""),".","")</f>
        <v>18</v>
      </c>
      <c r="I93" s="6">
        <f>VLOOKUP(E93,Product_List!$B$2:$D$61,3,FALSE)</f>
        <v>545.57000000000005</v>
      </c>
      <c r="J93" s="5">
        <f>IF(IFERROR(VALUE(SUBSTITUTE(SUBSTITUTE(TRIM('Sales_RAW(BEFORE)'!I95), "%", ""), ",", ".")), 0) &gt; 1, IFERROR(VALUE(SUBSTITUTE(SUBSTITUTE(TRIM('Sales_RAW(BEFORE)'!I95), "%", ""), ",", ".")), 0) / 100, IFERROR(VALUE(SUBSTITUTE(SUBSTITUTE(TRIM('Sales_RAW(BEFORE)'!I95), "%", ""), ",", ".")), 0))</f>
        <v>0</v>
      </c>
      <c r="K93" s="6">
        <f t="shared" si="5"/>
        <v>9820.26</v>
      </c>
      <c r="L93" s="6" t="str" cm="1">
        <f t="array" ref="L93">_xlfn.LET(
  _xlpm.valuta, UPPER(TRIM('Sales_RAW(BEFORE)'!K95)),
  _xlfn.IFS(
    _xlpm.valuta = "", "",
    OR(_xlpm.valuta = "USD", _xlpm.valuta = "$"), "$",
    OR(_xlpm.valuta = "EUR", _xlpm.valuta = "€"), "€",
    TRUE, _xlpm.valuta
  )
)</f>
        <v>$</v>
      </c>
      <c r="M93" s="3" t="str">
        <f>"E" &amp; TEXT(VALUE(SUBSTITUTE(SUBSTITUTE(SUBSTITUTE(UPPER(TRIM('Sales_RAW(BEFORE)'!L95)), "EMP", ""), "E", ""), "-", "")),"000")</f>
        <v>E011</v>
      </c>
      <c r="N93" s="3" t="str">
        <f>_xlfn.XLOOKUP(M93,Employees!$D$2:$D$26,Employees!$A$2:$A$26)</f>
        <v>Michael Taylor</v>
      </c>
      <c r="O93" s="3" t="str">
        <f>_xlfn.XLOOKUP(N93,Employees!$A$2:$A$26,Employees!$C$2:$C$26,2)</f>
        <v>Wholesale</v>
      </c>
      <c r="P93" s="3" t="str">
        <f>PROPER('Sales_RAW(BEFORE)'!N95)</f>
        <v>North</v>
      </c>
      <c r="Q93" s="3" t="str">
        <f>VLOOKUP(N93,Employees!$A$2:$B$26,2,FALSE)</f>
        <v>Boston</v>
      </c>
      <c r="R93" s="3" t="str">
        <f>PROPER('Sales_RAW(BEFORE)'!P95)</f>
        <v>Acme Ltd.</v>
      </c>
      <c r="S93" s="3" t="str">
        <f>SUBSTITUTE(SUBSTITUTE('Sales_RAW(BEFORE)'!Q95,"EIN",""),":","")</f>
        <v>741744300</v>
      </c>
      <c r="T93" s="3" t="s">
        <v>1815</v>
      </c>
      <c r="U93" s="3" t="s">
        <v>1816</v>
      </c>
      <c r="V93" s="3" t="s">
        <v>1817</v>
      </c>
      <c r="W93" s="3" t="s">
        <v>1818</v>
      </c>
      <c r="X93" s="3" t="s">
        <v>173</v>
      </c>
      <c r="Y93" s="3" t="str">
        <f>PROPER('Sales_RAW(BEFORE)'!W95)</f>
        <v>Credit Card</v>
      </c>
      <c r="Z93" s="3" t="str">
        <f>PROPER('Sales_RAW(BEFORE)'!X95)</f>
        <v>Cancelled</v>
      </c>
      <c r="AA93" s="3" t="str" cm="1">
        <f t="array" ref="AA93">_xlfn.LET(
  _xlpm.val, TRIM(LOWER('Sales_RAW(BEFORE)'!Y95)),
  _xlfn.IFS(
    OR(_xlpm.val="yes", _xlpm.val="paid"), "Paid",
    OR(_xlpm.val="no", _xlpm.val="unpaid"), "Unpaid",
    OR(_xlpm.val="partial", _xlpm.val="partial paid"), "Partial",
    _xlpm.val="", "",
    TRUE, 'Sales_RAW(BEFORE)'!AY95
  )
)</f>
        <v>Paid</v>
      </c>
      <c r="AB93" s="3" t="s">
        <v>1819</v>
      </c>
      <c r="AC93" s="3" t="str">
        <f>PROPER('Sales_RAW(BEFORE)'!AA95)</f>
        <v>Store</v>
      </c>
      <c r="AD93" s="3" t="str">
        <f>SUBSTITUTE(SUBSTITUTE(SUBSTITUTE(SUBSTITUTE('Sales_RAW(BEFORE)'!AB95,"st",""),"q",""),"Q",""),"uarter","")</f>
        <v xml:space="preserve">1 </v>
      </c>
      <c r="AE93" s="3" t="str">
        <f>TEXT(IFERROR(DATEVALUE('Sales_RAW(BEFORE)'!AC95 &amp; " 1"), IFERROR(DATE(2025, 'Sales_RAW(BEFORE)'!AC95, 1), 'Sales_RAW(BEFORE)'!AC95)), "mmmm")</f>
        <v>January</v>
      </c>
      <c r="AF93" s="3">
        <f>_xlfn.LET(
  _xlpm.raw, TRIM(SUBSTITUTE('Sales_RAW(BEFORE)'!AD95, "'", "")),
  _xlpm.num, IFERROR(VALUE(_xlpm.raw), 0),
  IF(_xlpm.num &lt; 100, 2000 + _xlpm.num, _xlpm.num)
)</f>
        <v>2025</v>
      </c>
      <c r="AG93" s="3" t="str">
        <f>PROPER('Sales_RAW(BEFORE)'!AE95)</f>
        <v>Net 30</v>
      </c>
      <c r="AH93" s="3" cm="1">
        <f t="array" ref="AH93">_xlfn.LET(
  _xlpm.val, LOWER(TRIM('Sales_RAW(BEFORE)'!AF95)),
  _xlfn.IFS(
    OR(_xlpm.val="", _xlpm.val="null", _xlpm.val="N/A", _xlpm.val="-", _xlpm.val="#N/A"), 0,
    ISNUMBER('Sales_RAW(BEFORE)'!AF95), 'Sales_RAW(BEFORE)'!AF95,
    TRUE, IFERROR(_xlfn.NUMBERVALUE(_xlpm.val), 0)
  )
)</f>
        <v>9</v>
      </c>
      <c r="AI93" s="5">
        <f>IF(IFERROR(VALUE(SUBSTITUTE(SUBSTITUTE(TRIM('Sales_RAW(BEFORE)'!AG95), "%", ""), ",", ".")), 0) &gt; 1, IFERROR(VALUE(SUBSTITUTE(SUBSTITUTE(TRIM('Sales_RAW(BEFORE)'!AG95), "%", ""), ",", ".")), 0) / 100, IFERROR(VALUE(SUBSTITUTE(SUBSTITUTE(TRIM('Sales_RAW(BEFORE)'!AG95), "%", ""), ",", ".")), 0))</f>
        <v>0.08</v>
      </c>
      <c r="AJ93" s="6">
        <f t="shared" si="6"/>
        <v>785.62080000000003</v>
      </c>
      <c r="AK93" s="6">
        <f t="shared" si="7"/>
        <v>10605.880800000001</v>
      </c>
      <c r="AL93" s="6">
        <f>IFERROR(VALUE(SUBSTITUTE(SUBSTITUTE(SUBSTITUTE('Sales_RAW(BEFORE)'!AJ95,"$",""),"USD",""),",",".")),0)</f>
        <v>34.81</v>
      </c>
      <c r="AM93" s="3" t="str">
        <f>SUBSTITUTE(SUBSTITUTE(PROPER('Sales_RAW(BEFORE)'!AK95), "Fed Ex", "FedEx"),"Fedex","FedEx")</f>
        <v>Dhl</v>
      </c>
      <c r="AN93" s="3" t="s">
        <v>1820</v>
      </c>
      <c r="AO93" s="3" t="str">
        <f>SUBSTITUTE('Sales_RAW(BEFORE)'!AM95,"kg","")</f>
        <v>28.41</v>
      </c>
      <c r="AP93" s="3" t="str">
        <f>_xlfn.LET(
  _xlpm.raw, UPPER(TRIM('Sales_RAW(BEFORE)'!AN95)),
  _xlpm.clean, RIGHT(_xlpm.raw, 1),
  IF(OR(_xlpm.raw="", _xlpm.raw="null"), "N/A", _xlpm.clean)
)</f>
        <v>B</v>
      </c>
      <c r="AQ93" s="3">
        <v>0</v>
      </c>
      <c r="AR93" s="3" cm="1">
        <f t="array" ref="AR93">_xlfn.LET(
  _xlpm.raw, LOWER(TRIM('Sales_RAW(BEFORE)'!AP95)),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93" s="3"/>
      <c r="AT93" s="3"/>
      <c r="AU93" s="3"/>
      <c r="AV93" s="8">
        <f>IF(IFERROR(VALUE(SUBSTITUTE(SUBSTITUTE(TRIM('Sales_RAW(BEFORE)'!AT95), "%", ""), ",", ".")), 0) &gt; 1, IFERROR(VALUE(SUBSTITUTE(SUBSTITUTE(TRIM('Sales_RAW(BEFORE)'!AT95), "%", ""), ",", ".")), 0) / 100, IFERROR(VALUE(SUBSTITUTE(SUBSTITUTE(TRIM('Sales_RAW(BEFORE)'!AT95), "%", ""), ",", ".")), 0))</f>
        <v>0.15</v>
      </c>
      <c r="AW93" s="6">
        <f>BA93*(_xlfn.XLOOKUP(N93,Employees!$A$2:$A$26,Employees!$E$2:$E$26,2))</f>
        <v>180.29997360000002</v>
      </c>
      <c r="AX93" s="3" t="str">
        <f>PROPER('Sales_RAW(BEFORE)'!AV95)</f>
        <v xml:space="preserve">  David Smith   </v>
      </c>
      <c r="AY93" s="3" t="str">
        <f t="shared" si="8"/>
        <v xml:space="preserve">  David Smith   </v>
      </c>
      <c r="AZ93" s="3"/>
      <c r="BA93" s="24">
        <f>AK93*(1-(_xlfn.XLOOKUP(G93, Exchange_Rates!$B$8:$F$8, Exchange_Rates!$B$9:$F$9, 0)+J93))</f>
        <v>9014.9986800000006</v>
      </c>
      <c r="BB93" s="7" cm="1">
        <f t="array" ref="BB93">_xlfn.LET(
  _xlpm.raw_dt, SUBSTITUTE(TRIM(C93), ".", "/"),
  _xlpm.dt, IFERROR(DATEVALUE(_xlpm.raw_dt), C93),
  _xlpm.p_code, TRIM(E93),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46416</v>
      </c>
      <c r="BC93" s="25">
        <f t="shared" si="9"/>
        <v>1352.249802</v>
      </c>
    </row>
    <row r="94" spans="1:55" ht="15.75" thickBot="1" x14ac:dyDescent="0.3">
      <c r="A94" s="3" t="s">
        <v>1822</v>
      </c>
      <c r="B94" s="10">
        <v>45737</v>
      </c>
      <c r="C94" s="4">
        <v>45746</v>
      </c>
      <c r="D94" s="3" t="str">
        <f>"P-" &amp; TEXT(VALUE(SUBSTITUTE(SUBSTITUTE(SUBSTITUTE(UPPER(TRIM('Sales_RAW(BEFORE)'!D96)), "P", ""), "-", ""), "_", "")),"000")</f>
        <v>P-007</v>
      </c>
      <c r="E94" s="3" t="str">
        <f>VLOOKUP(D94,Product_List!$A$2:$B$61,2,FALSE)</f>
        <v>Headphones Max 7</v>
      </c>
      <c r="F94" s="3" t="str">
        <f>_xlfn.XLOOKUP(E94,Product_List!$B$2:$B$61,Product_List!$E$2:$E$61,2)</f>
        <v>OfficeHub</v>
      </c>
      <c r="G94" s="3" t="str">
        <f>VLOOKUP(E94,Product_List!$B$2:$C$61,2,FALSE)</f>
        <v>Software</v>
      </c>
      <c r="H94" s="3" t="str">
        <f>SUBSTITUTE(SUBSTITUTE('Sales_RAW(BEFORE)'!G96,"kom",""),".","")</f>
        <v>30</v>
      </c>
      <c r="I94" s="6">
        <f>VLOOKUP(E94,Product_List!$B$2:$D$61,3,FALSE)</f>
        <v>79.14</v>
      </c>
      <c r="J94" s="5">
        <f>IF(IFERROR(VALUE(SUBSTITUTE(SUBSTITUTE(TRIM('Sales_RAW(BEFORE)'!I96), "%", ""), ",", ".")), 0) &gt; 1, IFERROR(VALUE(SUBSTITUTE(SUBSTITUTE(TRIM('Sales_RAW(BEFORE)'!I96), "%", ""), ",", ".")), 0) / 100, IFERROR(VALUE(SUBSTITUTE(SUBSTITUTE(TRIM('Sales_RAW(BEFORE)'!I96), "%", ""), ",", ".")), 0))</f>
        <v>0.05</v>
      </c>
      <c r="K94" s="6">
        <f t="shared" si="5"/>
        <v>2374.1999999999998</v>
      </c>
      <c r="L94" s="6" t="str" cm="1">
        <f t="array" ref="L94">_xlfn.LET(
  _xlpm.valuta, UPPER(TRIM('Sales_RAW(BEFORE)'!K96)),
  _xlfn.IFS(
    _xlpm.valuta = "", "",
    OR(_xlpm.valuta = "USD", _xlpm.valuta = "$"), "$",
    OR(_xlpm.valuta = "EUR", _xlpm.valuta = "€"), "€",
    TRUE, _xlpm.valuta
  )
)</f>
        <v>$</v>
      </c>
      <c r="M94" s="3" t="str">
        <f>"E" &amp; TEXT(VALUE(SUBSTITUTE(SUBSTITUTE(SUBSTITUTE(UPPER(TRIM('Sales_RAW(BEFORE)'!L96)), "EMP", ""), "E", ""), "-", "")),"000")</f>
        <v>E005</v>
      </c>
      <c r="N94" s="3" t="str">
        <f>_xlfn.XLOOKUP(M94,Employees!$D$2:$D$26,Employees!$A$2:$A$26)</f>
        <v>Laura Williams</v>
      </c>
      <c r="O94" s="3" t="str">
        <f>_xlfn.XLOOKUP(N94,Employees!$A$2:$A$26,Employees!$C$2:$C$26,2)</f>
        <v>Online</v>
      </c>
      <c r="P94" s="3" t="str">
        <f>PROPER('Sales_RAW(BEFORE)'!N96)</f>
        <v>South</v>
      </c>
      <c r="Q94" s="3" t="str">
        <f>VLOOKUP(N94,Employees!$A$2:$B$26,2,FALSE)</f>
        <v>Houston</v>
      </c>
      <c r="R94" s="3" t="str">
        <f>PROPER('Sales_RAW(BEFORE)'!P96)</f>
        <v>Globex Ltd.</v>
      </c>
      <c r="S94" s="3" t="str">
        <f>SUBSTITUTE(SUBSTITUTE('Sales_RAW(BEFORE)'!Q96,"EIN",""),":","")</f>
        <v>868666386</v>
      </c>
      <c r="T94" s="3" t="s">
        <v>818</v>
      </c>
      <c r="U94" s="3" t="s">
        <v>1832</v>
      </c>
      <c r="V94" s="3" t="s">
        <v>1833</v>
      </c>
      <c r="W94" s="3" t="s">
        <v>1834</v>
      </c>
      <c r="X94" s="3" t="s">
        <v>173</v>
      </c>
      <c r="Y94" s="3" t="str">
        <f>PROPER('Sales_RAW(BEFORE)'!W96)</f>
        <v>Wire Transfer</v>
      </c>
      <c r="Z94" s="3" t="str">
        <f>PROPER('Sales_RAW(BEFORE)'!X96)</f>
        <v>Delivered</v>
      </c>
      <c r="AA94" s="3" t="str" cm="1">
        <f t="array" ref="AA94">_xlfn.LET(
  _xlpm.val, TRIM(LOWER('Sales_RAW(BEFORE)'!Y96)),
  _xlfn.IFS(
    OR(_xlpm.val="yes", _xlpm.val="paid"), "Paid",
    OR(_xlpm.val="no", _xlpm.val="unpaid"), "Unpaid",
    OR(_xlpm.val="partial", _xlpm.val="partial paid"), "Partial",
    _xlpm.val="", "",
    TRUE, 'Sales_RAW(BEFORE)'!AY96
  )
)</f>
        <v>Paid</v>
      </c>
      <c r="AB94" s="3" t="s">
        <v>1835</v>
      </c>
      <c r="AC94" s="3" t="str">
        <f>PROPER('Sales_RAW(BEFORE)'!AA96)</f>
        <v>Store</v>
      </c>
      <c r="AD94" s="3" t="str">
        <f>SUBSTITUTE(SUBSTITUTE(SUBSTITUTE(SUBSTITUTE('Sales_RAW(BEFORE)'!AB96,"st",""),"q",""),"Q",""),"uarter","")</f>
        <v>2</v>
      </c>
      <c r="AE94" s="3" t="str">
        <f>TEXT(IFERROR(DATEVALUE('Sales_RAW(BEFORE)'!AC96 &amp; " 1"), IFERROR(DATE(2025, 'Sales_RAW(BEFORE)'!AC96, 1), 'Sales_RAW(BEFORE)'!AC96)), "mmmm")</f>
        <v>March</v>
      </c>
      <c r="AF94" s="3">
        <f>_xlfn.LET(
  _xlpm.raw, TRIM(SUBSTITUTE('Sales_RAW(BEFORE)'!AD96, "'", "")),
  _xlpm.num, IFERROR(VALUE(_xlpm.raw), 0),
  IF(_xlpm.num &lt; 100, 2000 + _xlpm.num, _xlpm.num)
)</f>
        <v>2025</v>
      </c>
      <c r="AG94" s="3" t="str">
        <f>PROPER('Sales_RAW(BEFORE)'!AE96)</f>
        <v>15</v>
      </c>
      <c r="AH94" s="3" cm="1">
        <f t="array" ref="AH94">_xlfn.LET(
  _xlpm.val, LOWER(TRIM('Sales_RAW(BEFORE)'!AF96)),
  _xlfn.IFS(
    OR(_xlpm.val="", _xlpm.val="null", _xlpm.val="N/A", _xlpm.val="-", _xlpm.val="#N/A"), 0,
    ISNUMBER('Sales_RAW(BEFORE)'!AF96), 'Sales_RAW(BEFORE)'!AF96,
    TRUE, IFERROR(_xlfn.NUMBERVALUE(_xlpm.val), 0)
  )
)</f>
        <v>51</v>
      </c>
      <c r="AI94" s="5">
        <f>IF(IFERROR(VALUE(SUBSTITUTE(SUBSTITUTE(TRIM('Sales_RAW(BEFORE)'!AG96), "%", ""), ",", ".")), 0) &gt; 1, IFERROR(VALUE(SUBSTITUTE(SUBSTITUTE(TRIM('Sales_RAW(BEFORE)'!AG96), "%", ""), ",", ".")), 0) / 100, IFERROR(VALUE(SUBSTITUTE(SUBSTITUTE(TRIM('Sales_RAW(BEFORE)'!AG96), "%", ""), ",", ".")), 0))</f>
        <v>0.08</v>
      </c>
      <c r="AJ94" s="6">
        <f t="shared" si="6"/>
        <v>189.93599999999998</v>
      </c>
      <c r="AK94" s="6">
        <f t="shared" si="7"/>
        <v>2564.136</v>
      </c>
      <c r="AL94" s="6">
        <f>IFERROR(VALUE(SUBSTITUTE(SUBSTITUTE(SUBSTITUTE('Sales_RAW(BEFORE)'!AJ96,"$",""),"USD",""),",",".")),0)</f>
        <v>16.2</v>
      </c>
      <c r="AM94" s="3" t="str">
        <f>SUBSTITUTE(SUBSTITUTE(PROPER('Sales_RAW(BEFORE)'!AK96), "Fed Ex", "FedEx"),"Fedex","FedEx")</f>
        <v>Dhl</v>
      </c>
      <c r="AN94" s="3" t="s">
        <v>1837</v>
      </c>
      <c r="AO94" s="3" t="str">
        <f>SUBSTITUTE('Sales_RAW(BEFORE)'!AM96,"kg","")</f>
        <v>18.85</v>
      </c>
      <c r="AP94" s="3" t="str">
        <f>_xlfn.LET(
  _xlpm.raw, UPPER(TRIM('Sales_RAW(BEFORE)'!AN96)),
  _xlpm.clean, RIGHT(_xlpm.raw, 1),
  IF(OR(_xlpm.raw="", _xlpm.raw="null"), "N/A", _xlpm.clean)
)</f>
        <v>A</v>
      </c>
      <c r="AQ94" s="3">
        <v>382</v>
      </c>
      <c r="AR94" s="3" cm="1">
        <f t="array" ref="AR94">_xlfn.LET(
  _xlpm.raw, LOWER(TRIM('Sales_RAW(BEFORE)'!AP96)),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94" s="3"/>
      <c r="AT94" s="3"/>
      <c r="AU94" s="3"/>
      <c r="AV94" s="8">
        <f>IF(IFERROR(VALUE(SUBSTITUTE(SUBSTITUTE(TRIM('Sales_RAW(BEFORE)'!AT96), "%", ""), ",", ".")), 0) &gt; 1, IFERROR(VALUE(SUBSTITUTE(SUBSTITUTE(TRIM('Sales_RAW(BEFORE)'!AT96), "%", ""), ",", ".")), 0) / 100, IFERROR(VALUE(SUBSTITUTE(SUBSTITUTE(TRIM('Sales_RAW(BEFORE)'!AT96), "%", ""), ",", ".")), 0))</f>
        <v>0.15</v>
      </c>
      <c r="AW94" s="6">
        <f>BA94*(_xlfn.XLOOKUP(N94,Employees!$A$2:$A$26,Employees!$E$2:$E$26,2))</f>
        <v>61.539264000000003</v>
      </c>
      <c r="AX94" s="3" t="str">
        <f>PROPER('Sales_RAW(BEFORE)'!AV96)</f>
        <v>Laura Brown</v>
      </c>
      <c r="AY94" s="3" t="str">
        <f t="shared" si="8"/>
        <v>Laura Brown</v>
      </c>
      <c r="AZ94" s="3"/>
      <c r="BA94" s="24">
        <f>AK94*(1-(_xlfn.XLOOKUP(G94, Exchange_Rates!$B$8:$F$8, Exchange_Rates!$B$9:$F$9, 0)+J94))</f>
        <v>2051.3088000000002</v>
      </c>
      <c r="BB94" s="7" cm="1">
        <f t="array" ref="BB94">_xlfn.LET(
  _xlpm.raw_dt, SUBSTITUTE(TRIM(C94), ".", "/"),
  _xlpm.dt, IFERROR(DATEVALUE(_xlpm.raw_dt), C94),
  _xlpm.p_code, TRIM(E94),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46476</v>
      </c>
      <c r="BC94" s="25">
        <f t="shared" si="9"/>
        <v>307.69632000000001</v>
      </c>
    </row>
    <row r="95" spans="1:55" ht="15.75" thickBot="1" x14ac:dyDescent="0.3">
      <c r="A95" s="3" t="s">
        <v>1839</v>
      </c>
      <c r="B95" s="10">
        <v>45952</v>
      </c>
      <c r="C95" s="4">
        <v>45958</v>
      </c>
      <c r="D95" s="3" t="str">
        <f>"P-" &amp; TEXT(VALUE(SUBSTITUTE(SUBSTITUTE(SUBSTITUTE(UPPER(TRIM('Sales_RAW(BEFORE)'!D97)), "P", ""), "-", ""), "_", "")),"000")</f>
        <v>P-012</v>
      </c>
      <c r="E95" s="3" t="str">
        <f>VLOOKUP(D95,Product_List!$A$2:$B$61,2,FALSE)</f>
        <v>Keyboard Basic 12</v>
      </c>
      <c r="F95" s="3" t="str">
        <f>_xlfn.XLOOKUP(E95,Product_List!$B$2:$B$61,Product_List!$E$2:$E$61,2)</f>
        <v>OfficeHub</v>
      </c>
      <c r="G95" s="3" t="str">
        <f>VLOOKUP(E95,Product_List!$B$2:$C$61,2,FALSE)</f>
        <v>Electronics</v>
      </c>
      <c r="H95" s="3" t="str">
        <f>SUBSTITUTE(SUBSTITUTE('Sales_RAW(BEFORE)'!G97,"kom",""),".","")</f>
        <v>7</v>
      </c>
      <c r="I95" s="6">
        <f>VLOOKUP(E95,Product_List!$B$2:$D$61,3,FALSE)</f>
        <v>823.88</v>
      </c>
      <c r="J95" s="5">
        <f>IF(IFERROR(VALUE(SUBSTITUTE(SUBSTITUTE(TRIM('Sales_RAW(BEFORE)'!I97), "%", ""), ",", ".")), 0) &gt; 1, IFERROR(VALUE(SUBSTITUTE(SUBSTITUTE(TRIM('Sales_RAW(BEFORE)'!I97), "%", ""), ",", ".")), 0) / 100, IFERROR(VALUE(SUBSTITUTE(SUBSTITUTE(TRIM('Sales_RAW(BEFORE)'!I97), "%", ""), ",", ".")), 0))</f>
        <v>0.05</v>
      </c>
      <c r="K95" s="6">
        <f t="shared" si="5"/>
        <v>5767.16</v>
      </c>
      <c r="L95" s="6" t="str" cm="1">
        <f t="array" ref="L95">_xlfn.LET(
  _xlpm.valuta, UPPER(TRIM('Sales_RAW(BEFORE)'!K97)),
  _xlfn.IFS(
    _xlpm.valuta = "", "",
    OR(_xlpm.valuta = "USD", _xlpm.valuta = "$"), "$",
    OR(_xlpm.valuta = "EUR", _xlpm.valuta = "€"), "€",
    TRUE, _xlpm.valuta
  )
)</f>
        <v>$</v>
      </c>
      <c r="M95" s="3" t="str">
        <f>"E" &amp; TEXT(VALUE(SUBSTITUTE(SUBSTITUTE(SUBSTITUTE(UPPER(TRIM('Sales_RAW(BEFORE)'!L97)), "EMP", ""), "E", ""), "-", "")),"000")</f>
        <v>E015</v>
      </c>
      <c r="N95" s="3" t="str">
        <f>_xlfn.XLOOKUP(M95,Employees!$D$2:$D$26,Employees!$A$2:$A$26)</f>
        <v>Sarah Jones</v>
      </c>
      <c r="O95" s="3" t="str">
        <f>_xlfn.XLOOKUP(N95,Employees!$A$2:$A$26,Employees!$C$2:$C$26,2)</f>
        <v>Wholesale</v>
      </c>
      <c r="P95" s="3" t="str">
        <f>PROPER('Sales_RAW(BEFORE)'!N97)</f>
        <v>West</v>
      </c>
      <c r="Q95" s="3" t="str">
        <f>VLOOKUP(N95,Employees!$A$2:$B$26,2,FALSE)</f>
        <v>Boston</v>
      </c>
      <c r="R95" s="3" t="str">
        <f>PROPER('Sales_RAW(BEFORE)'!P97)</f>
        <v>Stark Inc</v>
      </c>
      <c r="S95" s="3" t="str">
        <f>SUBSTITUTE(SUBSTITUTE('Sales_RAW(BEFORE)'!Q97,"EIN",""),":","")</f>
        <v>301779581</v>
      </c>
      <c r="T95" s="3" t="s">
        <v>1846</v>
      </c>
      <c r="U95" s="3" t="s">
        <v>1847</v>
      </c>
      <c r="V95" s="3" t="s">
        <v>1848</v>
      </c>
      <c r="W95" s="3" t="s">
        <v>1849</v>
      </c>
      <c r="X95" s="3" t="s">
        <v>173</v>
      </c>
      <c r="Y95" s="3" t="str">
        <f>PROPER('Sales_RAW(BEFORE)'!W97)</f>
        <v>Credit Card</v>
      </c>
      <c r="Z95" s="3" t="str">
        <f>PROPER('Sales_RAW(BEFORE)'!X97)</f>
        <v>Delivered</v>
      </c>
      <c r="AA95" s="3" t="str" cm="1">
        <f t="array" ref="AA95">_xlfn.LET(
  _xlpm.val, TRIM(LOWER('Sales_RAW(BEFORE)'!Y97)),
  _xlfn.IFS(
    OR(_xlpm.val="yes", _xlpm.val="paid"), "Paid",
    OR(_xlpm.val="no", _xlpm.val="unpaid"), "Unpaid",
    OR(_xlpm.val="partial", _xlpm.val="partial paid"), "Partial",
    _xlpm.val="", "",
    TRUE, 'Sales_RAW(BEFORE)'!AY97
  )
)</f>
        <v>Unpaid</v>
      </c>
      <c r="AB95" s="3" t="s">
        <v>1850</v>
      </c>
      <c r="AC95" s="3" t="str">
        <f>PROPER('Sales_RAW(BEFORE)'!AA97)</f>
        <v>Store</v>
      </c>
      <c r="AD95" s="3" t="str">
        <f>SUBSTITUTE(SUBSTITUTE(SUBSTITUTE(SUBSTITUTE('Sales_RAW(BEFORE)'!AB97,"st",""),"q",""),"Q",""),"uarter","")</f>
        <v>1</v>
      </c>
      <c r="AE95" s="3" t="str">
        <f>TEXT(IFERROR(DATEVALUE('Sales_RAW(BEFORE)'!AC97 &amp; " 1"), IFERROR(DATE(2025, 'Sales_RAW(BEFORE)'!AC97, 1), 'Sales_RAW(BEFORE)'!AC97)), "mmmm")</f>
        <v>October</v>
      </c>
      <c r="AF95" s="3">
        <f>_xlfn.LET(
  _xlpm.raw, TRIM(SUBSTITUTE('Sales_RAW(BEFORE)'!AD97, "'", "")),
  _xlpm.num, IFERROR(VALUE(_xlpm.raw), 0),
  IF(_xlpm.num &lt; 100, 2000 + _xlpm.num, _xlpm.num)
)</f>
        <v>2025</v>
      </c>
      <c r="AG95" s="3" t="str">
        <f>PROPER('Sales_RAW(BEFORE)'!AE97)</f>
        <v>Net 30</v>
      </c>
      <c r="AH95" s="3" cm="1">
        <f t="array" ref="AH95">_xlfn.LET(
  _xlpm.val, LOWER(TRIM('Sales_RAW(BEFORE)'!AF97)),
  _xlfn.IFS(
    OR(_xlpm.val="", _xlpm.val="null", _xlpm.val="N/A", _xlpm.val="-", _xlpm.val="#N/A"), 0,
    ISNUMBER('Sales_RAW(BEFORE)'!AF97), 'Sales_RAW(BEFORE)'!AF97,
    TRUE, IFERROR(_xlfn.NUMBERVALUE(_xlpm.val), 0)
  )
)</f>
        <v>3</v>
      </c>
      <c r="AI95" s="5">
        <f>IF(IFERROR(VALUE(SUBSTITUTE(SUBSTITUTE(TRIM('Sales_RAW(BEFORE)'!AG97), "%", ""), ",", ".")), 0) &gt; 1, IFERROR(VALUE(SUBSTITUTE(SUBSTITUTE(TRIM('Sales_RAW(BEFORE)'!AG97), "%", ""), ",", ".")), 0) / 100, IFERROR(VALUE(SUBSTITUTE(SUBSTITUTE(TRIM('Sales_RAW(BEFORE)'!AG97), "%", ""), ",", ".")), 0))</f>
        <v>0.08</v>
      </c>
      <c r="AJ95" s="6">
        <f t="shared" si="6"/>
        <v>461.37279999999998</v>
      </c>
      <c r="AK95" s="6">
        <f t="shared" si="7"/>
        <v>6228.5328</v>
      </c>
      <c r="AL95" s="6">
        <f>IFERROR(VALUE(SUBSTITUTE(SUBSTITUTE(SUBSTITUTE('Sales_RAW(BEFORE)'!AJ97,"$",""),"USD",""),",",".")),0)</f>
        <v>48.7</v>
      </c>
      <c r="AM95" s="3" t="str">
        <f>SUBSTITUTE(SUBSTITUTE(PROPER('Sales_RAW(BEFORE)'!AK97), "Fed Ex", "FedEx"),"Fedex","FedEx")</f>
        <v>Ups</v>
      </c>
      <c r="AN95" s="3" t="s">
        <v>1853</v>
      </c>
      <c r="AO95" s="3" t="str">
        <f>SUBSTITUTE('Sales_RAW(BEFORE)'!AM97,"kg","")</f>
        <v>27.55</v>
      </c>
      <c r="AP95" s="3" t="str">
        <f>_xlfn.LET(
  _xlpm.raw, UPPER(TRIM('Sales_RAW(BEFORE)'!AN97)),
  _xlpm.clean, RIGHT(_xlpm.raw, 1),
  IF(OR(_xlpm.raw="", _xlpm.raw="null"), "N/A", _xlpm.clean)
)</f>
        <v>C</v>
      </c>
      <c r="AQ95" s="3">
        <v>18</v>
      </c>
      <c r="AR95" s="3" t="str" cm="1">
        <f t="array" ref="AR95">_xlfn.LET(
  _xlpm.raw, LOWER(TRIM('Sales_RAW(BEFORE)'!AP97)),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95" s="3"/>
      <c r="AT95" s="3"/>
      <c r="AU95" s="3"/>
      <c r="AV95" s="8">
        <f>IF(IFERROR(VALUE(SUBSTITUTE(SUBSTITUTE(TRIM('Sales_RAW(BEFORE)'!AT97), "%", ""), ",", ".")), 0) &gt; 1, IFERROR(VALUE(SUBSTITUTE(SUBSTITUTE(TRIM('Sales_RAW(BEFORE)'!AT97), "%", ""), ",", ".")), 0) / 100, IFERROR(VALUE(SUBSTITUTE(SUBSTITUTE(TRIM('Sales_RAW(BEFORE)'!AT97), "%", ""), ",", ".")), 0))</f>
        <v>0.15</v>
      </c>
      <c r="AW95" s="6">
        <f>BA95*(_xlfn.XLOOKUP(N95,Employees!$A$2:$A$26,Employees!$E$2:$E$26,2))</f>
        <v>158.8275864</v>
      </c>
      <c r="AX95" s="3" t="str">
        <f>PROPER('Sales_RAW(BEFORE)'!AV97)</f>
        <v xml:space="preserve"> Ryan Anderson</v>
      </c>
      <c r="AY95" s="3" t="str">
        <f t="shared" si="8"/>
        <v xml:space="preserve"> Ryan Anderson</v>
      </c>
      <c r="AZ95" s="3"/>
      <c r="BA95" s="24">
        <f>AK95*(1-(_xlfn.XLOOKUP(G95, Exchange_Rates!$B$8:$F$8, Exchange_Rates!$B$9:$F$9, 0)+J95))</f>
        <v>5294.25288</v>
      </c>
      <c r="BB95" s="7" cm="1">
        <f t="array" ref="BB95">_xlfn.LET(
  _xlpm.raw_dt, SUBSTITUTE(TRIM(C95), ".", "/"),
  _xlpm.dt, IFERROR(DATEVALUE(_xlpm.raw_dt), C95),
  _xlpm.p_code, TRIM(E95),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47054</v>
      </c>
      <c r="BC95" s="25">
        <f t="shared" si="9"/>
        <v>794.13793199999998</v>
      </c>
    </row>
    <row r="96" spans="1:55" ht="15.75" thickBot="1" x14ac:dyDescent="0.3">
      <c r="A96" s="3" t="s">
        <v>1856</v>
      </c>
      <c r="B96" s="10">
        <v>46149</v>
      </c>
      <c r="C96" s="4">
        <v>46151</v>
      </c>
      <c r="D96" s="3" t="str">
        <f>"P-" &amp; TEXT(VALUE(SUBSTITUTE(SUBSTITUTE(SUBSTITUTE(UPPER(TRIM('Sales_RAW(BEFORE)'!D98)), "P", ""), "-", ""), "_", "")),"000")</f>
        <v>P-027</v>
      </c>
      <c r="E96" s="3" t="str">
        <f>VLOOKUP(D96,Product_List!$A$2:$B$61,2,FALSE)</f>
        <v>Desk X 27</v>
      </c>
      <c r="F96" s="3" t="str">
        <f>_xlfn.XLOOKUP(E96,Product_List!$B$2:$B$61,Product_List!$E$2:$E$61,2)</f>
        <v>Global Distrib</v>
      </c>
      <c r="G96" s="3" t="str">
        <f>VLOOKUP(E96,Product_List!$B$2:$C$61,2,FALSE)</f>
        <v>Equipment</v>
      </c>
      <c r="H96" s="3" t="str">
        <f>SUBSTITUTE(SUBSTITUTE('Sales_RAW(BEFORE)'!G98,"kom",""),".","")</f>
        <v>6</v>
      </c>
      <c r="I96" s="6">
        <f>VLOOKUP(E96,Product_List!$B$2:$D$61,3,FALSE)</f>
        <v>180.06</v>
      </c>
      <c r="J96" s="5">
        <f>IF(IFERROR(VALUE(SUBSTITUTE(SUBSTITUTE(TRIM('Sales_RAW(BEFORE)'!I98), "%", ""), ",", ".")), 0) &gt; 1, IFERROR(VALUE(SUBSTITUTE(SUBSTITUTE(TRIM('Sales_RAW(BEFORE)'!I98), "%", ""), ",", ".")), 0) / 100, IFERROR(VALUE(SUBSTITUTE(SUBSTITUTE(TRIM('Sales_RAW(BEFORE)'!I98), "%", ""), ",", ".")), 0))</f>
        <v>0</v>
      </c>
      <c r="K96" s="6">
        <f t="shared" si="5"/>
        <v>1080.3600000000001</v>
      </c>
      <c r="L96" s="6" t="str" cm="1">
        <f t="array" ref="L96">_xlfn.LET(
  _xlpm.valuta, UPPER(TRIM('Sales_RAW(BEFORE)'!K98)),
  _xlfn.IFS(
    _xlpm.valuta = "", "",
    OR(_xlpm.valuta = "USD", _xlpm.valuta = "$"), "$",
    OR(_xlpm.valuta = "EUR", _xlpm.valuta = "€"), "€",
    TRUE, _xlpm.valuta
  )
)</f>
        <v>$</v>
      </c>
      <c r="M96" s="3" t="str">
        <f>"E" &amp; TEXT(VALUE(SUBSTITUTE(SUBSTITUTE(SUBSTITUTE(UPPER(TRIM('Sales_RAW(BEFORE)'!L98)), "EMP", ""), "E", ""), "-", "")),"000")</f>
        <v>E004</v>
      </c>
      <c r="N96" s="3" t="str">
        <f>_xlfn.XLOOKUP(M96,Employees!$D$2:$D$26,Employees!$A$2:$A$26)</f>
        <v>Sophia Johnson</v>
      </c>
      <c r="O96" s="3" t="str">
        <f>_xlfn.XLOOKUP(N96,Employees!$A$2:$A$26,Employees!$C$2:$C$26,2)</f>
        <v>Wholesale</v>
      </c>
      <c r="P96" s="3" t="str">
        <f>PROPER('Sales_RAW(BEFORE)'!N98)</f>
        <v>West</v>
      </c>
      <c r="Q96" s="3" t="str">
        <f>VLOOKUP(N96,Employees!$A$2:$B$26,2,FALSE)</f>
        <v>Houston</v>
      </c>
      <c r="R96" s="3" t="str">
        <f>PROPER('Sales_RAW(BEFORE)'!P98)</f>
        <v xml:space="preserve">Initech Inc.  </v>
      </c>
      <c r="S96" s="3" t="str">
        <f>SUBSTITUTE(SUBSTITUTE('Sales_RAW(BEFORE)'!Q98,"EIN",""),":","")</f>
        <v>658482290</v>
      </c>
      <c r="T96" s="3" t="s">
        <v>1178</v>
      </c>
      <c r="U96" s="3" t="s">
        <v>1866</v>
      </c>
      <c r="V96" s="3" t="s">
        <v>1867</v>
      </c>
      <c r="W96" s="3" t="s">
        <v>1868</v>
      </c>
      <c r="X96" s="3" t="s">
        <v>173</v>
      </c>
      <c r="Y96" s="3" t="str">
        <f>PROPER('Sales_RAW(BEFORE)'!W98)</f>
        <v>Cash</v>
      </c>
      <c r="Z96" s="3" t="str">
        <f>PROPER('Sales_RAW(BEFORE)'!X98)</f>
        <v>Delivered</v>
      </c>
      <c r="AA96" s="3" t="str" cm="1">
        <f t="array" ref="AA96">_xlfn.LET(
  _xlpm.val, TRIM(LOWER('Sales_RAW(BEFORE)'!Y98)),
  _xlfn.IFS(
    OR(_xlpm.val="yes", _xlpm.val="paid"), "Paid",
    OR(_xlpm.val="no", _xlpm.val="unpaid"), "Unpaid",
    OR(_xlpm.val="partial", _xlpm.val="partial paid"), "Partial",
    _xlpm.val="", "",
    TRUE, 'Sales_RAW(BEFORE)'!AY98
  )
)</f>
        <v>Paid</v>
      </c>
      <c r="AB96" s="3" t="s">
        <v>1869</v>
      </c>
      <c r="AC96" s="3" t="str">
        <f>PROPER('Sales_RAW(BEFORE)'!AA98)</f>
        <v>Phone</v>
      </c>
      <c r="AD96" s="3" t="str">
        <f>SUBSTITUTE(SUBSTITUTE(SUBSTITUTE(SUBSTITUTE('Sales_RAW(BEFORE)'!AB98,"st",""),"q",""),"Q",""),"uarter","")</f>
        <v>1</v>
      </c>
      <c r="AE96" s="3" t="str">
        <f>TEXT(IFERROR(DATEVALUE('Sales_RAW(BEFORE)'!AC98 &amp; " 1"), IFERROR(DATE(2025, 'Sales_RAW(BEFORE)'!AC98, 1), 'Sales_RAW(BEFORE)'!AC98)), "mmmm")</f>
        <v>May</v>
      </c>
      <c r="AF96" s="3">
        <f>_xlfn.LET(
  _xlpm.raw, TRIM(SUBSTITUTE('Sales_RAW(BEFORE)'!AD98, "'", "")),
  _xlpm.num, IFERROR(VALUE(_xlpm.raw), 0),
  IF(_xlpm.num &lt; 100, 2000 + _xlpm.num, _xlpm.num)
)</f>
        <v>2026</v>
      </c>
      <c r="AG96" s="3" t="str">
        <f>PROPER('Sales_RAW(BEFORE)'!AE98)</f>
        <v>Net 30</v>
      </c>
      <c r="AH96" s="3" cm="1">
        <f t="array" ref="AH96">_xlfn.LET(
  _xlpm.val, LOWER(TRIM('Sales_RAW(BEFORE)'!AF98)),
  _xlfn.IFS(
    OR(_xlpm.val="", _xlpm.val="null", _xlpm.val="N/A", _xlpm.val="-", _xlpm.val="#N/A"), 0,
    ISNUMBER('Sales_RAW(BEFORE)'!AF98), 'Sales_RAW(BEFORE)'!AF98,
    TRUE, IFERROR(_xlfn.NUMBERVALUE(_xlpm.val), 0)
  )
)</f>
        <v>0</v>
      </c>
      <c r="AI96" s="5">
        <f>IF(IFERROR(VALUE(SUBSTITUTE(SUBSTITUTE(TRIM('Sales_RAW(BEFORE)'!AG98), "%", ""), ",", ".")), 0) &gt; 1, IFERROR(VALUE(SUBSTITUTE(SUBSTITUTE(TRIM('Sales_RAW(BEFORE)'!AG98), "%", ""), ",", ".")), 0) / 100, IFERROR(VALUE(SUBSTITUTE(SUBSTITUTE(TRIM('Sales_RAW(BEFORE)'!AG98), "%", ""), ",", ".")), 0))</f>
        <v>0.08</v>
      </c>
      <c r="AJ96" s="6">
        <f t="shared" si="6"/>
        <v>86.42880000000001</v>
      </c>
      <c r="AK96" s="6">
        <f t="shared" si="7"/>
        <v>1166.7888</v>
      </c>
      <c r="AL96" s="6">
        <f>IFERROR(VALUE(SUBSTITUTE(SUBSTITUTE(SUBSTITUTE('Sales_RAW(BEFORE)'!AJ98,"$",""),"USD",""),",",".")),0)</f>
        <v>31</v>
      </c>
      <c r="AM96" s="3" t="str">
        <f>SUBSTITUTE(SUBSTITUTE(PROPER('Sales_RAW(BEFORE)'!AK98), "Fed Ex", "FedEx"),"Fedex","FedEx")</f>
        <v>Ups</v>
      </c>
      <c r="AN96" s="3" t="s">
        <v>1871</v>
      </c>
      <c r="AO96" s="3" t="str">
        <f>SUBSTITUTE('Sales_RAW(BEFORE)'!AM98,"kg","")</f>
        <v>19.3</v>
      </c>
      <c r="AP96" s="3" t="str">
        <f>_xlfn.LET(
  _xlpm.raw, UPPER(TRIM('Sales_RAW(BEFORE)'!AN98)),
  _xlpm.clean, RIGHT(_xlpm.raw, 1),
  IF(OR(_xlpm.raw="", _xlpm.raw="null"), "N/A", _xlpm.clean)
)</f>
        <v>B</v>
      </c>
      <c r="AQ96" s="3">
        <v>135</v>
      </c>
      <c r="AR96" s="3" t="str" cm="1">
        <f t="array" ref="AR96">_xlfn.LET(
  _xlpm.raw, LOWER(TRIM('Sales_RAW(BEFORE)'!AP98)),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96" s="3"/>
      <c r="AT96" s="3"/>
      <c r="AU96" s="3"/>
      <c r="AV96" s="8">
        <f>IF(IFERROR(VALUE(SUBSTITUTE(SUBSTITUTE(TRIM('Sales_RAW(BEFORE)'!AT98), "%", ""), ",", ".")), 0) &gt; 1, IFERROR(VALUE(SUBSTITUTE(SUBSTITUTE(TRIM('Sales_RAW(BEFORE)'!AT98), "%", ""), ",", ".")), 0) / 100, IFERROR(VALUE(SUBSTITUTE(SUBSTITUTE(TRIM('Sales_RAW(BEFORE)'!AT98), "%", ""), ",", ".")), 0))</f>
        <v>0.18</v>
      </c>
      <c r="AW96" s="6">
        <f>BA96*(_xlfn.XLOOKUP(N96,Employees!$A$2:$A$26,Employees!$E$2:$E$26,2))</f>
        <v>52.505496000000008</v>
      </c>
      <c r="AX96" s="3" t="str">
        <f>PROPER('Sales_RAW(BEFORE)'!AV98)</f>
        <v>Chris Johnson</v>
      </c>
      <c r="AY96" s="3" t="str">
        <f t="shared" si="8"/>
        <v>Chris Johnson</v>
      </c>
      <c r="AZ96" s="3"/>
      <c r="BA96" s="24">
        <f>AK96*(1-(_xlfn.XLOOKUP(G96, Exchange_Rates!$B$8:$F$8, Exchange_Rates!$B$9:$F$9, 0)+J96))</f>
        <v>1050.1099200000001</v>
      </c>
      <c r="BB96" s="7" cm="1">
        <f t="array" ref="BB96">_xlfn.LET(
  _xlpm.raw_dt, SUBSTITUTE(TRIM(C96), ".", "/"),
  _xlpm.dt, IFERROR(DATEVALUE(_xlpm.raw_dt), C96),
  _xlpm.p_code, TRIM(E96),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46882</v>
      </c>
      <c r="BC96" s="25">
        <f t="shared" si="9"/>
        <v>189.01978560000001</v>
      </c>
    </row>
    <row r="97" spans="1:55" ht="15.75" thickBot="1" x14ac:dyDescent="0.3">
      <c r="A97" s="3" t="s">
        <v>1873</v>
      </c>
      <c r="B97" s="10">
        <v>45787</v>
      </c>
      <c r="C97" s="4" t="s">
        <v>91</v>
      </c>
      <c r="D97" s="3" t="str">
        <f>"P-" &amp; TEXT(VALUE(SUBSTITUTE(SUBSTITUTE(SUBSTITUTE(UPPER(TRIM('Sales_RAW(BEFORE)'!D99)), "P", ""), "-", ""), "_", "")),"000")</f>
        <v>P-047</v>
      </c>
      <c r="E97" s="3" t="str">
        <f>VLOOKUP(D97,Product_List!$A$2:$B$61,2,FALSE)</f>
        <v>Monitor Pro 47</v>
      </c>
      <c r="F97" s="3" t="str">
        <f>_xlfn.XLOOKUP(E97,Product_List!$B$2:$B$61,Product_List!$E$2:$E$61,2)</f>
        <v>TechSupply Co</v>
      </c>
      <c r="G97" s="3" t="str">
        <f>VLOOKUP(E97,Product_List!$B$2:$C$61,2,FALSE)</f>
        <v>Software</v>
      </c>
      <c r="H97" s="3" t="str">
        <f>SUBSTITUTE(SUBSTITUTE('Sales_RAW(BEFORE)'!G99,"kom",""),".","")</f>
        <v>8</v>
      </c>
      <c r="I97" s="6">
        <f>VLOOKUP(E97,Product_List!$B$2:$D$61,3,FALSE)</f>
        <v>1489.69</v>
      </c>
      <c r="J97" s="5">
        <f>IF(IFERROR(VALUE(SUBSTITUTE(SUBSTITUTE(TRIM('Sales_RAW(BEFORE)'!I99), "%", ""), ",", ".")), 0) &gt; 1, IFERROR(VALUE(SUBSTITUTE(SUBSTITUTE(TRIM('Sales_RAW(BEFORE)'!I99), "%", ""), ",", ".")), 0) / 100, IFERROR(VALUE(SUBSTITUTE(SUBSTITUTE(TRIM('Sales_RAW(BEFORE)'!I99), "%", ""), ",", ".")), 0))</f>
        <v>0</v>
      </c>
      <c r="K97" s="6">
        <f t="shared" si="5"/>
        <v>11917.52</v>
      </c>
      <c r="L97" s="6" t="str" cm="1">
        <f t="array" ref="L97">_xlfn.LET(
  _xlpm.valuta, UPPER(TRIM('Sales_RAW(BEFORE)'!K99)),
  _xlfn.IFS(
    _xlpm.valuta = "", "",
    OR(_xlpm.valuta = "USD", _xlpm.valuta = "$"), "$",
    OR(_xlpm.valuta = "EUR", _xlpm.valuta = "€"), "€",
    TRUE, _xlpm.valuta
  )
)</f>
        <v>$</v>
      </c>
      <c r="M97" s="3" t="str">
        <f>"E" &amp; TEXT(VALUE(SUBSTITUTE(SUBSTITUTE(SUBSTITUTE(UPPER(TRIM('Sales_RAW(BEFORE)'!L99)), "EMP", ""), "E", ""), "-", "")),"000")</f>
        <v>E018</v>
      </c>
      <c r="N97" s="3" t="str">
        <f>_xlfn.XLOOKUP(M97,Employees!$D$2:$D$26,Employees!$A$2:$A$26)</f>
        <v>John Miller</v>
      </c>
      <c r="O97" s="3" t="str">
        <f>_xlfn.XLOOKUP(N97,Employees!$A$2:$A$26,Employees!$C$2:$C$26,2)</f>
        <v>Retail</v>
      </c>
      <c r="P97" s="3" t="str">
        <f>PROPER('Sales_RAW(BEFORE)'!N99)</f>
        <v>West</v>
      </c>
      <c r="Q97" s="3" t="str">
        <f>VLOOKUP(N97,Employees!$A$2:$B$26,2,FALSE)</f>
        <v>Houston</v>
      </c>
      <c r="R97" s="3" t="str">
        <f>PROPER('Sales_RAW(BEFORE)'!P99)</f>
        <v>Vortex Inc.</v>
      </c>
      <c r="S97" s="3" t="str">
        <f>SUBSTITUTE(SUBSTITUTE('Sales_RAW(BEFORE)'!Q99,"EIN",""),":","")</f>
        <v xml:space="preserve"> 105590612</v>
      </c>
      <c r="T97" s="3" t="s">
        <v>169</v>
      </c>
      <c r="U97" s="3" t="s">
        <v>1881</v>
      </c>
      <c r="V97" s="3" t="s">
        <v>1882</v>
      </c>
      <c r="W97" s="3" t="s">
        <v>1883</v>
      </c>
      <c r="X97" s="3" t="s">
        <v>173</v>
      </c>
      <c r="Y97" s="3" t="str">
        <f>PROPER('Sales_RAW(BEFORE)'!W99)</f>
        <v>Wire</v>
      </c>
      <c r="Z97" s="3" t="str">
        <f>PROPER('Sales_RAW(BEFORE)'!X99)</f>
        <v>Cancelled</v>
      </c>
      <c r="AA97" s="3" t="str" cm="1">
        <f t="array" ref="AA97">_xlfn.LET(
  _xlpm.val, TRIM(LOWER('Sales_RAW(BEFORE)'!Y99)),
  _xlfn.IFS(
    OR(_xlpm.val="yes", _xlpm.val="paid"), "Paid",
    OR(_xlpm.val="no", _xlpm.val="unpaid"), "Unpaid",
    OR(_xlpm.val="partial", _xlpm.val="partial paid"), "Partial",
    _xlpm.val="", "",
    TRUE, 'Sales_RAW(BEFORE)'!AY99
  )
)</f>
        <v>Unpaid</v>
      </c>
      <c r="AB97" s="3" t="s">
        <v>1884</v>
      </c>
      <c r="AC97" s="3" t="str">
        <f>PROPER('Sales_RAW(BEFORE)'!AA99)</f>
        <v>Web</v>
      </c>
      <c r="AD97" s="3" t="str">
        <f>SUBSTITUTE(SUBSTITUTE(SUBSTITUTE(SUBSTITUTE('Sales_RAW(BEFORE)'!AB99,"st",""),"q",""),"Q",""),"uarter","")</f>
        <v xml:space="preserve">1 </v>
      </c>
      <c r="AE97" s="3" t="str">
        <f>TEXT(IFERROR(DATEVALUE('Sales_RAW(BEFORE)'!AC99 &amp; " 1"), IFERROR(DATE(2025, 'Sales_RAW(BEFORE)'!AC99, 1), 'Sales_RAW(BEFORE)'!AC99)), "mmmm")</f>
        <v>May</v>
      </c>
      <c r="AF97" s="3">
        <f>_xlfn.LET(
  _xlpm.raw, TRIM(SUBSTITUTE('Sales_RAW(BEFORE)'!AD99, "'", "")),
  _xlpm.num, IFERROR(VALUE(_xlpm.raw), 0),
  IF(_xlpm.num &lt; 100, 2000 + _xlpm.num, _xlpm.num)
)</f>
        <v>2025</v>
      </c>
      <c r="AG97" s="3" t="str">
        <f>PROPER('Sales_RAW(BEFORE)'!AE99)</f>
        <v>Net 30</v>
      </c>
      <c r="AH97" s="3" cm="1">
        <f t="array" ref="AH97">_xlfn.LET(
  _xlpm.val, LOWER(TRIM('Sales_RAW(BEFORE)'!AF99)),
  _xlfn.IFS(
    OR(_xlpm.val="", _xlpm.val="null", _xlpm.val="N/A", _xlpm.val="-", _xlpm.val="#N/A"), 0,
    ISNUMBER('Sales_RAW(BEFORE)'!AF99), 'Sales_RAW(BEFORE)'!AF99,
    TRUE, IFERROR(_xlfn.NUMBERVALUE(_xlpm.val), 0)
  )
)</f>
        <v>86</v>
      </c>
      <c r="AI97" s="5">
        <f>IF(IFERROR(VALUE(SUBSTITUTE(SUBSTITUTE(TRIM('Sales_RAW(BEFORE)'!AG99), "%", ""), ",", ".")), 0) &gt; 1, IFERROR(VALUE(SUBSTITUTE(SUBSTITUTE(TRIM('Sales_RAW(BEFORE)'!AG99), "%", ""), ",", ".")), 0) / 100, IFERROR(VALUE(SUBSTITUTE(SUBSTITUTE(TRIM('Sales_RAW(BEFORE)'!AG99), "%", ""), ",", ".")), 0))</f>
        <v>0.08</v>
      </c>
      <c r="AJ97" s="6">
        <f t="shared" si="6"/>
        <v>953.40160000000003</v>
      </c>
      <c r="AK97" s="6">
        <f t="shared" si="7"/>
        <v>12870.9216</v>
      </c>
      <c r="AL97" s="6">
        <f>IFERROR(VALUE(SUBSTITUTE(SUBSTITUTE(SUBSTITUTE('Sales_RAW(BEFORE)'!AJ99,"$",""),"USD",""),",",".")),0)</f>
        <v>19.09</v>
      </c>
      <c r="AM97" s="3" t="str">
        <f>SUBSTITUTE(SUBSTITUTE(PROPER('Sales_RAW(BEFORE)'!AK99), "Fed Ex", "FedEx"),"Fedex","FedEx")</f>
        <v>Dhl</v>
      </c>
      <c r="AN97" s="3" t="s">
        <v>1886</v>
      </c>
      <c r="AO97" s="3" t="str">
        <f>SUBSTITUTE('Sales_RAW(BEFORE)'!AM99,"kg","")</f>
        <v>19,24</v>
      </c>
      <c r="AP97" s="3" t="str">
        <f>_xlfn.LET(
  _xlpm.raw, UPPER(TRIM('Sales_RAW(BEFORE)'!AN99)),
  _xlpm.clean, RIGHT(_xlpm.raw, 1),
  IF(OR(_xlpm.raw="", _xlpm.raw="null"), "N/A", _xlpm.clean)
)</f>
        <v>A</v>
      </c>
      <c r="AQ97" s="3">
        <v>268</v>
      </c>
      <c r="AR97" s="3" cm="1">
        <f t="array" ref="AR97">_xlfn.LET(
  _xlpm.raw, LOWER(TRIM('Sales_RAW(BEFORE)'!AP99)),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97" s="3"/>
      <c r="AT97" s="3"/>
      <c r="AU97" s="3"/>
      <c r="AV97" s="8">
        <f>IF(IFERROR(VALUE(SUBSTITUTE(SUBSTITUTE(TRIM('Sales_RAW(BEFORE)'!AT99), "%", ""), ",", ".")), 0) &gt; 1, IFERROR(VALUE(SUBSTITUTE(SUBSTITUTE(TRIM('Sales_RAW(BEFORE)'!AT99), "%", ""), ",", ".")), 0) / 100, IFERROR(VALUE(SUBSTITUTE(SUBSTITUTE(TRIM('Sales_RAW(BEFORE)'!AT99), "%", ""), ",", ".")), 0))</f>
        <v>0.18</v>
      </c>
      <c r="AW97" s="6">
        <f>BA97*(_xlfn.XLOOKUP(N97,Employees!$A$2:$A$26,Employees!$E$2:$E$26,2))</f>
        <v>218.80566719999999</v>
      </c>
      <c r="AX97" s="3" t="str">
        <f>PROPER('Sales_RAW(BEFORE)'!AV99)</f>
        <v>Sarah Williams</v>
      </c>
      <c r="AY97" s="3" t="str">
        <f t="shared" si="8"/>
        <v>Sarah Williams</v>
      </c>
      <c r="AZ97" s="3"/>
      <c r="BA97" s="24">
        <f>AK97*(1-(_xlfn.XLOOKUP(G97, Exchange_Rates!$B$8:$F$8, Exchange_Rates!$B$9:$F$9, 0)+J97))</f>
        <v>10940.283359999999</v>
      </c>
      <c r="BB97" s="7" t="str" cm="1">
        <f t="array" ref="BB97">_xlfn.LET(
  _xlpm.raw_dt, SUBSTITUTE(TRIM(C97), ".", "/"),
  _xlpm.dt, IFERROR(DATEVALUE(_xlpm.raw_dt), C97),
  _xlpm.p_code, TRIM(E97),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Empty</v>
      </c>
      <c r="BC97" s="25">
        <f t="shared" si="9"/>
        <v>1969.2510047999999</v>
      </c>
    </row>
    <row r="98" spans="1:55" ht="15.75" thickBot="1" x14ac:dyDescent="0.3">
      <c r="A98" s="3" t="s">
        <v>1890</v>
      </c>
      <c r="B98" s="10">
        <v>46200</v>
      </c>
      <c r="C98" s="4">
        <v>46213</v>
      </c>
      <c r="D98" s="3" t="str">
        <f>"P-" &amp; TEXT(VALUE(SUBSTITUTE(SUBSTITUTE(SUBSTITUTE(UPPER(TRIM('Sales_RAW(BEFORE)'!D100)), "P", ""), "-", ""), "_", "")),"000")</f>
        <v>P-005</v>
      </c>
      <c r="E98" s="3" t="str">
        <f>VLOOKUP(D98,Product_List!$A$2:$B$61,2,FALSE)</f>
        <v>Cable Plus 5</v>
      </c>
      <c r="F98" s="3" t="str">
        <f>_xlfn.XLOOKUP(E98,Product_List!$B$2:$B$61,Product_List!$E$2:$E$61,2)</f>
        <v>BestParts</v>
      </c>
      <c r="G98" s="3" t="str">
        <f>VLOOKUP(E98,Product_List!$B$2:$C$61,2,FALSE)</f>
        <v>Electronics</v>
      </c>
      <c r="H98" s="3" t="str">
        <f>SUBSTITUTE(SUBSTITUTE('Sales_RAW(BEFORE)'!G100,"kom",""),".","")</f>
        <v>2</v>
      </c>
      <c r="I98" s="6">
        <f>VLOOKUP(E98,Product_List!$B$2:$D$61,3,FALSE)</f>
        <v>1241.1400000000001</v>
      </c>
      <c r="J98" s="5">
        <f>IF(IFERROR(VALUE(SUBSTITUTE(SUBSTITUTE(TRIM('Sales_RAW(BEFORE)'!I100), "%", ""), ",", ".")), 0) &gt; 1, IFERROR(VALUE(SUBSTITUTE(SUBSTITUTE(TRIM('Sales_RAW(BEFORE)'!I100), "%", ""), ",", ".")), 0) / 100, IFERROR(VALUE(SUBSTITUTE(SUBSTITUTE(TRIM('Sales_RAW(BEFORE)'!I100), "%", ""), ",", ".")), 0))</f>
        <v>0</v>
      </c>
      <c r="K98" s="6">
        <f t="shared" si="5"/>
        <v>2482.2800000000002</v>
      </c>
      <c r="L98" s="6" t="str" cm="1">
        <f t="array" ref="L98">_xlfn.LET(
  _xlpm.valuta, UPPER(TRIM('Sales_RAW(BEFORE)'!K100)),
  _xlfn.IFS(
    _xlpm.valuta = "", "",
    OR(_xlpm.valuta = "USD", _xlpm.valuta = "$"), "$",
    OR(_xlpm.valuta = "EUR", _xlpm.valuta = "€"), "€",
    TRUE, _xlpm.valuta
  )
)</f>
        <v>$</v>
      </c>
      <c r="M98" s="3" t="str">
        <f>"E" &amp; TEXT(VALUE(SUBSTITUTE(SUBSTITUTE(SUBSTITUTE(UPPER(TRIM('Sales_RAW(BEFORE)'!L100)), "EMP", ""), "E", ""), "-", "")),"000")</f>
        <v>E019</v>
      </c>
      <c r="N98" s="3" t="str">
        <f>_xlfn.XLOOKUP(M98,Employees!$D$2:$D$26,Employees!$A$2:$A$26)</f>
        <v>Sophia Taylor</v>
      </c>
      <c r="O98" s="3" t="str">
        <f>_xlfn.XLOOKUP(N98,Employees!$A$2:$A$26,Employees!$C$2:$C$26,2)</f>
        <v>Wholesale</v>
      </c>
      <c r="P98" s="3" t="str">
        <f>PROPER('Sales_RAW(BEFORE)'!N100)</f>
        <v>West</v>
      </c>
      <c r="Q98" s="3" t="str">
        <f>VLOOKUP(N98,Employees!$A$2:$B$26,2,FALSE)</f>
        <v>Los Angeles</v>
      </c>
      <c r="R98" s="3" t="str">
        <f>PROPER('Sales_RAW(BEFORE)'!P100)</f>
        <v>Stark Ltd.</v>
      </c>
      <c r="S98" s="3" t="str">
        <f>SUBSTITUTE(SUBSTITUTE('Sales_RAW(BEFORE)'!Q100,"EIN",""),":","")</f>
        <v xml:space="preserve"> 543403500</v>
      </c>
      <c r="T98" s="3" t="s">
        <v>1232</v>
      </c>
      <c r="U98" s="3" t="s">
        <v>1900</v>
      </c>
      <c r="V98" s="3" t="s">
        <v>1901</v>
      </c>
      <c r="W98" s="3" t="s">
        <v>1902</v>
      </c>
      <c r="X98" s="3" t="s">
        <v>173</v>
      </c>
      <c r="Y98" s="3" t="str">
        <f>PROPER('Sales_RAW(BEFORE)'!W100)</f>
        <v>Cash</v>
      </c>
      <c r="Z98" s="3" t="str">
        <f>PROPER('Sales_RAW(BEFORE)'!X100)</f>
        <v>Processing</v>
      </c>
      <c r="AA98" s="3" t="str" cm="1">
        <f t="array" ref="AA98">_xlfn.LET(
  _xlpm.val, TRIM(LOWER('Sales_RAW(BEFORE)'!Y100)),
  _xlfn.IFS(
    OR(_xlpm.val="yes", _xlpm.val="paid"), "Paid",
    OR(_xlpm.val="no", _xlpm.val="unpaid"), "Unpaid",
    OR(_xlpm.val="partial", _xlpm.val="partial paid"), "Partial",
    _xlpm.val="", "",
    TRUE, 'Sales_RAW(BEFORE)'!AY100
  )
)</f>
        <v>Paid</v>
      </c>
      <c r="AB98" s="3" t="s">
        <v>1903</v>
      </c>
      <c r="AC98" s="3" t="str">
        <f>PROPER('Sales_RAW(BEFORE)'!AA100)</f>
        <v>Phone</v>
      </c>
      <c r="AD98" s="3" t="str">
        <f>SUBSTITUTE(SUBSTITUTE(SUBSTITUTE(SUBSTITUTE('Sales_RAW(BEFORE)'!AB100,"st",""),"q",""),"Q",""),"uarter","")</f>
        <v>2</v>
      </c>
      <c r="AE98" s="3" t="str">
        <f>TEXT(IFERROR(DATEVALUE('Sales_RAW(BEFORE)'!AC100 &amp; " 1"), IFERROR(DATE(2025, 'Sales_RAW(BEFORE)'!AC100, 1), 'Sales_RAW(BEFORE)'!AC100)), "mmmm")</f>
        <v>June</v>
      </c>
      <c r="AF98" s="3">
        <f>_xlfn.LET(
  _xlpm.raw, TRIM(SUBSTITUTE('Sales_RAW(BEFORE)'!AD100, "'", "")),
  _xlpm.num, IFERROR(VALUE(_xlpm.raw), 0),
  IF(_xlpm.num &lt; 100, 2000 + _xlpm.num, _xlpm.num)
)</f>
        <v>2026</v>
      </c>
      <c r="AG98" s="3" t="str">
        <f>PROPER('Sales_RAW(BEFORE)'!AE100)</f>
        <v>15</v>
      </c>
      <c r="AH98" s="3" cm="1">
        <f t="array" ref="AH98">_xlfn.LET(
  _xlpm.val, LOWER(TRIM('Sales_RAW(BEFORE)'!AF100)),
  _xlfn.IFS(
    OR(_xlpm.val="", _xlpm.val="null", _xlpm.val="N/A", _xlpm.val="-", _xlpm.val="#N/A"), 0,
    ISNUMBER('Sales_RAW(BEFORE)'!AF100), 'Sales_RAW(BEFORE)'!AF100,
    TRUE, IFERROR(_xlfn.NUMBERVALUE(_xlpm.val), 0)
  )
)</f>
        <v>56</v>
      </c>
      <c r="AI98" s="5">
        <f>IF(IFERROR(VALUE(SUBSTITUTE(SUBSTITUTE(TRIM('Sales_RAW(BEFORE)'!AG100), "%", ""), ",", ".")), 0) &gt; 1, IFERROR(VALUE(SUBSTITUTE(SUBSTITUTE(TRIM('Sales_RAW(BEFORE)'!AG100), "%", ""), ",", ".")), 0) / 100, IFERROR(VALUE(SUBSTITUTE(SUBSTITUTE(TRIM('Sales_RAW(BEFORE)'!AG100), "%", ""), ",", ".")), 0))</f>
        <v>0.08</v>
      </c>
      <c r="AJ98" s="6">
        <f t="shared" si="6"/>
        <v>198.58240000000001</v>
      </c>
      <c r="AK98" s="6">
        <f t="shared" si="7"/>
        <v>2680.8624</v>
      </c>
      <c r="AL98" s="6">
        <f>IFERROR(VALUE(SUBSTITUTE(SUBSTITUTE(SUBSTITUTE('Sales_RAW(BEFORE)'!AJ100,"$",""),"USD",""),",",".")),0)</f>
        <v>23.9</v>
      </c>
      <c r="AM98" s="3" t="str">
        <f>SUBSTITUTE(SUBSTITUTE(PROPER('Sales_RAW(BEFORE)'!AK100), "Fed Ex", "FedEx"),"Fedex","FedEx")</f>
        <v>Ups</v>
      </c>
      <c r="AN98" s="3" t="s">
        <v>1905</v>
      </c>
      <c r="AO98" s="3" t="str">
        <f>SUBSTITUTE('Sales_RAW(BEFORE)'!AM100,"kg","")</f>
        <v xml:space="preserve">18.8 </v>
      </c>
      <c r="AP98" s="3" t="str">
        <f>_xlfn.LET(
  _xlpm.raw, UPPER(TRIM('Sales_RAW(BEFORE)'!AN100)),
  _xlpm.clean, RIGHT(_xlpm.raw, 1),
  IF(OR(_xlpm.raw="", _xlpm.raw="null"), "N/A", _xlpm.clean)
)</f>
        <v>B</v>
      </c>
      <c r="AQ98" s="3">
        <v>76</v>
      </c>
      <c r="AR98" s="3" cm="1">
        <f t="array" ref="AR98">_xlfn.LET(
  _xlpm.raw, LOWER(TRIM('Sales_RAW(BEFORE)'!AP100)),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98" s="3"/>
      <c r="AT98" s="3"/>
      <c r="AU98" s="3"/>
      <c r="AV98" s="8">
        <f>IF(IFERROR(VALUE(SUBSTITUTE(SUBSTITUTE(TRIM('Sales_RAW(BEFORE)'!AT100), "%", ""), ",", ".")), 0) &gt; 1, IFERROR(VALUE(SUBSTITUTE(SUBSTITUTE(TRIM('Sales_RAW(BEFORE)'!AT100), "%", ""), ",", ".")), 0) / 100, IFERROR(VALUE(SUBSTITUTE(SUBSTITUTE(TRIM('Sales_RAW(BEFORE)'!AT100), "%", ""), ",", ".")), 0))</f>
        <v>0</v>
      </c>
      <c r="AW98" s="6">
        <f>BA98*(_xlfn.XLOOKUP(N98,Employees!$A$2:$A$26,Employees!$E$2:$E$26,2))</f>
        <v>72.383284799999998</v>
      </c>
      <c r="AX98" s="3" t="str">
        <f>PROPER('Sales_RAW(BEFORE)'!AV100)</f>
        <v xml:space="preserve"> Daniel Johnson</v>
      </c>
      <c r="AY98" s="3" t="str">
        <f t="shared" si="8"/>
        <v xml:space="preserve"> Daniel Johnson</v>
      </c>
      <c r="AZ98" s="3"/>
      <c r="BA98" s="24">
        <f>AK98*(1-(_xlfn.XLOOKUP(G98, Exchange_Rates!$B$8:$F$8, Exchange_Rates!$B$9:$F$9, 0)+J98))</f>
        <v>2412.7761599999999</v>
      </c>
      <c r="BB98" s="7" cm="1">
        <f t="array" ref="BB98">_xlfn.LET(
  _xlpm.raw_dt, SUBSTITUTE(TRIM(C98), ".", "/"),
  _xlpm.dt, IFERROR(DATEVALUE(_xlpm.raw_dt), C98),
  _xlpm.p_code, TRIM(E98),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46578</v>
      </c>
      <c r="BC98" s="25">
        <f t="shared" si="9"/>
        <v>0</v>
      </c>
    </row>
    <row r="99" spans="1:55" ht="15.75" thickBot="1" x14ac:dyDescent="0.3">
      <c r="A99" s="3" t="s">
        <v>1909</v>
      </c>
      <c r="B99" s="10">
        <f>DATE(2025,5,14)</f>
        <v>45791</v>
      </c>
      <c r="C99" s="4">
        <v>45801</v>
      </c>
      <c r="D99" s="3" t="str">
        <f>"P-" &amp; TEXT(VALUE(SUBSTITUTE(SUBSTITUTE(SUBSTITUTE(UPPER(TRIM('Sales_RAW(BEFORE)'!D102)), "P", ""), "-", ""), "_", "")),"000")</f>
        <v>P-022</v>
      </c>
      <c r="E99" s="3" t="str">
        <f>VLOOKUP(D99,Product_List!$A$2:$B$61,2,FALSE)</f>
        <v>Desk Basic 22</v>
      </c>
      <c r="F99" s="3" t="str">
        <f>_xlfn.XLOOKUP(E99,Product_List!$B$2:$B$61,Product_List!$E$2:$E$61,2)</f>
        <v>BestParts</v>
      </c>
      <c r="G99" s="3" t="str">
        <f>VLOOKUP(E99,Product_List!$B$2:$C$61,2,FALSE)</f>
        <v>Furniture</v>
      </c>
      <c r="H99" s="3" t="str">
        <f>SUBSTITUTE(SUBSTITUTE('Sales_RAW(BEFORE)'!G102,"kom",""),".","")</f>
        <v xml:space="preserve">29 </v>
      </c>
      <c r="I99" s="6">
        <f>VLOOKUP(E99,Product_List!$B$2:$D$61,3,FALSE)</f>
        <v>893.58</v>
      </c>
      <c r="J99" s="5">
        <f>IF(IFERROR(VALUE(SUBSTITUTE(SUBSTITUTE(TRIM('Sales_RAW(BEFORE)'!I102), "%", ""), ",", ".")), 0) &gt; 1, IFERROR(VALUE(SUBSTITUTE(SUBSTITUTE(TRIM('Sales_RAW(BEFORE)'!I102), "%", ""), ",", ".")), 0) / 100, IFERROR(VALUE(SUBSTITUTE(SUBSTITUTE(TRIM('Sales_RAW(BEFORE)'!I102), "%", ""), ",", ".")), 0))</f>
        <v>0.1</v>
      </c>
      <c r="K99" s="6">
        <f t="shared" si="5"/>
        <v>25913.82</v>
      </c>
      <c r="L99" s="6" t="str" cm="1">
        <f t="array" ref="L99">_xlfn.LET(
  _xlpm.valuta, UPPER(TRIM('Sales_RAW(BEFORE)'!K102)),
  _xlfn.IFS(
    _xlpm.valuta = "", "",
    OR(_xlpm.valuta = "USD", _xlpm.valuta = "$"), "$",
    OR(_xlpm.valuta = "EUR", _xlpm.valuta = "€"), "€",
    TRUE, _xlpm.valuta
  )
)</f>
        <v>$</v>
      </c>
      <c r="M99" s="3" t="str">
        <f>"E" &amp; TEXT(VALUE(SUBSTITUTE(SUBSTITUTE(SUBSTITUTE(UPPER(TRIM('Sales_RAW(BEFORE)'!L102)), "EMP", ""), "E", ""), "-", "")),"000")</f>
        <v>E013</v>
      </c>
      <c r="N99" s="3" t="str">
        <f>_xlfn.XLOOKUP(M99,Employees!$D$2:$D$26,Employees!$A$2:$A$26)</f>
        <v>Robert Williams</v>
      </c>
      <c r="O99" s="3" t="str">
        <f>_xlfn.XLOOKUP(N99,Employees!$A$2:$A$26,Employees!$C$2:$C$26,2)</f>
        <v>Wholesale</v>
      </c>
      <c r="P99" s="3" t="str">
        <f>PROPER('Sales_RAW(BEFORE)'!N102)</f>
        <v>West</v>
      </c>
      <c r="Q99" s="3" t="str">
        <f>VLOOKUP(N99,Employees!$A$2:$B$26,2,FALSE)</f>
        <v>Houston</v>
      </c>
      <c r="R99" s="3" t="str">
        <f>PROPER('Sales_RAW(BEFORE)'!P102)</f>
        <v>Stark Inc.</v>
      </c>
      <c r="S99" s="3" t="str">
        <f>SUBSTITUTE(SUBSTITUTE('Sales_RAW(BEFORE)'!Q102,"EIN",""),":","")</f>
        <v>374562596</v>
      </c>
      <c r="T99" s="3" t="s">
        <v>876</v>
      </c>
      <c r="U99" s="3" t="s">
        <v>1917</v>
      </c>
      <c r="V99" s="3" t="s">
        <v>1918</v>
      </c>
      <c r="W99" s="3" t="s">
        <v>1919</v>
      </c>
      <c r="X99" s="3" t="s">
        <v>173</v>
      </c>
      <c r="Y99" s="3" t="str">
        <f>PROPER('Sales_RAW(BEFORE)'!W102)</f>
        <v>Wire</v>
      </c>
      <c r="Z99" s="3" t="str">
        <f>PROPER('Sales_RAW(BEFORE)'!X102)</f>
        <v>Cancelled</v>
      </c>
      <c r="AA99" s="3" t="str" cm="1">
        <f t="array" ref="AA99">_xlfn.LET(
  _xlpm.val, TRIM(LOWER('Sales_RAW(BEFORE)'!Y102)),
  _xlfn.IFS(
    OR(_xlpm.val="yes", _xlpm.val="paid"), "Paid",
    OR(_xlpm.val="no", _xlpm.val="unpaid"), "Unpaid",
    OR(_xlpm.val="partial", _xlpm.val="partial paid"), "Partial",
    _xlpm.val="", "",
    TRUE, 'Sales_RAW(BEFORE)'!AY102
  )
)</f>
        <v>Paid</v>
      </c>
      <c r="AB99" s="3" t="s">
        <v>1920</v>
      </c>
      <c r="AC99" s="3" t="str">
        <f>PROPER('Sales_RAW(BEFORE)'!AA102)</f>
        <v>Web</v>
      </c>
      <c r="AD99" s="3" t="str">
        <f>SUBSTITUTE(SUBSTITUTE(SUBSTITUTE(SUBSTITUTE('Sales_RAW(BEFORE)'!AB102,"st",""),"q",""),"Q",""),"uarter","")</f>
        <v>1</v>
      </c>
      <c r="AE99" s="3" t="str">
        <f>TEXT(IFERROR(DATEVALUE('Sales_RAW(BEFORE)'!AC102 &amp; " 1"), IFERROR(DATE(2025, 'Sales_RAW(BEFORE)'!AC102, 1), 'Sales_RAW(BEFORE)'!AC102)), "mmmm")</f>
        <v>May</v>
      </c>
      <c r="AF99" s="3">
        <f>_xlfn.LET(
  _xlpm.raw, TRIM(SUBSTITUTE('Sales_RAW(BEFORE)'!AD102, "'", "")),
  _xlpm.num, IFERROR(VALUE(_xlpm.raw), 0),
  IF(_xlpm.num &lt; 100, 2000 + _xlpm.num, _xlpm.num)
)</f>
        <v>2025</v>
      </c>
      <c r="AG99" s="3" t="str">
        <f>PROPER('Sales_RAW(BEFORE)'!AE102)</f>
        <v>Immediate</v>
      </c>
      <c r="AH99" s="3" cm="1">
        <f t="array" ref="AH99">_xlfn.LET(
  _xlpm.val, LOWER(TRIM('Sales_RAW(BEFORE)'!AF102)),
  _xlfn.IFS(
    OR(_xlpm.val="", _xlpm.val="null", _xlpm.val="N/A", _xlpm.val="-", _xlpm.val="#N/A"), 0,
    ISNUMBER('Sales_RAW(BEFORE)'!AF102), 'Sales_RAW(BEFORE)'!AF102,
    TRUE, IFERROR(_xlfn.NUMBERVALUE(_xlpm.val), 0)
  )
)</f>
        <v>0</v>
      </c>
      <c r="AI99" s="5">
        <f>IF(IFERROR(VALUE(SUBSTITUTE(SUBSTITUTE(TRIM('Sales_RAW(BEFORE)'!AG102), "%", ""), ",", ".")), 0) &gt; 1, IFERROR(VALUE(SUBSTITUTE(SUBSTITUTE(TRIM('Sales_RAW(BEFORE)'!AG102), "%", ""), ",", ".")), 0) / 100, IFERROR(VALUE(SUBSTITUTE(SUBSTITUTE(TRIM('Sales_RAW(BEFORE)'!AG102), "%", ""), ",", ".")), 0))</f>
        <v>0.08</v>
      </c>
      <c r="AJ99" s="6">
        <f t="shared" si="6"/>
        <v>2073.1055999999999</v>
      </c>
      <c r="AK99" s="6">
        <f t="shared" si="7"/>
        <v>27986.925599999999</v>
      </c>
      <c r="AL99" s="6">
        <f>IFERROR(VALUE(SUBSTITUTE(SUBSTITUTE(SUBSTITUTE('Sales_RAW(BEFORE)'!AJ102,"$",""),"USD",""),",",".")),0)</f>
        <v>25.45</v>
      </c>
      <c r="AM99" s="3" t="str">
        <f>SUBSTITUTE(SUBSTITUTE(PROPER('Sales_RAW(BEFORE)'!AK102), "Fed Ex", "FedEx"),"Fedex","FedEx")</f>
        <v>FedEx</v>
      </c>
      <c r="AN99" s="3" t="s">
        <v>1922</v>
      </c>
      <c r="AO99" s="3" t="str">
        <f>SUBSTITUTE('Sales_RAW(BEFORE)'!AM102,"kg","")</f>
        <v>25.6</v>
      </c>
      <c r="AP99" s="3" t="str">
        <f>_xlfn.LET(
  _xlpm.raw, UPPER(TRIM('Sales_RAW(BEFORE)'!AN102)),
  _xlpm.clean, RIGHT(_xlpm.raw, 1),
  IF(OR(_xlpm.raw="", _xlpm.raw="null"), "N/A", _xlpm.clean)
)</f>
        <v>A</v>
      </c>
      <c r="AQ99" s="3">
        <v>315</v>
      </c>
      <c r="AR99" s="3" t="str" cm="1">
        <f t="array" ref="AR99">_xlfn.LET(
  _xlpm.raw, LOWER(TRIM('Sales_RAW(BEFORE)'!AP102)),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99" s="3"/>
      <c r="AT99" s="3"/>
      <c r="AU99" s="3"/>
      <c r="AV99" s="8">
        <f>IF(IFERROR(VALUE(SUBSTITUTE(SUBSTITUTE(TRIM('Sales_RAW(BEFORE)'!AT102), "%", ""), ",", ".")), 0) &gt; 1, IFERROR(VALUE(SUBSTITUTE(SUBSTITUTE(TRIM('Sales_RAW(BEFORE)'!AT102), "%", ""), ",", ".")), 0) / 100, IFERROR(VALUE(SUBSTITUTE(SUBSTITUTE(TRIM('Sales_RAW(BEFORE)'!AT102), "%", ""), ",", ".")), 0))</f>
        <v>0.18</v>
      </c>
      <c r="AW99" s="6">
        <f>BA99*(_xlfn.XLOOKUP(N99,Employees!$A$2:$A$26,Employees!$E$2:$E$26,2))</f>
        <v>1119.477024</v>
      </c>
      <c r="AX99" s="3" t="str">
        <f>PROPER('Sales_RAW(BEFORE)'!AV102)</f>
        <v>Olivia Anderson</v>
      </c>
      <c r="AY99" s="3" t="str">
        <f t="shared" si="8"/>
        <v>Olivia Anderson</v>
      </c>
      <c r="AZ99" s="3"/>
      <c r="BA99" s="24">
        <f>AK99*(1-(_xlfn.XLOOKUP(G99, Exchange_Rates!$B$8:$F$8, Exchange_Rates!$B$9:$F$9, 0)+J99))</f>
        <v>22389.54048</v>
      </c>
      <c r="BB99" s="7" cm="1">
        <f t="array" ref="BB99">_xlfn.LET(
  _xlpm.raw_dt, SUBSTITUTE(TRIM(C99), ".", "/"),
  _xlpm.dt, IFERROR(DATEVALUE(_xlpm.raw_dt), C99),
  _xlpm.p_code, TRIM(E99),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46166</v>
      </c>
      <c r="BC99" s="25">
        <f t="shared" si="9"/>
        <v>4030.1172864</v>
      </c>
    </row>
    <row r="100" spans="1:55" ht="15.75" thickBot="1" x14ac:dyDescent="0.3">
      <c r="A100" s="3" t="s">
        <v>1924</v>
      </c>
      <c r="B100" s="10">
        <v>45893</v>
      </c>
      <c r="C100" s="4">
        <v>45897</v>
      </c>
      <c r="D100" s="3" t="str">
        <f>"P-" &amp; TEXT(VALUE(SUBSTITUTE(SUBSTITUTE(SUBSTITUTE(UPPER(TRIM('Sales_RAW(BEFORE)'!D103)), "P", ""), "-", ""), "_", "")),"000")</f>
        <v>P-030</v>
      </c>
      <c r="E100" s="3" t="str">
        <f>VLOOKUP(D100,Product_List!$A$2:$B$61,2,FALSE)</f>
        <v>License Pro 30</v>
      </c>
      <c r="F100" s="3" t="str">
        <f>_xlfn.XLOOKUP(E100,Product_List!$B$2:$B$61,Product_List!$E$2:$E$61,2)</f>
        <v>BestParts</v>
      </c>
      <c r="G100" s="3" t="str">
        <f>VLOOKUP(E100,Product_List!$B$2:$C$61,2,FALSE)</f>
        <v>Office</v>
      </c>
      <c r="H100" s="3" t="str">
        <f>SUBSTITUTE(SUBSTITUTE('Sales_RAW(BEFORE)'!G103,"kom",""),".","")</f>
        <v>17</v>
      </c>
      <c r="I100" s="6">
        <f>VLOOKUP(E100,Product_List!$B$2:$D$61,3,FALSE)</f>
        <v>676.54</v>
      </c>
      <c r="J100" s="5">
        <f>IF(IFERROR(VALUE(SUBSTITUTE(SUBSTITUTE(TRIM('Sales_RAW(BEFORE)'!I103), "%", ""), ",", ".")), 0) &gt; 1, IFERROR(VALUE(SUBSTITUTE(SUBSTITUTE(TRIM('Sales_RAW(BEFORE)'!I103), "%", ""), ",", ".")), 0) / 100, IFERROR(VALUE(SUBSTITUTE(SUBSTITUTE(TRIM('Sales_RAW(BEFORE)'!I103), "%", ""), ",", ".")), 0))</f>
        <v>0.1</v>
      </c>
      <c r="K100" s="6">
        <f t="shared" si="5"/>
        <v>11501.18</v>
      </c>
      <c r="L100" s="6" t="str" cm="1">
        <f t="array" ref="L100">_xlfn.LET(
  _xlpm.valuta, UPPER(TRIM('Sales_RAW(BEFORE)'!K103)),
  _xlfn.IFS(
    _xlpm.valuta = "", "",
    OR(_xlpm.valuta = "USD", _xlpm.valuta = "$"), "$",
    OR(_xlpm.valuta = "EUR", _xlpm.valuta = "€"), "€",
    TRUE, _xlpm.valuta
  )
)</f>
        <v>$</v>
      </c>
      <c r="M100" s="3" t="str">
        <f>"E" &amp; TEXT(VALUE(SUBSTITUTE(SUBSTITUTE(SUBSTITUTE(UPPER(TRIM('Sales_RAW(BEFORE)'!L103)), "EMP", ""), "E", ""), "-", "")),"000")</f>
        <v>E003</v>
      </c>
      <c r="N100" s="3" t="str">
        <f>_xlfn.XLOOKUP(M100,Employees!$D$2:$D$26,Employees!$A$2:$A$26)</f>
        <v>Laura Miller</v>
      </c>
      <c r="O100" s="3" t="str">
        <f>_xlfn.XLOOKUP(N100,Employees!$A$2:$A$26,Employees!$C$2:$C$26,2)</f>
        <v>Sales</v>
      </c>
      <c r="P100" s="3" t="str">
        <f>PROPER('Sales_RAW(BEFORE)'!N103)</f>
        <v>West</v>
      </c>
      <c r="Q100" s="3" t="str">
        <f>VLOOKUP(N100,Employees!$A$2:$B$26,2,FALSE)</f>
        <v>Miami</v>
      </c>
      <c r="R100" s="3" t="str">
        <f>PROPER('Sales_RAW(BEFORE)'!P103)</f>
        <v xml:space="preserve">Initech Inc.   </v>
      </c>
      <c r="S100" s="3" t="str">
        <f>SUBSTITUTE(SUBSTITUTE('Sales_RAW(BEFORE)'!Q103,"EIN",""),":","")</f>
        <v>234255914</v>
      </c>
      <c r="T100" s="3" t="s">
        <v>994</v>
      </c>
      <c r="U100" s="3" t="s">
        <v>1934</v>
      </c>
      <c r="V100" s="3" t="s">
        <v>1935</v>
      </c>
      <c r="W100" s="3" t="s">
        <v>1936</v>
      </c>
      <c r="X100" s="3" t="s">
        <v>173</v>
      </c>
      <c r="Y100" s="3" t="str">
        <f>PROPER('Sales_RAW(BEFORE)'!W103)</f>
        <v>Cash</v>
      </c>
      <c r="Z100" s="3" t="str">
        <f>PROPER('Sales_RAW(BEFORE)'!X103)</f>
        <v>Processing</v>
      </c>
      <c r="AA100" s="3" t="str" cm="1">
        <f t="array" ref="AA100">_xlfn.LET(
  _xlpm.val, TRIM(LOWER('Sales_RAW(BEFORE)'!Y103)),
  _xlfn.IFS(
    OR(_xlpm.val="yes", _xlpm.val="paid"), "Paid",
    OR(_xlpm.val="no", _xlpm.val="unpaid"), "Unpaid",
    OR(_xlpm.val="partial", _xlpm.val="partial paid"), "Partial",
    _xlpm.val="", "",
    TRUE, 'Sales_RAW(BEFORE)'!AY103
  )
)</f>
        <v>Paid</v>
      </c>
      <c r="AB100" s="3" t="s">
        <v>1937</v>
      </c>
      <c r="AC100" s="3" t="str">
        <f>PROPER('Sales_RAW(BEFORE)'!AA103)</f>
        <v>Phone</v>
      </c>
      <c r="AD100" s="3" t="str">
        <f>SUBSTITUTE(SUBSTITUTE(SUBSTITUTE(SUBSTITUTE('Sales_RAW(BEFORE)'!AB103,"st",""),"q",""),"Q",""),"uarter","")</f>
        <v>1</v>
      </c>
      <c r="AE100" s="3" t="str">
        <f>TEXT(IFERROR(DATEVALUE('Sales_RAW(BEFORE)'!AC103 &amp; " 1"), IFERROR(DATE(2025, 'Sales_RAW(BEFORE)'!AC103, 1), 'Sales_RAW(BEFORE)'!AC103)), "mmmm")</f>
        <v>August</v>
      </c>
      <c r="AF100" s="3">
        <f>_xlfn.LET(
  _xlpm.raw, TRIM(SUBSTITUTE('Sales_RAW(BEFORE)'!AD103, "'", "")),
  _xlpm.num, IFERROR(VALUE(_xlpm.raw), 0),
  IF(_xlpm.num &lt; 100, 2000 + _xlpm.num, _xlpm.num)
)</f>
        <v>2025</v>
      </c>
      <c r="AG100" s="3" t="str">
        <f>PROPER('Sales_RAW(BEFORE)'!AE103)</f>
        <v>Net 30</v>
      </c>
      <c r="AH100" s="3" cm="1">
        <f t="array" ref="AH100">_xlfn.LET(
  _xlpm.val, LOWER(TRIM('Sales_RAW(BEFORE)'!AF103)),
  _xlfn.IFS(
    OR(_xlpm.val="", _xlpm.val="null", _xlpm.val="N/A", _xlpm.val="-", _xlpm.val="#N/A"), 0,
    ISNUMBER('Sales_RAW(BEFORE)'!AF103), 'Sales_RAW(BEFORE)'!AF103,
    TRUE, IFERROR(_xlfn.NUMBERVALUE(_xlpm.val), 0)
  )
)</f>
        <v>27</v>
      </c>
      <c r="AI100" s="5">
        <f>IF(IFERROR(VALUE(SUBSTITUTE(SUBSTITUTE(TRIM('Sales_RAW(BEFORE)'!AG103), "%", ""), ",", ".")), 0) &gt; 1, IFERROR(VALUE(SUBSTITUTE(SUBSTITUTE(TRIM('Sales_RAW(BEFORE)'!AG103), "%", ""), ",", ".")), 0) / 100, IFERROR(VALUE(SUBSTITUTE(SUBSTITUTE(TRIM('Sales_RAW(BEFORE)'!AG103), "%", ""), ",", ".")), 0))</f>
        <v>0.08</v>
      </c>
      <c r="AJ100" s="6">
        <f t="shared" si="6"/>
        <v>920.09440000000006</v>
      </c>
      <c r="AK100" s="6">
        <f t="shared" si="7"/>
        <v>12421.2744</v>
      </c>
      <c r="AL100" s="6">
        <f>IFERROR(VALUE(SUBSTITUTE(SUBSTITUTE(SUBSTITUTE('Sales_RAW(BEFORE)'!AJ103,"$",""),"USD",""),",",".")),0)</f>
        <v>0.24</v>
      </c>
      <c r="AM100" s="3" t="str">
        <f>SUBSTITUTE(SUBSTITUTE(PROPER('Sales_RAW(BEFORE)'!AK103), "Fed Ex", "FedEx"),"Fedex","FedEx")</f>
        <v>Usps</v>
      </c>
      <c r="AN100" s="3" t="s">
        <v>1939</v>
      </c>
      <c r="AO100" s="3" t="str">
        <f>SUBSTITUTE('Sales_RAW(BEFORE)'!AM103,"kg","")</f>
        <v>2.41</v>
      </c>
      <c r="AP100" s="3" t="str">
        <f>_xlfn.LET(
  _xlpm.raw, UPPER(TRIM('Sales_RAW(BEFORE)'!AN103)),
  _xlpm.clean, RIGHT(_xlpm.raw, 1),
  IF(OR(_xlpm.raw="", _xlpm.raw="null"), "N/A", _xlpm.clean)
)</f>
        <v>A</v>
      </c>
      <c r="AQ100" s="3">
        <v>48</v>
      </c>
      <c r="AR100" s="3" cm="1">
        <f t="array" ref="AR100">_xlfn.LET(
  _xlpm.raw, LOWER(TRIM('Sales_RAW(BEFORE)'!AP103)),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100" s="3"/>
      <c r="AT100" s="3"/>
      <c r="AU100" s="3"/>
      <c r="AV100" s="8">
        <f>IF(IFERROR(VALUE(SUBSTITUTE(SUBSTITUTE(TRIM('Sales_RAW(BEFORE)'!AT103), "%", ""), ",", ".")), 0) &gt; 1, IFERROR(VALUE(SUBSTITUTE(SUBSTITUTE(TRIM('Sales_RAW(BEFORE)'!AT103), "%", ""), ",", ".")), 0) / 100, IFERROR(VALUE(SUBSTITUTE(SUBSTITUTE(TRIM('Sales_RAW(BEFORE)'!AT103), "%", ""), ",", ".")), 0))</f>
        <v>0.18</v>
      </c>
      <c r="AW100" s="6">
        <f>BA100*(_xlfn.XLOOKUP(N100,Employees!$A$2:$A$26,Employees!$E$2:$E$26,2))</f>
        <v>496.85097600000012</v>
      </c>
      <c r="AX100" s="3" t="str">
        <f>PROPER('Sales_RAW(BEFORE)'!AV103)</f>
        <v xml:space="preserve">Laura Williams </v>
      </c>
      <c r="AY100" s="3" t="str">
        <f t="shared" si="8"/>
        <v xml:space="preserve">Laura Williams </v>
      </c>
      <c r="AZ100" s="3"/>
      <c r="BA100" s="24">
        <f>AK100*(1-(_xlfn.XLOOKUP(G100, Exchange_Rates!$B$8:$F$8, Exchange_Rates!$B$9:$F$9, 0)+J100))</f>
        <v>9937.0195200000016</v>
      </c>
      <c r="BB100" s="7" cm="1">
        <f t="array" ref="BB100">_xlfn.LET(
  _xlpm.raw_dt, SUBSTITUTE(TRIM(C100), ".", "/"),
  _xlpm.dt, IFERROR(DATEVALUE(_xlpm.raw_dt), C100),
  _xlpm.p_code, TRIM(E100),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46627</v>
      </c>
      <c r="BC100" s="25">
        <f t="shared" si="9"/>
        <v>1788.6635136000002</v>
      </c>
    </row>
    <row r="101" spans="1:55" ht="15.75" thickBot="1" x14ac:dyDescent="0.3">
      <c r="A101" s="3" t="s">
        <v>1941</v>
      </c>
      <c r="B101" s="10">
        <v>45767</v>
      </c>
      <c r="C101" s="4">
        <v>45775</v>
      </c>
      <c r="D101" s="3" t="str">
        <f>"P-" &amp; TEXT(VALUE(SUBSTITUTE(SUBSTITUTE(SUBSTITUTE(UPPER(TRIM('Sales_RAW(BEFORE)'!D104)), "P", ""), "-", ""), "_", "")),"000")</f>
        <v>P-006</v>
      </c>
      <c r="E101" s="3" t="str">
        <f>VLOOKUP(D101,Product_List!$A$2:$B$61,2,FALSE)</f>
        <v>Monitor X 6</v>
      </c>
      <c r="F101" s="3" t="str">
        <f>_xlfn.XLOOKUP(E101,Product_List!$B$2:$B$61,Product_List!$E$2:$E$61,2)</f>
        <v>TechSupply Co</v>
      </c>
      <c r="G101" s="3" t="str">
        <f>VLOOKUP(E101,Product_List!$B$2:$C$61,2,FALSE)</f>
        <v>Equipment</v>
      </c>
      <c r="H101" s="3" t="str">
        <f>SUBSTITUTE(SUBSTITUTE('Sales_RAW(BEFORE)'!G104,"kom",""),".","")</f>
        <v xml:space="preserve">17 </v>
      </c>
      <c r="I101" s="6">
        <f>VLOOKUP(E101,Product_List!$B$2:$D$61,3,FALSE)</f>
        <v>1421.82</v>
      </c>
      <c r="J101" s="5">
        <f>IF(IFERROR(VALUE(SUBSTITUTE(SUBSTITUTE(TRIM('Sales_RAW(BEFORE)'!I104), "%", ""), ",", ".")), 0) &gt; 1, IFERROR(VALUE(SUBSTITUTE(SUBSTITUTE(TRIM('Sales_RAW(BEFORE)'!I104), "%", ""), ",", ".")), 0) / 100, IFERROR(VALUE(SUBSTITUTE(SUBSTITUTE(TRIM('Sales_RAW(BEFORE)'!I104), "%", ""), ",", ".")), 0))</f>
        <v>0</v>
      </c>
      <c r="K101" s="6">
        <f t="shared" si="5"/>
        <v>24170.94</v>
      </c>
      <c r="L101" s="6" t="str" cm="1">
        <f t="array" ref="L101">_xlfn.LET(
  _xlpm.valuta, UPPER(TRIM('Sales_RAW(BEFORE)'!K104)),
  _xlfn.IFS(
    _xlpm.valuta = "", "",
    OR(_xlpm.valuta = "USD", _xlpm.valuta = "$"), "$",
    OR(_xlpm.valuta = "EUR", _xlpm.valuta = "€"), "€",
    TRUE, _xlpm.valuta
  )
)</f>
        <v>$</v>
      </c>
      <c r="M101" s="3" t="str">
        <f>"E" &amp; TEXT(VALUE(SUBSTITUTE(SUBSTITUTE(SUBSTITUTE(UPPER(TRIM('Sales_RAW(BEFORE)'!L104)), "EMP", ""), "E", ""), "-", "")),"000")</f>
        <v>E024</v>
      </c>
      <c r="N101" s="3" t="str">
        <f>_xlfn.XLOOKUP(M101,Employees!$D$2:$D$26,Employees!$A$2:$A$26)</f>
        <v>Robert Smith</v>
      </c>
      <c r="O101" s="3" t="str">
        <f>_xlfn.XLOOKUP(N101,Employees!$A$2:$A$26,Employees!$C$2:$C$26,2)</f>
        <v>Retail</v>
      </c>
      <c r="P101" s="3" t="str">
        <f>PROPER('Sales_RAW(BEFORE)'!N104)</f>
        <v>North</v>
      </c>
      <c r="Q101" s="3" t="str">
        <f>VLOOKUP(N101,Employees!$A$2:$B$26,2,FALSE)</f>
        <v>Chicago</v>
      </c>
      <c r="R101" s="3" t="str">
        <f>PROPER('Sales_RAW(BEFORE)'!P104)</f>
        <v xml:space="preserve"> Stark Llc</v>
      </c>
      <c r="S101" s="3" t="str">
        <f>SUBSTITUTE(SUBSTITUTE('Sales_RAW(BEFORE)'!Q104,"EIN",""),":","")</f>
        <v xml:space="preserve"> 513495468</v>
      </c>
      <c r="T101" s="3" t="s">
        <v>286</v>
      </c>
      <c r="U101" s="3" t="s">
        <v>1950</v>
      </c>
      <c r="V101" s="3" t="s">
        <v>1951</v>
      </c>
      <c r="W101" s="3" t="s">
        <v>1952</v>
      </c>
      <c r="X101" s="3" t="s">
        <v>173</v>
      </c>
      <c r="Y101" s="3" t="str">
        <f>PROPER('Sales_RAW(BEFORE)'!W104)</f>
        <v>Credit Card</v>
      </c>
      <c r="Z101" s="3" t="str">
        <f>PROPER('Sales_RAW(BEFORE)'!X104)</f>
        <v>Cancelled</v>
      </c>
      <c r="AA101" s="3" t="str" cm="1">
        <f t="array" ref="AA101">_xlfn.LET(
  _xlpm.val, TRIM(LOWER('Sales_RAW(BEFORE)'!Y104)),
  _xlfn.IFS(
    OR(_xlpm.val="yes", _xlpm.val="paid"), "Paid",
    OR(_xlpm.val="no", _xlpm.val="unpaid"), "Unpaid",
    OR(_xlpm.val="partial", _xlpm.val="partial paid"), "Partial",
    _xlpm.val="", "",
    TRUE, 'Sales_RAW(BEFORE)'!AY104
  )
)</f>
        <v>Unpaid</v>
      </c>
      <c r="AB101" s="3" t="s">
        <v>1953</v>
      </c>
      <c r="AC101" s="3" t="str">
        <f>PROPER('Sales_RAW(BEFORE)'!AA104)</f>
        <v>Web</v>
      </c>
      <c r="AD101" s="3" t="str">
        <f>SUBSTITUTE(SUBSTITUTE(SUBSTITUTE(SUBSTITUTE('Sales_RAW(BEFORE)'!AB104,"st",""),"q",""),"Q",""),"uarter","")</f>
        <v>1</v>
      </c>
      <c r="AE101" s="3" t="str">
        <f>TEXT(IFERROR(DATEVALUE('Sales_RAW(BEFORE)'!AC104 &amp; " 1"), IFERROR(DATE(2025, 'Sales_RAW(BEFORE)'!AC104, 1), 'Sales_RAW(BEFORE)'!AC104)), "mmmm")</f>
        <v>April</v>
      </c>
      <c r="AF101" s="3">
        <f>_xlfn.LET(
  _xlpm.raw, TRIM(SUBSTITUTE('Sales_RAW(BEFORE)'!AD104, "'", "")),
  _xlpm.num, IFERROR(VALUE(_xlpm.raw), 0),
  IF(_xlpm.num &lt; 100, 2000 + _xlpm.num, _xlpm.num)
)</f>
        <v>2025</v>
      </c>
      <c r="AG101" s="3" t="str">
        <f>PROPER('Sales_RAW(BEFORE)'!AE104)</f>
        <v>Net 30</v>
      </c>
      <c r="AH101" s="3" cm="1">
        <f t="array" ref="AH101">_xlfn.LET(
  _xlpm.val, LOWER(TRIM('Sales_RAW(BEFORE)'!AF104)),
  _xlfn.IFS(
    OR(_xlpm.val="", _xlpm.val="null", _xlpm.val="N/A", _xlpm.val="-", _xlpm.val="#N/A"), 0,
    ISNUMBER('Sales_RAW(BEFORE)'!AF104), 'Sales_RAW(BEFORE)'!AF104,
    TRUE, IFERROR(_xlfn.NUMBERVALUE(_xlpm.val), 0)
  )
)</f>
        <v>14</v>
      </c>
      <c r="AI101" s="5">
        <f>IF(IFERROR(VALUE(SUBSTITUTE(SUBSTITUTE(TRIM('Sales_RAW(BEFORE)'!AG104), "%", ""), ",", ".")), 0) &gt; 1, IFERROR(VALUE(SUBSTITUTE(SUBSTITUTE(TRIM('Sales_RAW(BEFORE)'!AG104), "%", ""), ",", ".")), 0) / 100, IFERROR(VALUE(SUBSTITUTE(SUBSTITUTE(TRIM('Sales_RAW(BEFORE)'!AG104), "%", ""), ",", ".")), 0))</f>
        <v>0.08</v>
      </c>
      <c r="AJ101" s="6">
        <f t="shared" si="6"/>
        <v>1933.6751999999999</v>
      </c>
      <c r="AK101" s="6">
        <f t="shared" si="7"/>
        <v>26104.6152</v>
      </c>
      <c r="AL101" s="6">
        <f>IFERROR(VALUE(SUBSTITUTE(SUBSTITUTE(SUBSTITUTE('Sales_RAW(BEFORE)'!AJ104,"$",""),"USD",""),",",".")),0)</f>
        <v>42.92</v>
      </c>
      <c r="AM101" s="3" t="str">
        <f>SUBSTITUTE(SUBSTITUTE(PROPER('Sales_RAW(BEFORE)'!AK104), "Fed Ex", "FedEx"),"Fedex","FedEx")</f>
        <v>Dhl</v>
      </c>
      <c r="AN101" s="3" t="s">
        <v>1955</v>
      </c>
      <c r="AO101" s="3" t="str">
        <f>SUBSTITUTE('Sales_RAW(BEFORE)'!AM104,"kg","")</f>
        <v>14,12</v>
      </c>
      <c r="AP101" s="3" t="str">
        <f>_xlfn.LET(
  _xlpm.raw, UPPER(TRIM('Sales_RAW(BEFORE)'!AN104)),
  _xlpm.clean, RIGHT(_xlpm.raw, 1),
  IF(OR(_xlpm.raw="", _xlpm.raw="null"), "N/A", _xlpm.clean)
)</f>
        <v>B</v>
      </c>
      <c r="AQ101" s="3">
        <v>0</v>
      </c>
      <c r="AR101" s="3" t="str" cm="1">
        <f t="array" ref="AR101">_xlfn.LET(
  _xlpm.raw, LOWER(TRIM('Sales_RAW(BEFORE)'!AP104)),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101" s="3"/>
      <c r="AT101" s="3"/>
      <c r="AU101" s="3"/>
      <c r="AV101" s="8">
        <f>IF(IFERROR(VALUE(SUBSTITUTE(SUBSTITUTE(TRIM('Sales_RAW(BEFORE)'!AT104), "%", ""), ",", ".")), 0) &gt; 1, IFERROR(VALUE(SUBSTITUTE(SUBSTITUTE(TRIM('Sales_RAW(BEFORE)'!AT104), "%", ""), ",", ".")), 0) / 100, IFERROR(VALUE(SUBSTITUTE(SUBSTITUTE(TRIM('Sales_RAW(BEFORE)'!AT104), "%", ""), ",", ".")), 0))</f>
        <v>0.3</v>
      </c>
      <c r="AW101" s="6">
        <f>BA101*(_xlfn.XLOOKUP(N101,Employees!$A$2:$A$26,Employees!$E$2:$E$26,2))</f>
        <v>469.88307359999999</v>
      </c>
      <c r="AX101" s="3" t="str">
        <f>PROPER('Sales_RAW(BEFORE)'!AV104)</f>
        <v>Emma Davis</v>
      </c>
      <c r="AY101" s="3" t="str">
        <f t="shared" si="8"/>
        <v>Emma Davis</v>
      </c>
      <c r="AZ101" s="3"/>
      <c r="BA101" s="24">
        <f>AK101*(1-(_xlfn.XLOOKUP(G101, Exchange_Rates!$B$8:$F$8, Exchange_Rates!$B$9:$F$9, 0)+J101))</f>
        <v>23494.153679999999</v>
      </c>
      <c r="BB101" s="7" cm="1">
        <f t="array" ref="BB101">_xlfn.LET(
  _xlpm.raw_dt, SUBSTITUTE(TRIM(C101), ".", "/"),
  _xlpm.dt, IFERROR(DATEVALUE(_xlpm.raw_dt), C101),
  _xlpm.p_code, TRIM(E101),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46140</v>
      </c>
      <c r="BC101" s="25">
        <f t="shared" si="9"/>
        <v>7048.2461039999998</v>
      </c>
    </row>
    <row r="102" spans="1:55" ht="15.75" thickBot="1" x14ac:dyDescent="0.3">
      <c r="A102" s="3" t="s">
        <v>1958</v>
      </c>
      <c r="B102" s="10">
        <v>46040</v>
      </c>
      <c r="C102" s="4">
        <v>46041</v>
      </c>
      <c r="D102" s="3" t="str">
        <f>"P-" &amp; TEXT(VALUE(SUBSTITUTE(SUBSTITUTE(SUBSTITUTE(UPPER(TRIM('Sales_RAW(BEFORE)'!D105)), "P", ""), "-", ""), "_", "")),"000")</f>
        <v>P-026</v>
      </c>
      <c r="E102" s="3" t="str">
        <f>VLOOKUP(D102,Product_List!$A$2:$B$61,2,FALSE)</f>
        <v>Printer Basic 26</v>
      </c>
      <c r="F102" s="3" t="str">
        <f>_xlfn.XLOOKUP(E102,Product_List!$B$2:$B$61,Product_List!$E$2:$E$61,2)</f>
        <v>TechSupply Co</v>
      </c>
      <c r="G102" s="3" t="str">
        <f>VLOOKUP(E102,Product_List!$B$2:$C$61,2,FALSE)</f>
        <v>Electronics</v>
      </c>
      <c r="H102" s="3" t="str">
        <f>SUBSTITUTE(SUBSTITUTE('Sales_RAW(BEFORE)'!G105,"kom",""),".","")</f>
        <v>25</v>
      </c>
      <c r="I102" s="6">
        <f>VLOOKUP(E102,Product_List!$B$2:$D$61,3,FALSE)</f>
        <v>1411.27</v>
      </c>
      <c r="J102" s="5">
        <f>IF(IFERROR(VALUE(SUBSTITUTE(SUBSTITUTE(TRIM('Sales_RAW(BEFORE)'!I105), "%", ""), ",", ".")), 0) &gt; 1, IFERROR(VALUE(SUBSTITUTE(SUBSTITUTE(TRIM('Sales_RAW(BEFORE)'!I105), "%", ""), ",", ".")), 0) / 100, IFERROR(VALUE(SUBSTITUTE(SUBSTITUTE(TRIM('Sales_RAW(BEFORE)'!I105), "%", ""), ",", ".")), 0))</f>
        <v>0.05</v>
      </c>
      <c r="K102" s="6">
        <f t="shared" si="5"/>
        <v>35281.75</v>
      </c>
      <c r="L102" s="6" t="str" cm="1">
        <f t="array" ref="L102">_xlfn.LET(
  _xlpm.valuta, UPPER(TRIM('Sales_RAW(BEFORE)'!K105)),
  _xlfn.IFS(
    _xlpm.valuta = "", "",
    OR(_xlpm.valuta = "USD", _xlpm.valuta = "$"), "$",
    OR(_xlpm.valuta = "EUR", _xlpm.valuta = "€"), "€",
    TRUE, _xlpm.valuta
  )
)</f>
        <v>$</v>
      </c>
      <c r="M102" s="3" t="str">
        <f>"E" &amp; TEXT(VALUE(SUBSTITUTE(SUBSTITUTE(SUBSTITUTE(UPPER(TRIM('Sales_RAW(BEFORE)'!L105)), "EMP", ""), "E", ""), "-", "")),"000")</f>
        <v>E001</v>
      </c>
      <c r="N102" s="3" t="str">
        <f>_xlfn.XLOOKUP(M102,Employees!$D$2:$D$26,Employees!$A$2:$A$26)</f>
        <v>Sarah Wilson</v>
      </c>
      <c r="O102" s="3" t="str">
        <f>_xlfn.XLOOKUP(N102,Employees!$A$2:$A$26,Employees!$C$2:$C$26,2)</f>
        <v>Online</v>
      </c>
      <c r="P102" s="3" t="str">
        <f>PROPER('Sales_RAW(BEFORE)'!N105)</f>
        <v>North</v>
      </c>
      <c r="Q102" s="3" t="str">
        <f>VLOOKUP(N102,Employees!$A$2:$B$26,2,FALSE)</f>
        <v>Los Angeles</v>
      </c>
      <c r="R102" s="3" t="str">
        <f>PROPER('Sales_RAW(BEFORE)'!P105)</f>
        <v xml:space="preserve">   Wayne Ltd.</v>
      </c>
      <c r="S102" s="3" t="str">
        <f>SUBSTITUTE(SUBSTITUTE('Sales_RAW(BEFORE)'!Q105,"EIN",""),":","")</f>
        <v>908656028</v>
      </c>
      <c r="T102" s="3" t="s">
        <v>1450</v>
      </c>
      <c r="U102" s="3" t="s">
        <v>1967</v>
      </c>
      <c r="V102" s="3" t="s">
        <v>1968</v>
      </c>
      <c r="W102" s="3" t="s">
        <v>1969</v>
      </c>
      <c r="X102" s="3" t="s">
        <v>173</v>
      </c>
      <c r="Y102" s="3" t="str">
        <f>PROPER('Sales_RAW(BEFORE)'!W105)</f>
        <v>Wire</v>
      </c>
      <c r="Z102" s="3" t="str">
        <f>PROPER('Sales_RAW(BEFORE)'!X105)</f>
        <v>Pending</v>
      </c>
      <c r="AA102" s="3" t="str" cm="1">
        <f t="array" ref="AA102">_xlfn.LET(
  _xlpm.val, TRIM(LOWER('Sales_RAW(BEFORE)'!Y105)),
  _xlfn.IFS(
    OR(_xlpm.val="yes", _xlpm.val="paid"), "Paid",
    OR(_xlpm.val="no", _xlpm.val="unpaid"), "Unpaid",
    OR(_xlpm.val="partial", _xlpm.val="partial paid"), "Partial",
    _xlpm.val="", "",
    TRUE, 'Sales_RAW(BEFORE)'!AY105
  )
)</f>
        <v>Paid</v>
      </c>
      <c r="AB102" s="3" t="s">
        <v>1970</v>
      </c>
      <c r="AC102" s="3" t="str">
        <f>PROPER('Sales_RAW(BEFORE)'!AA105)</f>
        <v>Phone</v>
      </c>
      <c r="AD102" s="3" t="str">
        <f>SUBSTITUTE(SUBSTITUTE(SUBSTITUTE(SUBSTITUTE('Sales_RAW(BEFORE)'!AB105,"st",""),"q",""),"Q",""),"uarter","")</f>
        <v>3</v>
      </c>
      <c r="AE102" s="3" t="str">
        <f>TEXT(IFERROR(DATEVALUE('Sales_RAW(BEFORE)'!AC105 &amp; " 1"), IFERROR(DATE(2025, 'Sales_RAW(BEFORE)'!AC105, 1), 'Sales_RAW(BEFORE)'!AC105)), "mmmm")</f>
        <v>January</v>
      </c>
      <c r="AF102" s="3">
        <f>_xlfn.LET(
  _xlpm.raw, TRIM(SUBSTITUTE('Sales_RAW(BEFORE)'!AD105, "'", "")),
  _xlpm.num, IFERROR(VALUE(_xlpm.raw), 0),
  IF(_xlpm.num &lt; 100, 2000 + _xlpm.num, _xlpm.num)
)</f>
        <v>2026</v>
      </c>
      <c r="AG102" s="3" t="str">
        <f>PROPER('Sales_RAW(BEFORE)'!AE105)</f>
        <v>Net 60</v>
      </c>
      <c r="AH102" s="3" cm="1">
        <f t="array" ref="AH102">_xlfn.LET(
  _xlpm.val, LOWER(TRIM('Sales_RAW(BEFORE)'!AF105)),
  _xlfn.IFS(
    OR(_xlpm.val="", _xlpm.val="null", _xlpm.val="N/A", _xlpm.val="-", _xlpm.val="#N/A"), 0,
    ISNUMBER('Sales_RAW(BEFORE)'!AF105), 'Sales_RAW(BEFORE)'!AF105,
    TRUE, IFERROR(_xlfn.NUMBERVALUE(_xlpm.val), 0)
  )
)</f>
        <v>90</v>
      </c>
      <c r="AI102" s="5">
        <f>IF(IFERROR(VALUE(SUBSTITUTE(SUBSTITUTE(TRIM('Sales_RAW(BEFORE)'!AG105), "%", ""), ",", ".")), 0) &gt; 1, IFERROR(VALUE(SUBSTITUTE(SUBSTITUTE(TRIM('Sales_RAW(BEFORE)'!AG105), "%", ""), ",", ".")), 0) / 100, IFERROR(VALUE(SUBSTITUTE(SUBSTITUTE(TRIM('Sales_RAW(BEFORE)'!AG105), "%", ""), ",", ".")), 0))</f>
        <v>0.08</v>
      </c>
      <c r="AJ102" s="6">
        <f t="shared" si="6"/>
        <v>2822.54</v>
      </c>
      <c r="AK102" s="6">
        <f t="shared" si="7"/>
        <v>38104.29</v>
      </c>
      <c r="AL102" s="6">
        <f>IFERROR(VALUE(SUBSTITUTE(SUBSTITUTE(SUBSTITUTE('Sales_RAW(BEFORE)'!AJ105,"$",""),"USD",""),",",".")),0)</f>
        <v>45.93</v>
      </c>
      <c r="AM102" s="3" t="str">
        <f>SUBSTITUTE(SUBSTITUTE(PROPER('Sales_RAW(BEFORE)'!AK105), "Fed Ex", "FedEx"),"Fedex","FedEx")</f>
        <v>FedEx</v>
      </c>
      <c r="AN102" s="3" t="s">
        <v>1972</v>
      </c>
      <c r="AO102" s="3" t="str">
        <f>SUBSTITUTE('Sales_RAW(BEFORE)'!AM105,"kg","")</f>
        <v xml:space="preserve">11.0 </v>
      </c>
      <c r="AP102" s="3" t="str">
        <f>_xlfn.LET(
  _xlpm.raw, UPPER(TRIM('Sales_RAW(BEFORE)'!AN105)),
  _xlpm.clean, RIGHT(_xlpm.raw, 1),
  IF(OR(_xlpm.raw="", _xlpm.raw="null"), "N/A", _xlpm.clean)
)</f>
        <v>B</v>
      </c>
      <c r="AQ102" s="3">
        <v>497</v>
      </c>
      <c r="AR102" s="3" cm="1">
        <f t="array" ref="AR102">_xlfn.LET(
  _xlpm.raw, LOWER(TRIM('Sales_RAW(BEFORE)'!AP105)),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02" s="3"/>
      <c r="AT102" s="3"/>
      <c r="AU102" s="3"/>
      <c r="AV102" s="8">
        <f>IF(IFERROR(VALUE(SUBSTITUTE(SUBSTITUTE(TRIM('Sales_RAW(BEFORE)'!AT105), "%", ""), ",", ".")), 0) &gt; 1, IFERROR(VALUE(SUBSTITUTE(SUBSTITUTE(TRIM('Sales_RAW(BEFORE)'!AT105), "%", ""), ",", ".")), 0) / 100, IFERROR(VALUE(SUBSTITUTE(SUBSTITUTE(TRIM('Sales_RAW(BEFORE)'!AT105), "%", ""), ",", ".")), 0))</f>
        <v>0</v>
      </c>
      <c r="AW102" s="6">
        <f>BA102*(_xlfn.XLOOKUP(N102,Employees!$A$2:$A$26,Employees!$E$2:$E$26,2))</f>
        <v>971.6593949999999</v>
      </c>
      <c r="AX102" s="3" t="str">
        <f>PROPER('Sales_RAW(BEFORE)'!AV105)</f>
        <v xml:space="preserve">   Olivia Johnson</v>
      </c>
      <c r="AY102" s="3" t="str">
        <f t="shared" si="8"/>
        <v xml:space="preserve">   Olivia Johnson</v>
      </c>
      <c r="AZ102" s="3"/>
      <c r="BA102" s="24">
        <f>AK102*(1-(_xlfn.XLOOKUP(G102, Exchange_Rates!$B$8:$F$8, Exchange_Rates!$B$9:$F$9, 0)+J102))</f>
        <v>32388.646499999999</v>
      </c>
      <c r="BB102" s="7" cm="1">
        <f t="array" ref="BB102">_xlfn.LET(
  _xlpm.raw_dt, SUBSTITUTE(TRIM(C102), ".", "/"),
  _xlpm.dt, IFERROR(DATEVALUE(_xlpm.raw_dt), C102),
  _xlpm.p_code, TRIM(E102),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46771</v>
      </c>
      <c r="BC102" s="25">
        <f t="shared" si="9"/>
        <v>0</v>
      </c>
    </row>
    <row r="103" spans="1:55" ht="15.75" thickBot="1" x14ac:dyDescent="0.3">
      <c r="A103" s="3" t="s">
        <v>1976</v>
      </c>
      <c r="B103" s="10">
        <v>45870</v>
      </c>
      <c r="C103" s="4">
        <v>45999</v>
      </c>
      <c r="D103" s="3" t="str">
        <f>"P-" &amp; TEXT(VALUE(SUBSTITUTE(SUBSTITUTE(SUBSTITUTE(UPPER(TRIM('Sales_RAW(BEFORE)'!D106)), "P", ""), "-", ""), "_", "")),"000")</f>
        <v>P-052</v>
      </c>
      <c r="E103" s="3" t="str">
        <f>VLOOKUP(D103,Product_List!$A$2:$B$61,2,FALSE)</f>
        <v>Laptop Max 52</v>
      </c>
      <c r="F103" s="3" t="str">
        <f>_xlfn.XLOOKUP(E103,Product_List!$B$2:$B$61,Product_List!$E$2:$E$61,2)</f>
        <v>TechSupply Co</v>
      </c>
      <c r="G103" s="3" t="str">
        <f>VLOOKUP(E103,Product_List!$B$2:$C$61,2,FALSE)</f>
        <v>Furniture</v>
      </c>
      <c r="H103" s="3" t="str">
        <f>SUBSTITUTE(SUBSTITUTE('Sales_RAW(BEFORE)'!G106,"kom",""),".","")</f>
        <v xml:space="preserve">38 </v>
      </c>
      <c r="I103" s="6">
        <f>VLOOKUP(E103,Product_List!$B$2:$D$61,3,FALSE)</f>
        <v>1467.86</v>
      </c>
      <c r="J103" s="5">
        <f>IF(IFERROR(VALUE(SUBSTITUTE(SUBSTITUTE(TRIM('Sales_RAW(BEFORE)'!I106), "%", ""), ",", ".")), 0) &gt; 1, IFERROR(VALUE(SUBSTITUTE(SUBSTITUTE(TRIM('Sales_RAW(BEFORE)'!I106), "%", ""), ",", ".")), 0) / 100, IFERROR(VALUE(SUBSTITUTE(SUBSTITUTE(TRIM('Sales_RAW(BEFORE)'!I106), "%", ""), ",", ".")), 0))</f>
        <v>0</v>
      </c>
      <c r="K103" s="6">
        <f t="shared" si="5"/>
        <v>55778.679999999993</v>
      </c>
      <c r="L103" s="6" t="str" cm="1">
        <f t="array" ref="L103">_xlfn.LET(
  _xlpm.valuta, UPPER(TRIM('Sales_RAW(BEFORE)'!K106)),
  _xlfn.IFS(
    _xlpm.valuta = "", "",
    OR(_xlpm.valuta = "USD", _xlpm.valuta = "$"), "$",
    OR(_xlpm.valuta = "EUR", _xlpm.valuta = "€"), "€",
    TRUE, _xlpm.valuta
  )
)</f>
        <v>$</v>
      </c>
      <c r="M103" s="3" t="str">
        <f>"E" &amp; TEXT(VALUE(SUBSTITUTE(SUBSTITUTE(SUBSTITUTE(UPPER(TRIM('Sales_RAW(BEFORE)'!L106)), "EMP", ""), "E", ""), "-", "")),"000")</f>
        <v>E022</v>
      </c>
      <c r="N103" s="3" t="str">
        <f>_xlfn.XLOOKUP(M103,Employees!$D$2:$D$26,Employees!$A$2:$A$26)</f>
        <v>Chris Williams</v>
      </c>
      <c r="O103" s="3" t="str">
        <f>_xlfn.XLOOKUP(N103,Employees!$A$2:$A$26,Employees!$C$2:$C$26,2)</f>
        <v>Sales</v>
      </c>
      <c r="P103" s="3" t="str">
        <f>PROPER('Sales_RAW(BEFORE)'!N106)</f>
        <v>East</v>
      </c>
      <c r="Q103" s="3" t="str">
        <f>VLOOKUP(N103,Employees!$A$2:$B$26,2,FALSE)</f>
        <v>Boston</v>
      </c>
      <c r="R103" s="3" t="str">
        <f>PROPER('Sales_RAW(BEFORE)'!P106)</f>
        <v>Wayne Llc</v>
      </c>
      <c r="S103" s="3" t="str">
        <f>SUBSTITUTE(SUBSTITUTE('Sales_RAW(BEFORE)'!Q106,"EIN",""),":","")</f>
        <v>339472873</v>
      </c>
      <c r="T103" s="3" t="s">
        <v>1984</v>
      </c>
      <c r="U103" s="3" t="s">
        <v>1985</v>
      </c>
      <c r="V103" s="3" t="s">
        <v>1986</v>
      </c>
      <c r="W103" s="3" t="s">
        <v>1987</v>
      </c>
      <c r="X103" s="3" t="s">
        <v>173</v>
      </c>
      <c r="Y103" s="3" t="str">
        <f>PROPER('Sales_RAW(BEFORE)'!W106)</f>
        <v>Credit Card</v>
      </c>
      <c r="Z103" s="3" t="str">
        <f>PROPER('Sales_RAW(BEFORE)'!X106)</f>
        <v>Pending</v>
      </c>
      <c r="AA103" s="3" t="str" cm="1">
        <f t="array" ref="AA103">_xlfn.LET(
  _xlpm.val, TRIM(LOWER('Sales_RAW(BEFORE)'!Y106)),
  _xlfn.IFS(
    OR(_xlpm.val="yes", _xlpm.val="paid"), "Paid",
    OR(_xlpm.val="no", _xlpm.val="unpaid"), "Unpaid",
    OR(_xlpm.val="partial", _xlpm.val="partial paid"), "Partial",
    _xlpm.val="", "",
    TRUE, 'Sales_RAW(BEFORE)'!AY106
  )
)</f>
        <v>Paid</v>
      </c>
      <c r="AB103" s="3" t="s">
        <v>1988</v>
      </c>
      <c r="AC103" s="3" t="str">
        <f>PROPER('Sales_RAW(BEFORE)'!AA106)</f>
        <v>Store</v>
      </c>
      <c r="AD103" s="3" t="str">
        <f>SUBSTITUTE(SUBSTITUTE(SUBSTITUTE(SUBSTITUTE('Sales_RAW(BEFORE)'!AB106,"st",""),"q",""),"Q",""),"uarter","")</f>
        <v>1</v>
      </c>
      <c r="AE103" s="3" t="str">
        <f>TEXT(IFERROR(DATEVALUE('Sales_RAW(BEFORE)'!AC106 &amp; " 1"), IFERROR(DATE(2025, 'Sales_RAW(BEFORE)'!AC106, 1), 'Sales_RAW(BEFORE)'!AC106)), "mmmm")</f>
        <v>August</v>
      </c>
      <c r="AF103" s="3">
        <f>_xlfn.LET(
  _xlpm.raw, TRIM(SUBSTITUTE('Sales_RAW(BEFORE)'!AD106, "'", "")),
  _xlpm.num, IFERROR(VALUE(_xlpm.raw), 0),
  IF(_xlpm.num &lt; 100, 2000 + _xlpm.num, _xlpm.num)
)</f>
        <v>2025</v>
      </c>
      <c r="AG103" s="3" t="str">
        <f>PROPER('Sales_RAW(BEFORE)'!AE106)</f>
        <v>Net 60</v>
      </c>
      <c r="AH103" s="3" cm="1">
        <f t="array" ref="AH103">_xlfn.LET(
  _xlpm.val, LOWER(TRIM('Sales_RAW(BEFORE)'!AF106)),
  _xlfn.IFS(
    OR(_xlpm.val="", _xlpm.val="null", _xlpm.val="N/A", _xlpm.val="-", _xlpm.val="#N/A"), 0,
    ISNUMBER('Sales_RAW(BEFORE)'!AF106), 'Sales_RAW(BEFORE)'!AF106,
    TRUE, IFERROR(_xlfn.NUMBERVALUE(_xlpm.val), 0)
  )
)</f>
        <v>35</v>
      </c>
      <c r="AI103" s="5">
        <f>IF(IFERROR(VALUE(SUBSTITUTE(SUBSTITUTE(TRIM('Sales_RAW(BEFORE)'!AG106), "%", ""), ",", ".")), 0) &gt; 1, IFERROR(VALUE(SUBSTITUTE(SUBSTITUTE(TRIM('Sales_RAW(BEFORE)'!AG106), "%", ""), ",", ".")), 0) / 100, IFERROR(VALUE(SUBSTITUTE(SUBSTITUTE(TRIM('Sales_RAW(BEFORE)'!AG106), "%", ""), ",", ".")), 0))</f>
        <v>0.08</v>
      </c>
      <c r="AJ103" s="6">
        <f t="shared" si="6"/>
        <v>4462.2943999999998</v>
      </c>
      <c r="AK103" s="6">
        <f t="shared" si="7"/>
        <v>60240.974399999992</v>
      </c>
      <c r="AL103" s="6">
        <f>IFERROR(VALUE(SUBSTITUTE(SUBSTITUTE(SUBSTITUTE('Sales_RAW(BEFORE)'!AJ106,"$",""),"USD",""),",",".")),0)</f>
        <v>5.22</v>
      </c>
      <c r="AM103" s="3" t="str">
        <f>SUBSTITUTE(SUBSTITUTE(PROPER('Sales_RAW(BEFORE)'!AK106), "Fed Ex", "FedEx"),"Fedex","FedEx")</f>
        <v>Dhl</v>
      </c>
      <c r="AN103" s="3" t="s">
        <v>1990</v>
      </c>
      <c r="AO103" s="3" t="str">
        <f>SUBSTITUTE('Sales_RAW(BEFORE)'!AM106,"kg","")</f>
        <v xml:space="preserve">22.9 </v>
      </c>
      <c r="AP103" s="3" t="str">
        <f>_xlfn.LET(
  _xlpm.raw, UPPER(TRIM('Sales_RAW(BEFORE)'!AN106)),
  _xlpm.clean, RIGHT(_xlpm.raw, 1),
  IF(OR(_xlpm.raw="", _xlpm.raw="null"), "N/A", _xlpm.clean)
)</f>
        <v>A</v>
      </c>
      <c r="AQ103" s="3">
        <v>368</v>
      </c>
      <c r="AR103" s="3" cm="1">
        <f t="array" ref="AR103">_xlfn.LET(
  _xlpm.raw, LOWER(TRIM('Sales_RAW(BEFORE)'!AP106)),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103" s="3"/>
      <c r="AT103" s="3"/>
      <c r="AU103" s="3"/>
      <c r="AV103" s="8">
        <f>IF(IFERROR(VALUE(SUBSTITUTE(SUBSTITUTE(TRIM('Sales_RAW(BEFORE)'!AT106), "%", ""), ",", ".")), 0) &gt; 1, IFERROR(VALUE(SUBSTITUTE(SUBSTITUTE(TRIM('Sales_RAW(BEFORE)'!AT106), "%", ""), ",", ".")), 0) / 100, IFERROR(VALUE(SUBSTITUTE(SUBSTITUTE(TRIM('Sales_RAW(BEFORE)'!AT106), "%", ""), ",", ".")), 0))</f>
        <v>0</v>
      </c>
      <c r="AW103" s="6">
        <f>BA103*(_xlfn.XLOOKUP(N103,Employees!$A$2:$A$26,Employees!$E$2:$E$26,2))</f>
        <v>1626.5063087999997</v>
      </c>
      <c r="AX103" s="3" t="str">
        <f>PROPER('Sales_RAW(BEFORE)'!AV106)</f>
        <v>Michael Johnson</v>
      </c>
      <c r="AY103" s="3" t="str">
        <f t="shared" si="8"/>
        <v>Michael Johnson</v>
      </c>
      <c r="AZ103" s="3"/>
      <c r="BA103" s="24">
        <f>AK103*(1-(_xlfn.XLOOKUP(G103, Exchange_Rates!$B$8:$F$8, Exchange_Rates!$B$9:$F$9, 0)+J103))</f>
        <v>54216.876959999994</v>
      </c>
      <c r="BB103" s="7" cm="1">
        <f t="array" ref="BB103">_xlfn.LET(
  _xlpm.raw_dt, SUBSTITUTE(TRIM(C103), ".", "/"),
  _xlpm.dt, IFERROR(DATEVALUE(_xlpm.raw_dt), C103),
  _xlpm.p_code, TRIM(E103),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47095</v>
      </c>
      <c r="BC103" s="25">
        <f t="shared" si="9"/>
        <v>0</v>
      </c>
    </row>
    <row r="104" spans="1:55" ht="15.75" thickBot="1" x14ac:dyDescent="0.3">
      <c r="A104" s="3" t="s">
        <v>1993</v>
      </c>
      <c r="B104" s="10">
        <f>DATE(2026,7,25)</f>
        <v>46228</v>
      </c>
      <c r="C104" s="4">
        <v>46234</v>
      </c>
      <c r="D104" s="3" t="str">
        <f>"P-" &amp; TEXT(VALUE(SUBSTITUTE(SUBSTITUTE(SUBSTITUTE(UPPER(TRIM('Sales_RAW(BEFORE)'!D107)), "P", ""), "-", ""), "_", "")),"000")</f>
        <v>P-001</v>
      </c>
      <c r="E104" s="3" t="str">
        <f>VLOOKUP(D104,Product_List!$A$2:$B$61,2,FALSE)</f>
        <v>Desk X 1</v>
      </c>
      <c r="F104" s="3" t="str">
        <f>_xlfn.XLOOKUP(E104,Product_List!$B$2:$B$61,Product_List!$E$2:$E$61,2)</f>
        <v>Global Distrib</v>
      </c>
      <c r="G104" s="3" t="str">
        <f>VLOOKUP(E104,Product_List!$B$2:$C$61,2,FALSE)</f>
        <v>Software</v>
      </c>
      <c r="H104" s="3" t="str">
        <f>SUBSTITUTE(SUBSTITUTE('Sales_RAW(BEFORE)'!G107,"kom",""),".","")</f>
        <v xml:space="preserve">38 </v>
      </c>
      <c r="I104" s="6">
        <f>VLOOKUP(E104,Product_List!$B$2:$D$61,3,FALSE)</f>
        <v>978.15</v>
      </c>
      <c r="J104" s="5">
        <f>IF(IFERROR(VALUE(SUBSTITUTE(SUBSTITUTE(TRIM('Sales_RAW(BEFORE)'!I107), "%", ""), ",", ".")), 0) &gt; 1, IFERROR(VALUE(SUBSTITUTE(SUBSTITUTE(TRIM('Sales_RAW(BEFORE)'!I107), "%", ""), ",", ".")), 0) / 100, IFERROR(VALUE(SUBSTITUTE(SUBSTITUTE(TRIM('Sales_RAW(BEFORE)'!I107), "%", ""), ",", ".")), 0))</f>
        <v>0.1</v>
      </c>
      <c r="K104" s="6">
        <f>(H104*I104)/(HLOOKUP(AE104,Exchange_Rates!$B$1:$M$2,2,FALSE))</f>
        <v>39796.252676659526</v>
      </c>
      <c r="L104" s="6" t="str" cm="1">
        <f t="array" ref="L104">_xlfn.LET(
  _xlpm.valuta, UPPER(TRIM('Sales_RAW(BEFORE)'!K107)),
  _xlfn.IFS(
    _xlpm.valuta = "", "",
    OR(_xlpm.valuta = "USD", _xlpm.valuta = "$"), "$",
    OR(_xlpm.valuta = "EUR", _xlpm.valuta = "€"), "€",
    TRUE, _xlpm.valuta
  )
)</f>
        <v>€</v>
      </c>
      <c r="M104" s="3" t="str">
        <f>"E" &amp; TEXT(VALUE(SUBSTITUTE(SUBSTITUTE(SUBSTITUTE(UPPER(TRIM('Sales_RAW(BEFORE)'!L107)), "EMP", ""), "E", ""), "-", "")),"000")</f>
        <v>E025</v>
      </c>
      <c r="N104" s="3" t="str">
        <f>_xlfn.XLOOKUP(M104,Employees!$D$2:$D$26,Employees!$A$2:$A$26)</f>
        <v>Chris Johnson</v>
      </c>
      <c r="O104" s="3" t="str">
        <f>_xlfn.XLOOKUP(N104,Employees!$A$2:$A$26,Employees!$C$2:$C$26,2)</f>
        <v>Sales</v>
      </c>
      <c r="P104" s="3" t="str">
        <f>PROPER('Sales_RAW(BEFORE)'!N107)</f>
        <v>East</v>
      </c>
      <c r="Q104" s="3" t="str">
        <f>VLOOKUP(N104,Employees!$A$2:$B$26,2,FALSE)</f>
        <v>Boston</v>
      </c>
      <c r="R104" s="3" t="str">
        <f>PROPER('Sales_RAW(BEFORE)'!P107)</f>
        <v xml:space="preserve"> Acme Inc</v>
      </c>
      <c r="S104" s="3" t="str">
        <f>SUBSTITUTE(SUBSTITUTE('Sales_RAW(BEFORE)'!Q107,"EIN",""),":","")</f>
        <v>882365009</v>
      </c>
      <c r="T104" s="3" t="s">
        <v>1359</v>
      </c>
      <c r="U104" s="3" t="s">
        <v>2003</v>
      </c>
      <c r="V104" s="3" t="s">
        <v>2004</v>
      </c>
      <c r="W104" s="3" t="s">
        <v>2005</v>
      </c>
      <c r="X104" s="3" t="s">
        <v>173</v>
      </c>
      <c r="Y104" s="3" t="str">
        <f>PROPER('Sales_RAW(BEFORE)'!W107)</f>
        <v>Credit Card</v>
      </c>
      <c r="Z104" s="3" t="str">
        <f>PROPER('Sales_RAW(BEFORE)'!X107)</f>
        <v>Cancelled</v>
      </c>
      <c r="AA104" s="3" t="str" cm="1">
        <f t="array" ref="AA104">_xlfn.LET(
  _xlpm.val, TRIM(LOWER('Sales_RAW(BEFORE)'!Y107)),
  _xlfn.IFS(
    OR(_xlpm.val="yes", _xlpm.val="paid"), "Paid",
    OR(_xlpm.val="no", _xlpm.val="unpaid"), "Unpaid",
    OR(_xlpm.val="partial", _xlpm.val="partial paid"), "Partial",
    _xlpm.val="", "",
    TRUE, 'Sales_RAW(BEFORE)'!AY107
  )
)</f>
        <v>Partial</v>
      </c>
      <c r="AB104" s="3" t="s">
        <v>2006</v>
      </c>
      <c r="AC104" s="3" t="str">
        <f>PROPER('Sales_RAW(BEFORE)'!AA107)</f>
        <v>Online</v>
      </c>
      <c r="AD104" s="3" t="str">
        <f>SUBSTITUTE(SUBSTITUTE(SUBSTITUTE(SUBSTITUTE('Sales_RAW(BEFORE)'!AB107,"st",""),"q",""),"Q",""),"uarter","")</f>
        <v>1</v>
      </c>
      <c r="AE104" s="3" t="str">
        <f>TEXT(IFERROR(DATEVALUE('Sales_RAW(BEFORE)'!AC107 &amp; " 1"), IFERROR(DATE(2025, 'Sales_RAW(BEFORE)'!AC107, 1), 'Sales_RAW(BEFORE)'!AC107)), "mmmm")</f>
        <v>July</v>
      </c>
      <c r="AF104" s="3">
        <f>_xlfn.LET(
  _xlpm.raw, TRIM(SUBSTITUTE('Sales_RAW(BEFORE)'!AD107, "'", "")),
  _xlpm.num, IFERROR(VALUE(_xlpm.raw), 0),
  IF(_xlpm.num &lt; 100, 2000 + _xlpm.num, _xlpm.num)
)</f>
        <v>2026</v>
      </c>
      <c r="AG104" s="3" t="str">
        <f>PROPER('Sales_RAW(BEFORE)'!AE107)</f>
        <v>Net 30</v>
      </c>
      <c r="AH104" s="3" cm="1">
        <f t="array" ref="AH104">_xlfn.LET(
  _xlpm.val, LOWER(TRIM('Sales_RAW(BEFORE)'!AF107)),
  _xlfn.IFS(
    OR(_xlpm.val="", _xlpm.val="null", _xlpm.val="N/A", _xlpm.val="-", _xlpm.val="#N/A"), 0,
    ISNUMBER('Sales_RAW(BEFORE)'!AF107), 'Sales_RAW(BEFORE)'!AF107,
    TRUE, IFERROR(_xlfn.NUMBERVALUE(_xlpm.val), 0)
  )
)</f>
        <v>83</v>
      </c>
      <c r="AI104" s="5">
        <f>IF(IFERROR(VALUE(SUBSTITUTE(SUBSTITUTE(TRIM('Sales_RAW(BEFORE)'!AG107), "%", ""), ",", ".")), 0) &gt; 1, IFERROR(VALUE(SUBSTITUTE(SUBSTITUTE(TRIM('Sales_RAW(BEFORE)'!AG107), "%", ""), ",", ".")), 0) / 100, IFERROR(VALUE(SUBSTITUTE(SUBSTITUTE(TRIM('Sales_RAW(BEFORE)'!AG107), "%", ""), ",", ".")), 0))</f>
        <v>0.08</v>
      </c>
      <c r="AJ104" s="6">
        <f t="shared" si="6"/>
        <v>3183.7002141327621</v>
      </c>
      <c r="AK104" s="6">
        <f t="shared" si="7"/>
        <v>42979.952890792287</v>
      </c>
      <c r="AL104" s="6">
        <f>IFERROR(VALUE(SUBSTITUTE(SUBSTITUTE(SUBSTITUTE('Sales_RAW(BEFORE)'!AJ107,"$",""),"USD",""),",",".")),0)</f>
        <v>25.12</v>
      </c>
      <c r="AM104" s="3" t="str">
        <f>SUBSTITUTE(SUBSTITUTE(PROPER('Sales_RAW(BEFORE)'!AK107), "Fed Ex", "FedEx"),"Fedex","FedEx")</f>
        <v>Ups</v>
      </c>
      <c r="AN104" s="3" t="s">
        <v>2008</v>
      </c>
      <c r="AO104" s="3" t="str">
        <f>SUBSTITUTE('Sales_RAW(BEFORE)'!AM107,"kg","")</f>
        <v>9.87</v>
      </c>
      <c r="AP104" s="3" t="str">
        <f>_xlfn.LET(
  _xlpm.raw, UPPER(TRIM('Sales_RAW(BEFORE)'!AN107)),
  _xlpm.clean, RIGHT(_xlpm.raw, 1),
  IF(OR(_xlpm.raw="", _xlpm.raw="null"), "N/A", _xlpm.clean)
)</f>
        <v>C</v>
      </c>
      <c r="AQ104" s="3">
        <v>97</v>
      </c>
      <c r="AR104" s="3" cm="1">
        <f t="array" ref="AR104">_xlfn.LET(
  _xlpm.raw, LOWER(TRIM('Sales_RAW(BEFORE)'!AP107)),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104" s="3"/>
      <c r="AT104" s="3"/>
      <c r="AU104" s="3"/>
      <c r="AV104" s="8">
        <f>IF(IFERROR(VALUE(SUBSTITUTE(SUBSTITUTE(TRIM('Sales_RAW(BEFORE)'!AT107), "%", ""), ",", ".")), 0) &gt; 1, IFERROR(VALUE(SUBSTITUTE(SUBSTITUTE(TRIM('Sales_RAW(BEFORE)'!AT107), "%", ""), ",", ".")), 0) / 100, IFERROR(VALUE(SUBSTITUTE(SUBSTITUTE(TRIM('Sales_RAW(BEFORE)'!AT107), "%", ""), ",", ".")), 0))</f>
        <v>0.25</v>
      </c>
      <c r="AW104" s="6">
        <f>BA104*(_xlfn.XLOOKUP(N104,Employees!$A$2:$A$26,Employees!$E$2:$E$26,2))</f>
        <v>1611.7482334047108</v>
      </c>
      <c r="AX104" s="3" t="str">
        <f>PROPER('Sales_RAW(BEFORE)'!AV107)</f>
        <v>Emily Wilson</v>
      </c>
      <c r="AY104" s="3" t="str">
        <f t="shared" si="8"/>
        <v>Emily Wilson</v>
      </c>
      <c r="AZ104" s="3"/>
      <c r="BA104" s="24">
        <f>AK104*(1-(_xlfn.XLOOKUP(G104, Exchange_Rates!$B$8:$F$8, Exchange_Rates!$B$9:$F$9, 0)+J104))</f>
        <v>32234.964668094217</v>
      </c>
      <c r="BB104" s="7" cm="1">
        <f t="array" ref="BB104">_xlfn.LET(
  _xlpm.raw_dt, SUBSTITUTE(TRIM(C104), ".", "/"),
  _xlpm.dt, IFERROR(DATEVALUE(_xlpm.raw_dt), C104),
  _xlpm.p_code, TRIM(E104),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46965</v>
      </c>
      <c r="BC104" s="25">
        <f t="shared" si="9"/>
        <v>8058.7411670235542</v>
      </c>
    </row>
    <row r="105" spans="1:55" ht="15.75" thickBot="1" x14ac:dyDescent="0.3">
      <c r="A105" s="3" t="s">
        <v>2011</v>
      </c>
      <c r="B105" s="10">
        <v>46029</v>
      </c>
      <c r="C105" s="4">
        <v>46149</v>
      </c>
      <c r="D105" s="3" t="str">
        <f>"P-" &amp; TEXT(VALUE(SUBSTITUTE(SUBSTITUTE(SUBSTITUTE(UPPER(TRIM('Sales_RAW(BEFORE)'!D108)), "P", ""), "-", ""), "_", "")),"000")</f>
        <v>P-021</v>
      </c>
      <c r="E105" s="3" t="str">
        <f>VLOOKUP(D105,Product_List!$A$2:$B$61,2,FALSE)</f>
        <v>Monitor Max 21</v>
      </c>
      <c r="F105" s="3" t="str">
        <f>_xlfn.XLOOKUP(E105,Product_List!$B$2:$B$61,Product_List!$E$2:$E$61,2)</f>
        <v>OfficeHub</v>
      </c>
      <c r="G105" s="3" t="str">
        <f>VLOOKUP(E105,Product_List!$B$2:$C$61,2,FALSE)</f>
        <v>Equipment</v>
      </c>
      <c r="H105" s="3" t="str">
        <f>SUBSTITUTE(SUBSTITUTE('Sales_RAW(BEFORE)'!G108,"kom",""),".","")</f>
        <v xml:space="preserve">18 </v>
      </c>
      <c r="I105" s="6">
        <f>VLOOKUP(E105,Product_List!$B$2:$D$61,3,FALSE)</f>
        <v>1184.7</v>
      </c>
      <c r="J105" s="5">
        <f>IF(IFERROR(VALUE(SUBSTITUTE(SUBSTITUTE(TRIM('Sales_RAW(BEFORE)'!I108), "%", ""), ",", ".")), 0) &gt; 1, IFERROR(VALUE(SUBSTITUTE(SUBSTITUTE(TRIM('Sales_RAW(BEFORE)'!I108), "%", ""), ",", ".")), 0) / 100, IFERROR(VALUE(SUBSTITUTE(SUBSTITUTE(TRIM('Sales_RAW(BEFORE)'!I108), "%", ""), ",", ".")), 0))</f>
        <v>0.1</v>
      </c>
      <c r="K105" s="6">
        <f t="shared" si="5"/>
        <v>21324.600000000002</v>
      </c>
      <c r="L105" s="6" t="str" cm="1">
        <f t="array" ref="L105">_xlfn.LET(
  _xlpm.valuta, UPPER(TRIM('Sales_RAW(BEFORE)'!K108)),
  _xlfn.IFS(
    _xlpm.valuta = "", "",
    OR(_xlpm.valuta = "USD", _xlpm.valuta = "$"), "$",
    OR(_xlpm.valuta = "EUR", _xlpm.valuta = "€"), "€",
    TRUE, _xlpm.valuta
  )
)</f>
        <v>$</v>
      </c>
      <c r="M105" s="3" t="str">
        <f>"E" &amp; TEXT(VALUE(SUBSTITUTE(SUBSTITUTE(SUBSTITUTE(UPPER(TRIM('Sales_RAW(BEFORE)'!L108)), "EMP", ""), "E", ""), "-", "")),"000")</f>
        <v>E018</v>
      </c>
      <c r="N105" s="3" t="str">
        <f>_xlfn.XLOOKUP(M105,Employees!$D$2:$D$26,Employees!$A$2:$A$26)</f>
        <v>John Miller</v>
      </c>
      <c r="O105" s="3" t="str">
        <f>_xlfn.XLOOKUP(N105,Employees!$A$2:$A$26,Employees!$C$2:$C$26,2)</f>
        <v>Retail</v>
      </c>
      <c r="P105" s="3" t="str">
        <f>PROPER('Sales_RAW(BEFORE)'!N108)</f>
        <v>West</v>
      </c>
      <c r="Q105" s="3" t="str">
        <f>VLOOKUP(N105,Employees!$A$2:$B$26,2,FALSE)</f>
        <v>Houston</v>
      </c>
      <c r="R105" s="3" t="str">
        <f>PROPER('Sales_RAW(BEFORE)'!P108)</f>
        <v>Umbrella Inc</v>
      </c>
      <c r="S105" s="3" t="str">
        <f>SUBSTITUTE(SUBSTITUTE('Sales_RAW(BEFORE)'!Q108,"EIN",""),":","")</f>
        <v>573435895</v>
      </c>
      <c r="T105" s="3" t="s">
        <v>646</v>
      </c>
      <c r="U105" s="3" t="s">
        <v>2016</v>
      </c>
      <c r="V105" s="3" t="s">
        <v>2017</v>
      </c>
      <c r="W105" s="3" t="s">
        <v>2018</v>
      </c>
      <c r="X105" s="3" t="s">
        <v>173</v>
      </c>
      <c r="Y105" s="3" t="str">
        <f>PROPER('Sales_RAW(BEFORE)'!W108)</f>
        <v>Credit Card</v>
      </c>
      <c r="Z105" s="3" t="str">
        <f>PROPER('Sales_RAW(BEFORE)'!X108)</f>
        <v>Processing</v>
      </c>
      <c r="AA105" s="3" t="str" cm="1">
        <f t="array" ref="AA105">_xlfn.LET(
  _xlpm.val, TRIM(LOWER('Sales_RAW(BEFORE)'!Y108)),
  _xlfn.IFS(
    OR(_xlpm.val="yes", _xlpm.val="paid"), "Paid",
    OR(_xlpm.val="no", _xlpm.val="unpaid"), "Unpaid",
    OR(_xlpm.val="partial", _xlpm.val="partial paid"), "Partial",
    _xlpm.val="", "",
    TRUE, 'Sales_RAW(BEFORE)'!AY108
  )
)</f>
        <v>Partial</v>
      </c>
      <c r="AB105" s="3" t="s">
        <v>2019</v>
      </c>
      <c r="AC105" s="3" t="str">
        <f>PROPER('Sales_RAW(BEFORE)'!AA108)</f>
        <v>Web</v>
      </c>
      <c r="AD105" s="3" t="str">
        <f>SUBSTITUTE(SUBSTITUTE(SUBSTITUTE(SUBSTITUTE('Sales_RAW(BEFORE)'!AB108,"st",""),"q",""),"Q",""),"uarter","")</f>
        <v>2</v>
      </c>
      <c r="AE105" s="3" t="str">
        <f>TEXT(IFERROR(DATEVALUE('Sales_RAW(BEFORE)'!AC108 &amp; " 1"), IFERROR(DATE(2025, 'Sales_RAW(BEFORE)'!AC108, 1), 'Sales_RAW(BEFORE)'!AC108)), "mmmm")</f>
        <v>July</v>
      </c>
      <c r="AF105" s="3">
        <f>_xlfn.LET(
  _xlpm.raw, TRIM(SUBSTITUTE('Sales_RAW(BEFORE)'!AD108, "'", "")),
  _xlpm.num, IFERROR(VALUE(_xlpm.raw), 0),
  IF(_xlpm.num &lt; 100, 2000 + _xlpm.num, _xlpm.num)
)</f>
        <v>2026</v>
      </c>
      <c r="AG105" s="3" t="str">
        <f>PROPER('Sales_RAW(BEFORE)'!AE108)</f>
        <v>15</v>
      </c>
      <c r="AH105" s="3" cm="1">
        <f t="array" ref="AH105">_xlfn.LET(
  _xlpm.val, LOWER(TRIM('Sales_RAW(BEFORE)'!AF108)),
  _xlfn.IFS(
    OR(_xlpm.val="", _xlpm.val="null", _xlpm.val="N/A", _xlpm.val="-", _xlpm.val="#N/A"), 0,
    ISNUMBER('Sales_RAW(BEFORE)'!AF108), 'Sales_RAW(BEFORE)'!AF108,
    TRUE, IFERROR(_xlfn.NUMBERVALUE(_xlpm.val), 0)
  )
)</f>
        <v>47</v>
      </c>
      <c r="AI105" s="5">
        <f>IF(IFERROR(VALUE(SUBSTITUTE(SUBSTITUTE(TRIM('Sales_RAW(BEFORE)'!AG108), "%", ""), ",", ".")), 0) &gt; 1, IFERROR(VALUE(SUBSTITUTE(SUBSTITUTE(TRIM('Sales_RAW(BEFORE)'!AG108), "%", ""), ",", ".")), 0) / 100, IFERROR(VALUE(SUBSTITUTE(SUBSTITUTE(TRIM('Sales_RAW(BEFORE)'!AG108), "%", ""), ",", ".")), 0))</f>
        <v>0.08</v>
      </c>
      <c r="AJ105" s="6">
        <f t="shared" si="6"/>
        <v>1705.9680000000003</v>
      </c>
      <c r="AK105" s="6">
        <f t="shared" si="7"/>
        <v>23030.568000000003</v>
      </c>
      <c r="AL105" s="6">
        <f>IFERROR(VALUE(SUBSTITUTE(SUBSTITUTE(SUBSTITUTE('Sales_RAW(BEFORE)'!AJ108,"$",""),"USD",""),",",".")),0)</f>
        <v>31</v>
      </c>
      <c r="AM105" s="3" t="str">
        <f>SUBSTITUTE(SUBSTITUTE(PROPER('Sales_RAW(BEFORE)'!AK108), "Fed Ex", "FedEx"),"Fedex","FedEx")</f>
        <v>Dhl</v>
      </c>
      <c r="AN105" s="3" t="s">
        <v>2020</v>
      </c>
      <c r="AO105" s="3" t="str">
        <f>SUBSTITUTE('Sales_RAW(BEFORE)'!AM108,"kg","")</f>
        <v xml:space="preserve">8.3 </v>
      </c>
      <c r="AP105" s="3" t="str">
        <f>_xlfn.LET(
  _xlpm.raw, UPPER(TRIM('Sales_RAW(BEFORE)'!AN108)),
  _xlpm.clean, RIGHT(_xlpm.raw, 1),
  IF(OR(_xlpm.raw="", _xlpm.raw="null"), "N/A", _xlpm.clean)
)</f>
        <v>C</v>
      </c>
      <c r="AQ105" s="3">
        <v>298</v>
      </c>
      <c r="AR105" s="3" cm="1">
        <f t="array" ref="AR105">_xlfn.LET(
  _xlpm.raw, LOWER(TRIM('Sales_RAW(BEFORE)'!AP108)),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05" s="3"/>
      <c r="AT105" s="3"/>
      <c r="AU105" s="3"/>
      <c r="AV105" s="8">
        <f>IF(IFERROR(VALUE(SUBSTITUTE(SUBSTITUTE(TRIM('Sales_RAW(BEFORE)'!AT108), "%", ""), ",", ".")), 0) &gt; 1, IFERROR(VALUE(SUBSTITUTE(SUBSTITUTE(TRIM('Sales_RAW(BEFORE)'!AT108), "%", ""), ",", ".")), 0) / 100, IFERROR(VALUE(SUBSTITUTE(SUBSTITUTE(TRIM('Sales_RAW(BEFORE)'!AT108), "%", ""), ",", ".")), 0))</f>
        <v>0.25</v>
      </c>
      <c r="AW105" s="6">
        <f>BA105*(_xlfn.XLOOKUP(N105,Employees!$A$2:$A$26,Employees!$E$2:$E$26,2))</f>
        <v>368.48908800000004</v>
      </c>
      <c r="AX105" s="3" t="str">
        <f>PROPER('Sales_RAW(BEFORE)'!AV108)</f>
        <v xml:space="preserve">Ryan Wilson  </v>
      </c>
      <c r="AY105" s="3" t="str">
        <f t="shared" si="8"/>
        <v xml:space="preserve">Ryan Wilson  </v>
      </c>
      <c r="AZ105" s="3"/>
      <c r="BA105" s="24">
        <f>AK105*(1-(_xlfn.XLOOKUP(G105, Exchange_Rates!$B$8:$F$8, Exchange_Rates!$B$9:$F$9, 0)+J105))</f>
        <v>18424.454400000002</v>
      </c>
      <c r="BB105" s="7" cm="1">
        <f t="array" ref="BB105">_xlfn.LET(
  _xlpm.raw_dt, SUBSTITUTE(TRIM(C105), ".", "/"),
  _xlpm.dt, IFERROR(DATEVALUE(_xlpm.raw_dt), C105),
  _xlpm.p_code, TRIM(E105),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46880</v>
      </c>
      <c r="BC105" s="25">
        <f t="shared" si="9"/>
        <v>4606.1136000000006</v>
      </c>
    </row>
    <row r="106" spans="1:55" ht="15.75" thickBot="1" x14ac:dyDescent="0.3">
      <c r="A106" s="3" t="s">
        <v>2023</v>
      </c>
      <c r="B106" s="10">
        <v>45970</v>
      </c>
      <c r="C106" s="4">
        <v>45979</v>
      </c>
      <c r="D106" s="3" t="str">
        <f>"P-" &amp; TEXT(VALUE(SUBSTITUTE(SUBSTITUTE(SUBSTITUTE(UPPER(TRIM('Sales_RAW(BEFORE)'!D109)), "P", ""), "-", ""), "_", "")),"000")</f>
        <v>P-012</v>
      </c>
      <c r="E106" s="3" t="str">
        <f>VLOOKUP(D106,Product_List!$A$2:$B$61,2,FALSE)</f>
        <v>Keyboard Basic 12</v>
      </c>
      <c r="F106" s="3" t="str">
        <f>_xlfn.XLOOKUP(E106,Product_List!$B$2:$B$61,Product_List!$E$2:$E$61,2)</f>
        <v>OfficeHub</v>
      </c>
      <c r="G106" s="3" t="str">
        <f>VLOOKUP(E106,Product_List!$B$2:$C$61,2,FALSE)</f>
        <v>Electronics</v>
      </c>
      <c r="H106" s="3" t="str">
        <f>SUBSTITUTE(SUBSTITUTE('Sales_RAW(BEFORE)'!G109,"kom",""),".","")</f>
        <v xml:space="preserve">4 </v>
      </c>
      <c r="I106" s="6">
        <f>VLOOKUP(E106,Product_List!$B$2:$D$61,3,FALSE)</f>
        <v>823.88</v>
      </c>
      <c r="J106" s="5">
        <f>IF(IFERROR(VALUE(SUBSTITUTE(SUBSTITUTE(TRIM('Sales_RAW(BEFORE)'!I109), "%", ""), ",", ".")), 0) &gt; 1, IFERROR(VALUE(SUBSTITUTE(SUBSTITUTE(TRIM('Sales_RAW(BEFORE)'!I109), "%", ""), ",", ".")), 0) / 100, IFERROR(VALUE(SUBSTITUTE(SUBSTITUTE(TRIM('Sales_RAW(BEFORE)'!I109), "%", ""), ",", ".")), 0))</f>
        <v>0.1</v>
      </c>
      <c r="K106" s="6">
        <f t="shared" si="5"/>
        <v>3295.52</v>
      </c>
      <c r="L106" s="6" t="str" cm="1">
        <f t="array" ref="L106">_xlfn.LET(
  _xlpm.valuta, UPPER(TRIM('Sales_RAW(BEFORE)'!K109)),
  _xlfn.IFS(
    _xlpm.valuta = "", "",
    OR(_xlpm.valuta = "USD", _xlpm.valuta = "$"), "$",
    OR(_xlpm.valuta = "EUR", _xlpm.valuta = "€"), "€",
    TRUE, _xlpm.valuta
  )
)</f>
        <v>$</v>
      </c>
      <c r="M106" s="3" t="str">
        <f>"E" &amp; TEXT(VALUE(SUBSTITUTE(SUBSTITUTE(SUBSTITUTE(UPPER(TRIM('Sales_RAW(BEFORE)'!L109)), "EMP", ""), "E", ""), "-", "")),"000")</f>
        <v>E017</v>
      </c>
      <c r="N106" s="3" t="str">
        <f>_xlfn.XLOOKUP(M106,Employees!$D$2:$D$26,Employees!$A$2:$A$26)</f>
        <v>Robert Davis</v>
      </c>
      <c r="O106" s="3" t="str">
        <f>_xlfn.XLOOKUP(N106,Employees!$A$2:$A$26,Employees!$C$2:$C$26,2)</f>
        <v>Wholesale</v>
      </c>
      <c r="P106" s="3" t="str">
        <f>PROPER('Sales_RAW(BEFORE)'!N109)</f>
        <v>North</v>
      </c>
      <c r="Q106" s="3" t="str">
        <f>VLOOKUP(N106,Employees!$A$2:$B$26,2,FALSE)</f>
        <v>Miami</v>
      </c>
      <c r="R106" s="3" t="str">
        <f>PROPER('Sales_RAW(BEFORE)'!P109)</f>
        <v xml:space="preserve">Wayne Inc   </v>
      </c>
      <c r="S106" s="3" t="str">
        <f>SUBSTITUTE(SUBSTITUTE('Sales_RAW(BEFORE)'!Q109,"EIN",""),":","")</f>
        <v xml:space="preserve"> 701890456</v>
      </c>
      <c r="T106" s="3" t="s">
        <v>1722</v>
      </c>
      <c r="U106" s="3" t="s">
        <v>2033</v>
      </c>
      <c r="V106" s="3" t="s">
        <v>2034</v>
      </c>
      <c r="W106" s="3" t="s">
        <v>163</v>
      </c>
      <c r="X106" s="3" t="s">
        <v>173</v>
      </c>
      <c r="Y106" s="3" t="str">
        <f>PROPER('Sales_RAW(BEFORE)'!W109)</f>
        <v>Wire Transfer</v>
      </c>
      <c r="Z106" s="3" t="str">
        <f>PROPER('Sales_RAW(BEFORE)'!X109)</f>
        <v>Pending</v>
      </c>
      <c r="AA106" s="3" t="str" cm="1">
        <f t="array" ref="AA106">_xlfn.LET(
  _xlpm.val, TRIM(LOWER('Sales_RAW(BEFORE)'!Y109)),
  _xlfn.IFS(
    OR(_xlpm.val="yes", _xlpm.val="paid"), "Paid",
    OR(_xlpm.val="no", _xlpm.val="unpaid"), "Unpaid",
    OR(_xlpm.val="partial", _xlpm.val="partial paid"), "Partial",
    _xlpm.val="", "",
    TRUE, 'Sales_RAW(BEFORE)'!AY109
  )
)</f>
        <v>Partial</v>
      </c>
      <c r="AB106" s="3" t="s">
        <v>2035</v>
      </c>
      <c r="AC106" s="3" t="str">
        <f>PROPER('Sales_RAW(BEFORE)'!AA109)</f>
        <v>Online</v>
      </c>
      <c r="AD106" s="3" t="str">
        <f>SUBSTITUTE(SUBSTITUTE(SUBSTITUTE(SUBSTITUTE('Sales_RAW(BEFORE)'!AB109,"st",""),"q",""),"Q",""),"uarter","")</f>
        <v>1</v>
      </c>
      <c r="AE106" s="3" t="str">
        <f>TEXT(IFERROR(DATEVALUE('Sales_RAW(BEFORE)'!AC109 &amp; " 1"), IFERROR(DATE(2025, 'Sales_RAW(BEFORE)'!AC109, 1), 'Sales_RAW(BEFORE)'!AC109)), "mmmm")</f>
        <v>November</v>
      </c>
      <c r="AF106" s="3">
        <f>_xlfn.LET(
  _xlpm.raw, TRIM(SUBSTITUTE('Sales_RAW(BEFORE)'!AD109, "'", "")),
  _xlpm.num, IFERROR(VALUE(_xlpm.raw), 0),
  IF(_xlpm.num &lt; 100, 2000 + _xlpm.num, _xlpm.num)
)</f>
        <v>2025</v>
      </c>
      <c r="AG106" s="3" t="str">
        <f>PROPER('Sales_RAW(BEFORE)'!AE109)</f>
        <v>Net 60</v>
      </c>
      <c r="AH106" s="3" cm="1">
        <f t="array" ref="AH106">_xlfn.LET(
  _xlpm.val, LOWER(TRIM('Sales_RAW(BEFORE)'!AF109)),
  _xlfn.IFS(
    OR(_xlpm.val="", _xlpm.val="null", _xlpm.val="N/A", _xlpm.val="-", _xlpm.val="#N/A"), 0,
    ISNUMBER('Sales_RAW(BEFORE)'!AF109), 'Sales_RAW(BEFORE)'!AF109,
    TRUE, IFERROR(_xlfn.NUMBERVALUE(_xlpm.val), 0)
  )
)</f>
        <v>59</v>
      </c>
      <c r="AI106" s="5">
        <f>IF(IFERROR(VALUE(SUBSTITUTE(SUBSTITUTE(TRIM('Sales_RAW(BEFORE)'!AG109), "%", ""), ",", ".")), 0) &gt; 1, IFERROR(VALUE(SUBSTITUTE(SUBSTITUTE(TRIM('Sales_RAW(BEFORE)'!AG109), "%", ""), ",", ".")), 0) / 100, IFERROR(VALUE(SUBSTITUTE(SUBSTITUTE(TRIM('Sales_RAW(BEFORE)'!AG109), "%", ""), ",", ".")), 0))</f>
        <v>0.08</v>
      </c>
      <c r="AJ106" s="6">
        <f t="shared" si="6"/>
        <v>263.64159999999998</v>
      </c>
      <c r="AK106" s="6">
        <f t="shared" si="7"/>
        <v>3559.1615999999999</v>
      </c>
      <c r="AL106" s="6">
        <f>IFERROR(VALUE(SUBSTITUTE(SUBSTITUTE(SUBSTITUTE('Sales_RAW(BEFORE)'!AJ109,"$",""),"USD",""),",",".")),0)</f>
        <v>18.46</v>
      </c>
      <c r="AM106" s="3" t="str">
        <f>SUBSTITUTE(SUBSTITUTE(PROPER('Sales_RAW(BEFORE)'!AK109), "Fed Ex", "FedEx"),"Fedex","FedEx")</f>
        <v>Dhl</v>
      </c>
      <c r="AN106" s="3" t="s">
        <v>2038</v>
      </c>
      <c r="AO106" s="3" t="str">
        <f>SUBSTITUTE('Sales_RAW(BEFORE)'!AM109,"kg","")</f>
        <v>7.92</v>
      </c>
      <c r="AP106" s="3" t="str">
        <f>_xlfn.LET(
  _xlpm.raw, UPPER(TRIM('Sales_RAW(BEFORE)'!AN109)),
  _xlpm.clean, RIGHT(_xlpm.raw, 1),
  IF(OR(_xlpm.raw="", _xlpm.raw="null"), "N/A", _xlpm.clean)
)</f>
        <v>B</v>
      </c>
      <c r="AQ106" s="3">
        <v>271</v>
      </c>
      <c r="AR106" s="3" t="str" cm="1">
        <f t="array" ref="AR106">_xlfn.LET(
  _xlpm.raw, LOWER(TRIM('Sales_RAW(BEFORE)'!AP109)),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106" s="3"/>
      <c r="AT106" s="3"/>
      <c r="AU106" s="3"/>
      <c r="AV106" s="8">
        <f>IF(IFERROR(VALUE(SUBSTITUTE(SUBSTITUTE(TRIM('Sales_RAW(BEFORE)'!AT109), "%", ""), ",", ".")), 0) &gt; 1, IFERROR(VALUE(SUBSTITUTE(SUBSTITUTE(TRIM('Sales_RAW(BEFORE)'!AT109), "%", ""), ",", ".")), 0) / 100, IFERROR(VALUE(SUBSTITUTE(SUBSTITUTE(TRIM('Sales_RAW(BEFORE)'!AT109), "%", ""), ",", ".")), 0))</f>
        <v>0</v>
      </c>
      <c r="AW106" s="6">
        <f>BA106*(_xlfn.XLOOKUP(N106,Employees!$A$2:$A$26,Employees!$E$2:$E$26,2))</f>
        <v>85.419878399999988</v>
      </c>
      <c r="AX106" s="3" t="str">
        <f>PROPER('Sales_RAW(BEFORE)'!AV109)</f>
        <v>Sarah Brown</v>
      </c>
      <c r="AY106" s="3" t="str">
        <f t="shared" si="8"/>
        <v>Sarah Brown</v>
      </c>
      <c r="AZ106" s="3"/>
      <c r="BA106" s="24">
        <f>AK106*(1-(_xlfn.XLOOKUP(G106, Exchange_Rates!$B$8:$F$8, Exchange_Rates!$B$9:$F$9, 0)+J106))</f>
        <v>2847.3292799999999</v>
      </c>
      <c r="BB106" s="7" cm="1">
        <f t="array" ref="BB106">_xlfn.LET(
  _xlpm.raw_dt, SUBSTITUTE(TRIM(C106), ".", "/"),
  _xlpm.dt, IFERROR(DATEVALUE(_xlpm.raw_dt), C106),
  _xlpm.p_code, TRIM(E106),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47075</v>
      </c>
      <c r="BC106" s="25">
        <f t="shared" si="9"/>
        <v>0</v>
      </c>
    </row>
    <row r="107" spans="1:55" ht="15.75" thickBot="1" x14ac:dyDescent="0.3">
      <c r="A107" s="3" t="s">
        <v>2040</v>
      </c>
      <c r="B107" s="10">
        <v>45757</v>
      </c>
      <c r="C107" s="4">
        <v>45760</v>
      </c>
      <c r="D107" s="3" t="str">
        <f>"P-" &amp; TEXT(VALUE(SUBSTITUTE(SUBSTITUTE(SUBSTITUTE(UPPER(TRIM('Sales_RAW(BEFORE)'!D110)), "P", ""), "-", ""), "_", "")),"000")</f>
        <v>P-016</v>
      </c>
      <c r="E107" s="3" t="str">
        <f>VLOOKUP(D107,Product_List!$A$2:$B$61,2,FALSE)</f>
        <v>Keyboard X 16</v>
      </c>
      <c r="F107" s="3" t="str">
        <f>_xlfn.XLOOKUP(E107,Product_List!$B$2:$B$61,Product_List!$E$2:$E$61,2)</f>
        <v>TechSupply Co</v>
      </c>
      <c r="G107" s="3" t="str">
        <f>VLOOKUP(E107,Product_List!$B$2:$C$61,2,FALSE)</f>
        <v>Office</v>
      </c>
      <c r="H107" s="3" t="str">
        <f>SUBSTITUTE(SUBSTITUTE('Sales_RAW(BEFORE)'!G110,"kom",""),".","")</f>
        <v>9</v>
      </c>
      <c r="I107" s="6">
        <f>VLOOKUP(E107,Product_List!$B$2:$D$61,3,FALSE)</f>
        <v>127.37</v>
      </c>
      <c r="J107" s="5">
        <f>IF(IFERROR(VALUE(SUBSTITUTE(SUBSTITUTE(TRIM('Sales_RAW(BEFORE)'!I110), "%", ""), ",", ".")), 0) &gt; 1, IFERROR(VALUE(SUBSTITUTE(SUBSTITUTE(TRIM('Sales_RAW(BEFORE)'!I110), "%", ""), ",", ".")), 0) / 100, IFERROR(VALUE(SUBSTITUTE(SUBSTITUTE(TRIM('Sales_RAW(BEFORE)'!I110), "%", ""), ",", ".")), 0))</f>
        <v>0</v>
      </c>
      <c r="K107" s="6">
        <f t="shared" si="5"/>
        <v>1146.33</v>
      </c>
      <c r="L107" s="6" t="str" cm="1">
        <f t="array" ref="L107">_xlfn.LET(
  _xlpm.valuta, UPPER(TRIM('Sales_RAW(BEFORE)'!K110)),
  _xlfn.IFS(
    _xlpm.valuta = "", "",
    OR(_xlpm.valuta = "USD", _xlpm.valuta = "$"), "$",
    OR(_xlpm.valuta = "EUR", _xlpm.valuta = "€"), "€",
    TRUE, _xlpm.valuta
  )
)</f>
        <v>$</v>
      </c>
      <c r="M107" s="3" t="str">
        <f>"E" &amp; TEXT(VALUE(SUBSTITUTE(SUBSTITUTE(SUBSTITUTE(UPPER(TRIM('Sales_RAW(BEFORE)'!L110)), "EMP", ""), "E", ""), "-", "")),"000")</f>
        <v>E015</v>
      </c>
      <c r="N107" s="3" t="str">
        <f>_xlfn.XLOOKUP(M107,Employees!$D$2:$D$26,Employees!$A$2:$A$26)</f>
        <v>Sarah Jones</v>
      </c>
      <c r="O107" s="3" t="str">
        <f>_xlfn.XLOOKUP(N107,Employees!$A$2:$A$26,Employees!$C$2:$C$26,2)</f>
        <v>Wholesale</v>
      </c>
      <c r="P107" s="3" t="str">
        <f>PROPER('Sales_RAW(BEFORE)'!N110)</f>
        <v>North</v>
      </c>
      <c r="Q107" s="3" t="str">
        <f>VLOOKUP(N107,Employees!$A$2:$B$26,2,FALSE)</f>
        <v>Boston</v>
      </c>
      <c r="R107" s="3" t="str">
        <f>PROPER('Sales_RAW(BEFORE)'!P110)</f>
        <v xml:space="preserve">Stark Inc </v>
      </c>
      <c r="S107" s="3" t="str">
        <f>SUBSTITUTE(SUBSTITUTE('Sales_RAW(BEFORE)'!Q110,"EIN",""),":","")</f>
        <v>603922890</v>
      </c>
      <c r="T107" s="3" t="s">
        <v>1359</v>
      </c>
      <c r="U107" s="3" t="s">
        <v>2049</v>
      </c>
      <c r="V107" s="3" t="s">
        <v>2050</v>
      </c>
      <c r="W107" s="3" t="s">
        <v>2051</v>
      </c>
      <c r="X107" s="3" t="s">
        <v>173</v>
      </c>
      <c r="Y107" s="3" t="str">
        <f>PROPER('Sales_RAW(BEFORE)'!W110)</f>
        <v>Credit Card</v>
      </c>
      <c r="Z107" s="3" t="str">
        <f>PROPER('Sales_RAW(BEFORE)'!X110)</f>
        <v>Delivered</v>
      </c>
      <c r="AA107" s="3" t="str" cm="1">
        <f t="array" ref="AA107">_xlfn.LET(
  _xlpm.val, TRIM(LOWER('Sales_RAW(BEFORE)'!Y110)),
  _xlfn.IFS(
    OR(_xlpm.val="yes", _xlpm.val="paid"), "Paid",
    OR(_xlpm.val="no", _xlpm.val="unpaid"), "Unpaid",
    OR(_xlpm.val="partial", _xlpm.val="partial paid"), "Partial",
    _xlpm.val="", "",
    TRUE, 'Sales_RAW(BEFORE)'!AY110
  )
)</f>
        <v>Unpaid</v>
      </c>
      <c r="AB107" s="3" t="s">
        <v>2052</v>
      </c>
      <c r="AC107" s="3" t="str">
        <f>PROPER('Sales_RAW(BEFORE)'!AA110)</f>
        <v>Store</v>
      </c>
      <c r="AD107" s="3" t="str">
        <f>SUBSTITUTE(SUBSTITUTE(SUBSTITUTE(SUBSTITUTE('Sales_RAW(BEFORE)'!AB110,"st",""),"q",""),"Q",""),"uarter","")</f>
        <v>3</v>
      </c>
      <c r="AE107" s="3" t="str">
        <f>TEXT(IFERROR(DATEVALUE('Sales_RAW(BEFORE)'!AC110 &amp; " 1"), IFERROR(DATE(2025, 'Sales_RAW(BEFORE)'!AC110, 1), 'Sales_RAW(BEFORE)'!AC110)), "mmmm")</f>
        <v>April</v>
      </c>
      <c r="AF107" s="3">
        <f>_xlfn.LET(
  _xlpm.raw, TRIM(SUBSTITUTE('Sales_RAW(BEFORE)'!AD110, "'", "")),
  _xlpm.num, IFERROR(VALUE(_xlpm.raw), 0),
  IF(_xlpm.num &lt; 100, 2000 + _xlpm.num, _xlpm.num)
)</f>
        <v>2025</v>
      </c>
      <c r="AG107" s="3" t="str">
        <f>PROPER('Sales_RAW(BEFORE)'!AE110)</f>
        <v>15</v>
      </c>
      <c r="AH107" s="3" cm="1">
        <f t="array" ref="AH107">_xlfn.LET(
  _xlpm.val, LOWER(TRIM('Sales_RAW(BEFORE)'!AF110)),
  _xlfn.IFS(
    OR(_xlpm.val="", _xlpm.val="null", _xlpm.val="N/A", _xlpm.val="-", _xlpm.val="#N/A"), 0,
    ISNUMBER('Sales_RAW(BEFORE)'!AF110), 'Sales_RAW(BEFORE)'!AF110,
    TRUE, IFERROR(_xlfn.NUMBERVALUE(_xlpm.val), 0)
  )
)</f>
        <v>0</v>
      </c>
      <c r="AI107" s="5">
        <f>IF(IFERROR(VALUE(SUBSTITUTE(SUBSTITUTE(TRIM('Sales_RAW(BEFORE)'!AG110), "%", ""), ",", ".")), 0) &gt; 1, IFERROR(VALUE(SUBSTITUTE(SUBSTITUTE(TRIM('Sales_RAW(BEFORE)'!AG110), "%", ""), ",", ".")), 0) / 100, IFERROR(VALUE(SUBSTITUTE(SUBSTITUTE(TRIM('Sales_RAW(BEFORE)'!AG110), "%", ""), ",", ".")), 0))</f>
        <v>0.08</v>
      </c>
      <c r="AJ107" s="6">
        <f t="shared" si="6"/>
        <v>91.706400000000002</v>
      </c>
      <c r="AK107" s="6">
        <f t="shared" si="7"/>
        <v>1238.0364</v>
      </c>
      <c r="AL107" s="6">
        <f>IFERROR(VALUE(SUBSTITUTE(SUBSTITUTE(SUBSTITUTE('Sales_RAW(BEFORE)'!AJ110,"$",""),"USD",""),",",".")),0)</f>
        <v>46.29</v>
      </c>
      <c r="AM107" s="3" t="str">
        <f>SUBSTITUTE(SUBSTITUTE(PROPER('Sales_RAW(BEFORE)'!AK110), "Fed Ex", "FedEx"),"Fedex","FedEx")</f>
        <v>FedEx</v>
      </c>
      <c r="AN107" s="3" t="s">
        <v>2054</v>
      </c>
      <c r="AO107" s="3" t="str">
        <f>SUBSTITUTE('Sales_RAW(BEFORE)'!AM110,"kg","")</f>
        <v>27.54</v>
      </c>
      <c r="AP107" s="3" t="str">
        <f>_xlfn.LET(
  _xlpm.raw, UPPER(TRIM('Sales_RAW(BEFORE)'!AN110)),
  _xlpm.clean, RIGHT(_xlpm.raw, 1),
  IF(OR(_xlpm.raw="", _xlpm.raw="null"), "N/A", _xlpm.clean)
)</f>
        <v>B</v>
      </c>
      <c r="AQ107" s="3">
        <v>286</v>
      </c>
      <c r="AR107" s="3" cm="1">
        <f t="array" ref="AR107">_xlfn.LET(
  _xlpm.raw, LOWER(TRIM('Sales_RAW(BEFORE)'!AP110)),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107" s="3"/>
      <c r="AT107" s="3"/>
      <c r="AU107" s="3"/>
      <c r="AV107" s="8">
        <f>IF(IFERROR(VALUE(SUBSTITUTE(SUBSTITUTE(TRIM('Sales_RAW(BEFORE)'!AT110), "%", ""), ",", ".")), 0) &gt; 1, IFERROR(VALUE(SUBSTITUTE(SUBSTITUTE(TRIM('Sales_RAW(BEFORE)'!AT110), "%", ""), ",", ".")), 0) / 100, IFERROR(VALUE(SUBSTITUTE(SUBSTITUTE(TRIM('Sales_RAW(BEFORE)'!AT110), "%", ""), ",", ".")), 0))</f>
        <v>0.25</v>
      </c>
      <c r="AW107" s="6">
        <f>BA107*(_xlfn.XLOOKUP(N107,Employees!$A$2:$A$26,Employees!$E$2:$E$26,2))</f>
        <v>33.426982800000005</v>
      </c>
      <c r="AX107" s="3" t="str">
        <f>PROPER('Sales_RAW(BEFORE)'!AV110)</f>
        <v>Emily Smith</v>
      </c>
      <c r="AY107" s="3" t="str">
        <f t="shared" si="8"/>
        <v>Emily Smith</v>
      </c>
      <c r="AZ107" s="3"/>
      <c r="BA107" s="24">
        <f>AK107*(1-(_xlfn.XLOOKUP(G107, Exchange_Rates!$B$8:$F$8, Exchange_Rates!$B$9:$F$9, 0)+J107))</f>
        <v>1114.2327600000001</v>
      </c>
      <c r="BB107" s="7" cm="1">
        <f t="array" ref="BB107">_xlfn.LET(
  _xlpm.raw_dt, SUBSTITUTE(TRIM(C107), ".", "/"),
  _xlpm.dt, IFERROR(DATEVALUE(_xlpm.raw_dt), C107),
  _xlpm.p_code, TRIM(E107),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46125</v>
      </c>
      <c r="BC107" s="25">
        <f t="shared" si="9"/>
        <v>278.55819000000002</v>
      </c>
    </row>
    <row r="108" spans="1:55" ht="15.75" thickBot="1" x14ac:dyDescent="0.3">
      <c r="A108" s="3" t="s">
        <v>2055</v>
      </c>
      <c r="B108" s="10">
        <v>46079</v>
      </c>
      <c r="C108" s="4">
        <v>46080</v>
      </c>
      <c r="D108" s="3" t="str">
        <f>"P-" &amp; TEXT(VALUE(SUBSTITUTE(SUBSTITUTE(SUBSTITUTE(UPPER(TRIM('Sales_RAW(BEFORE)'!D111)), "P", ""), "-", ""), "_", "")),"000")</f>
        <v>P-034</v>
      </c>
      <c r="E108" s="3" t="str">
        <f>VLOOKUP(D108,Product_List!$A$2:$B$61,2,FALSE)</f>
        <v>Mouse X 34</v>
      </c>
      <c r="F108" s="3" t="str">
        <f>_xlfn.XLOOKUP(E108,Product_List!$B$2:$B$61,Product_List!$E$2:$E$61,2)</f>
        <v>Global Distrib</v>
      </c>
      <c r="G108" s="3" t="str">
        <f>VLOOKUP(E108,Product_List!$B$2:$C$61,2,FALSE)</f>
        <v>Office</v>
      </c>
      <c r="H108" s="3" t="str">
        <f>SUBSTITUTE(SUBSTITUTE('Sales_RAW(BEFORE)'!G111,"kom",""),".","")</f>
        <v>6</v>
      </c>
      <c r="I108" s="6">
        <f>VLOOKUP(E108,Product_List!$B$2:$D$61,3,FALSE)</f>
        <v>23.03</v>
      </c>
      <c r="J108" s="5">
        <f>IF(IFERROR(VALUE(SUBSTITUTE(SUBSTITUTE(TRIM('Sales_RAW(BEFORE)'!I111), "%", ""), ",", ".")), 0) &gt; 1, IFERROR(VALUE(SUBSTITUTE(SUBSTITUTE(TRIM('Sales_RAW(BEFORE)'!I111), "%", ""), ",", ".")), 0) / 100, IFERROR(VALUE(SUBSTITUTE(SUBSTITUTE(TRIM('Sales_RAW(BEFORE)'!I111), "%", ""), ",", ".")), 0))</f>
        <v>0.05</v>
      </c>
      <c r="K108" s="6">
        <f>(H108*I108)/(HLOOKUP(AE108,Exchange_Rates!$B$1:$M$2,2,FALSE))</f>
        <v>149.54545454545453</v>
      </c>
      <c r="L108" s="6" t="str" cm="1">
        <f t="array" ref="L108">_xlfn.LET(
  _xlpm.valuta, UPPER(TRIM('Sales_RAW(BEFORE)'!K111)),
  _xlfn.IFS(
    _xlpm.valuta = "", "",
    OR(_xlpm.valuta = "USD", _xlpm.valuta = "$"), "$",
    OR(_xlpm.valuta = "EUR", _xlpm.valuta = "€"), "€",
    TRUE, _xlpm.valuta
  )
)</f>
        <v>€</v>
      </c>
      <c r="M108" s="3" t="str">
        <f>"E" &amp; TEXT(VALUE(SUBSTITUTE(SUBSTITUTE(SUBSTITUTE(UPPER(TRIM('Sales_RAW(BEFORE)'!L111)), "EMP", ""), "E", ""), "-", "")),"000")</f>
        <v>E006</v>
      </c>
      <c r="N108" s="3" t="str">
        <f>_xlfn.XLOOKUP(M108,Employees!$D$2:$D$26,Employees!$A$2:$A$26)</f>
        <v>Emily Davis</v>
      </c>
      <c r="O108" s="3" t="str">
        <f>_xlfn.XLOOKUP(N108,Employees!$A$2:$A$26,Employees!$C$2:$C$26,2)</f>
        <v>Retail</v>
      </c>
      <c r="P108" s="3" t="str">
        <f>PROPER('Sales_RAW(BEFORE)'!N111)</f>
        <v>North</v>
      </c>
      <c r="Q108" s="3" t="str">
        <f>VLOOKUP(N108,Employees!$A$2:$B$26,2,FALSE)</f>
        <v>Houston</v>
      </c>
      <c r="R108" s="3" t="str">
        <f>PROPER('Sales_RAW(BEFORE)'!P111)</f>
        <v>Acme Ltd.</v>
      </c>
      <c r="S108" s="3" t="str">
        <f>SUBSTITUTE(SUBSTITUTE('Sales_RAW(BEFORE)'!Q111,"EIN",""),":","")</f>
        <v xml:space="preserve"> 471604999</v>
      </c>
      <c r="T108" s="3" t="s">
        <v>139</v>
      </c>
      <c r="U108" s="3" t="s">
        <v>2060</v>
      </c>
      <c r="V108" s="3" t="s">
        <v>2061</v>
      </c>
      <c r="W108" s="3" t="s">
        <v>2062</v>
      </c>
      <c r="X108" s="3" t="s">
        <v>173</v>
      </c>
      <c r="Y108" s="3" t="str">
        <f>PROPER('Sales_RAW(BEFORE)'!W111)</f>
        <v>Cash</v>
      </c>
      <c r="Z108" s="3" t="str">
        <f>PROPER('Sales_RAW(BEFORE)'!X111)</f>
        <v>Delivered</v>
      </c>
      <c r="AA108" s="3" t="str" cm="1">
        <f t="array" ref="AA108">_xlfn.LET(
  _xlpm.val, TRIM(LOWER('Sales_RAW(BEFORE)'!Y111)),
  _xlfn.IFS(
    OR(_xlpm.val="yes", _xlpm.val="paid"), "Paid",
    OR(_xlpm.val="no", _xlpm.val="unpaid"), "Unpaid",
    OR(_xlpm.val="partial", _xlpm.val="partial paid"), "Partial",
    _xlpm.val="", "",
    TRUE, 'Sales_RAW(BEFORE)'!AY111
  )
)</f>
        <v>Paid</v>
      </c>
      <c r="AB108" s="3" t="s">
        <v>2063</v>
      </c>
      <c r="AC108" s="3" t="str">
        <f>PROPER('Sales_RAW(BEFORE)'!AA111)</f>
        <v>Store</v>
      </c>
      <c r="AD108" s="3" t="str">
        <f>SUBSTITUTE(SUBSTITUTE(SUBSTITUTE(SUBSTITUTE('Sales_RAW(BEFORE)'!AB111,"st",""),"q",""),"Q",""),"uarter","")</f>
        <v>1</v>
      </c>
      <c r="AE108" s="3" t="str">
        <f>TEXT(IFERROR(DATEVALUE('Sales_RAW(BEFORE)'!AC111 &amp; " 1"), IFERROR(DATE(2025, 'Sales_RAW(BEFORE)'!AC111, 1), 'Sales_RAW(BEFORE)'!AC111)), "mmmm")</f>
        <v>February</v>
      </c>
      <c r="AF108" s="3">
        <f>_xlfn.LET(
  _xlpm.raw, TRIM(SUBSTITUTE('Sales_RAW(BEFORE)'!AD111, "'", "")),
  _xlpm.num, IFERROR(VALUE(_xlpm.raw), 0),
  IF(_xlpm.num &lt; 100, 2000 + _xlpm.num, _xlpm.num)
)</f>
        <v>2026</v>
      </c>
      <c r="AG108" s="3" t="str">
        <f>PROPER('Sales_RAW(BEFORE)'!AE111)</f>
        <v>Net 60</v>
      </c>
      <c r="AH108" s="3" cm="1">
        <f t="array" ref="AH108">_xlfn.LET(
  _xlpm.val, LOWER(TRIM('Sales_RAW(BEFORE)'!AF111)),
  _xlfn.IFS(
    OR(_xlpm.val="", _xlpm.val="null", _xlpm.val="N/A", _xlpm.val="-", _xlpm.val="#N/A"), 0,
    ISNUMBER('Sales_RAW(BEFORE)'!AF111), 'Sales_RAW(BEFORE)'!AF111,
    TRUE, IFERROR(_xlfn.NUMBERVALUE(_xlpm.val), 0)
  )
)</f>
        <v>11</v>
      </c>
      <c r="AI108" s="5">
        <f>IF(IFERROR(VALUE(SUBSTITUTE(SUBSTITUTE(TRIM('Sales_RAW(BEFORE)'!AG111), "%", ""), ",", ".")), 0) &gt; 1, IFERROR(VALUE(SUBSTITUTE(SUBSTITUTE(TRIM('Sales_RAW(BEFORE)'!AG111), "%", ""), ",", ".")), 0) / 100, IFERROR(VALUE(SUBSTITUTE(SUBSTITUTE(TRIM('Sales_RAW(BEFORE)'!AG111), "%", ""), ",", ".")), 0))</f>
        <v>0.08</v>
      </c>
      <c r="AJ108" s="6">
        <f t="shared" si="6"/>
        <v>11.963636363636363</v>
      </c>
      <c r="AK108" s="6">
        <f t="shared" si="7"/>
        <v>161.5090909090909</v>
      </c>
      <c r="AL108" s="6">
        <f>IFERROR(VALUE(SUBSTITUTE(SUBSTITUTE(SUBSTITUTE('Sales_RAW(BEFORE)'!AJ111,"$",""),"USD",""),",",".")),0)</f>
        <v>25.38</v>
      </c>
      <c r="AM108" s="3" t="str">
        <f>SUBSTITUTE(SUBSTITUTE(PROPER('Sales_RAW(BEFORE)'!AK111), "Fed Ex", "FedEx"),"Fedex","FedEx")</f>
        <v>Usps</v>
      </c>
      <c r="AN108" s="3" t="s">
        <v>2064</v>
      </c>
      <c r="AO108" s="3" t="str">
        <f>SUBSTITUTE('Sales_RAW(BEFORE)'!AM111,"kg","")</f>
        <v xml:space="preserve">17.6 </v>
      </c>
      <c r="AP108" s="3" t="str">
        <f>_xlfn.LET(
  _xlpm.raw, UPPER(TRIM('Sales_RAW(BEFORE)'!AN111)),
  _xlpm.clean, RIGHT(_xlpm.raw, 1),
  IF(OR(_xlpm.raw="", _xlpm.raw="null"), "N/A", _xlpm.clean)
)</f>
        <v>A</v>
      </c>
      <c r="AQ108" s="3">
        <v>76</v>
      </c>
      <c r="AR108" s="3" cm="1">
        <f t="array" ref="AR108">_xlfn.LET(
  _xlpm.raw, LOWER(TRIM('Sales_RAW(BEFORE)'!AP111)),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108" s="3"/>
      <c r="AT108" s="3"/>
      <c r="AU108" s="3"/>
      <c r="AV108" s="8">
        <f>IF(IFERROR(VALUE(SUBSTITUTE(SUBSTITUTE(TRIM('Sales_RAW(BEFORE)'!AT111), "%", ""), ",", ".")), 0) &gt; 1, IFERROR(VALUE(SUBSTITUTE(SUBSTITUTE(TRIM('Sales_RAW(BEFORE)'!AT111), "%", ""), ",", ".")), 0) / 100, IFERROR(VALUE(SUBSTITUTE(SUBSTITUTE(TRIM('Sales_RAW(BEFORE)'!AT111), "%", ""), ",", ".")), 0))</f>
        <v>0.3</v>
      </c>
      <c r="AW108" s="6">
        <f>BA108*(_xlfn.XLOOKUP(N108,Employees!$A$2:$A$26,Employees!$E$2:$E$26,2))</f>
        <v>6.8641363636363639</v>
      </c>
      <c r="AX108" s="3" t="str">
        <f>PROPER('Sales_RAW(BEFORE)'!AV111)</f>
        <v xml:space="preserve">Emma Williams   </v>
      </c>
      <c r="AY108" s="3" t="str">
        <f t="shared" si="8"/>
        <v xml:space="preserve">Emma Williams   </v>
      </c>
      <c r="AZ108" s="3"/>
      <c r="BA108" s="24">
        <f>AK108*(1-(_xlfn.XLOOKUP(G108, Exchange_Rates!$B$8:$F$8, Exchange_Rates!$B$9:$F$9, 0)+J108))</f>
        <v>137.28272727272727</v>
      </c>
      <c r="BB108" s="7" cm="1">
        <f t="array" ref="BB108">_xlfn.LET(
  _xlpm.raw_dt, SUBSTITUTE(TRIM(C108), ".", "/"),
  _xlpm.dt, IFERROR(DATEVALUE(_xlpm.raw_dt), C108),
  _xlpm.p_code, TRIM(E108),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46810</v>
      </c>
      <c r="BC108" s="25">
        <f t="shared" si="9"/>
        <v>41.18481818181818</v>
      </c>
    </row>
    <row r="109" spans="1:55" ht="15.75" thickBot="1" x14ac:dyDescent="0.3">
      <c r="A109" s="3" t="s">
        <v>2068</v>
      </c>
      <c r="B109" s="10">
        <v>45923</v>
      </c>
      <c r="C109" s="4">
        <v>45935</v>
      </c>
      <c r="D109" s="3" t="str">
        <f>"P-" &amp; TEXT(VALUE(SUBSTITUTE(SUBSTITUTE(SUBSTITUTE(UPPER(TRIM('Sales_RAW(BEFORE)'!D112)), "P", ""), "-", ""), "_", "")),"000")</f>
        <v>P-059</v>
      </c>
      <c r="E109" s="3" t="str">
        <f>VLOOKUP(D109,Product_List!$A$2:$B$61,2,FALSE)</f>
        <v>Keyboard Max 59</v>
      </c>
      <c r="F109" s="3" t="str">
        <f>_xlfn.XLOOKUP(E109,Product_List!$B$2:$B$61,Product_List!$E$2:$E$61,2)</f>
        <v>OfficeHub</v>
      </c>
      <c r="G109" s="3" t="str">
        <f>VLOOKUP(E109,Product_List!$B$2:$C$61,2,FALSE)</f>
        <v>Furniture</v>
      </c>
      <c r="H109" s="3" t="str">
        <f>SUBSTITUTE(SUBSTITUTE('Sales_RAW(BEFORE)'!G112,"kom",""),".","")</f>
        <v xml:space="preserve">14 </v>
      </c>
      <c r="I109" s="6">
        <f>VLOOKUP(E109,Product_List!$B$2:$D$61,3,FALSE)</f>
        <v>673.61</v>
      </c>
      <c r="J109" s="5">
        <f>IF(IFERROR(VALUE(SUBSTITUTE(SUBSTITUTE(TRIM('Sales_RAW(BEFORE)'!I112), "%", ""), ",", ".")), 0) &gt; 1, IFERROR(VALUE(SUBSTITUTE(SUBSTITUTE(TRIM('Sales_RAW(BEFORE)'!I112), "%", ""), ",", ".")), 0) / 100, IFERROR(VALUE(SUBSTITUTE(SUBSTITUTE(TRIM('Sales_RAW(BEFORE)'!I112), "%", ""), ",", ".")), 0))</f>
        <v>0</v>
      </c>
      <c r="K109" s="6">
        <f t="shared" si="5"/>
        <v>9430.5400000000009</v>
      </c>
      <c r="L109" s="6" t="str" cm="1">
        <f t="array" ref="L109">_xlfn.LET(
  _xlpm.valuta, UPPER(TRIM('Sales_RAW(BEFORE)'!K112)),
  _xlfn.IFS(
    _xlpm.valuta = "", "",
    OR(_xlpm.valuta = "USD", _xlpm.valuta = "$"), "$",
    OR(_xlpm.valuta = "EUR", _xlpm.valuta = "€"), "€",
    TRUE, _xlpm.valuta
  )
)</f>
        <v>$</v>
      </c>
      <c r="M109" s="3" t="str">
        <f>"E" &amp; TEXT(VALUE(SUBSTITUTE(SUBSTITUTE(SUBSTITUTE(UPPER(TRIM('Sales_RAW(BEFORE)'!L112)), "EMP", ""), "E", ""), "-", "")),"000")</f>
        <v>E019</v>
      </c>
      <c r="N109" s="3" t="str">
        <f>_xlfn.XLOOKUP(M109,Employees!$D$2:$D$26,Employees!$A$2:$A$26)</f>
        <v>Sophia Taylor</v>
      </c>
      <c r="O109" s="3" t="str">
        <f>_xlfn.XLOOKUP(N109,Employees!$A$2:$A$26,Employees!$C$2:$C$26,2)</f>
        <v>Wholesale</v>
      </c>
      <c r="P109" s="3" t="str">
        <f>PROPER('Sales_RAW(BEFORE)'!N112)</f>
        <v>South</v>
      </c>
      <c r="Q109" s="3" t="str">
        <f>VLOOKUP(N109,Employees!$A$2:$B$26,2,FALSE)</f>
        <v>Los Angeles</v>
      </c>
      <c r="R109" s="3" t="str">
        <f>PROPER('Sales_RAW(BEFORE)'!P112)</f>
        <v>Umbrella Ltd.</v>
      </c>
      <c r="S109" s="3" t="str">
        <f>SUBSTITUTE(SUBSTITUTE('Sales_RAW(BEFORE)'!Q112,"EIN",""),":","")</f>
        <v>962545496</v>
      </c>
      <c r="T109" s="3" t="s">
        <v>2076</v>
      </c>
      <c r="U109" s="3" t="s">
        <v>2077</v>
      </c>
      <c r="V109" s="3" t="s">
        <v>2078</v>
      </c>
      <c r="W109" s="3" t="s">
        <v>2079</v>
      </c>
      <c r="X109" s="3" t="s">
        <v>173</v>
      </c>
      <c r="Y109" s="3" t="str">
        <f>PROPER('Sales_RAW(BEFORE)'!W112)</f>
        <v>Credit Card</v>
      </c>
      <c r="Z109" s="3" t="str">
        <f>PROPER('Sales_RAW(BEFORE)'!X112)</f>
        <v>Pending</v>
      </c>
      <c r="AA109" s="3" t="str" cm="1">
        <f t="array" ref="AA109">_xlfn.LET(
  _xlpm.val, TRIM(LOWER('Sales_RAW(BEFORE)'!Y112)),
  _xlfn.IFS(
    OR(_xlpm.val="yes", _xlpm.val="paid"), "Paid",
    OR(_xlpm.val="no", _xlpm.val="unpaid"), "Unpaid",
    OR(_xlpm.val="partial", _xlpm.val="partial paid"), "Partial",
    _xlpm.val="", "",
    TRUE, 'Sales_RAW(BEFORE)'!AY112
  )
)</f>
        <v>Paid</v>
      </c>
      <c r="AB109" s="3" t="s">
        <v>2080</v>
      </c>
      <c r="AC109" s="3" t="str">
        <f>PROPER('Sales_RAW(BEFORE)'!AA112)</f>
        <v>Online</v>
      </c>
      <c r="AD109" s="3" t="str">
        <f>SUBSTITUTE(SUBSTITUTE(SUBSTITUTE(SUBSTITUTE('Sales_RAW(BEFORE)'!AB112,"st",""),"q",""),"Q",""),"uarter","")</f>
        <v>2</v>
      </c>
      <c r="AE109" s="3" t="str">
        <f>TEXT(IFERROR(DATEVALUE('Sales_RAW(BEFORE)'!AC112 &amp; " 1"), IFERROR(DATE(2025, 'Sales_RAW(BEFORE)'!AC112, 1), 'Sales_RAW(BEFORE)'!AC112)), "mmmm")</f>
        <v>September</v>
      </c>
      <c r="AF109" s="3">
        <f>_xlfn.LET(
  _xlpm.raw, TRIM(SUBSTITUTE('Sales_RAW(BEFORE)'!AD112, "'", "")),
  _xlpm.num, IFERROR(VALUE(_xlpm.raw), 0),
  IF(_xlpm.num &lt; 100, 2000 + _xlpm.num, _xlpm.num)
)</f>
        <v>2025</v>
      </c>
      <c r="AG109" s="3" t="str">
        <f>PROPER('Sales_RAW(BEFORE)'!AE112)</f>
        <v>15</v>
      </c>
      <c r="AH109" s="3" cm="1">
        <f t="array" ref="AH109">_xlfn.LET(
  _xlpm.val, LOWER(TRIM('Sales_RAW(BEFORE)'!AF112)),
  _xlfn.IFS(
    OR(_xlpm.val="", _xlpm.val="null", _xlpm.val="N/A", _xlpm.val="-", _xlpm.val="#N/A"), 0,
    ISNUMBER('Sales_RAW(BEFORE)'!AF112), 'Sales_RAW(BEFORE)'!AF112,
    TRUE, IFERROR(_xlfn.NUMBERVALUE(_xlpm.val), 0)
  )
)</f>
        <v>44</v>
      </c>
      <c r="AI109" s="5">
        <f>IF(IFERROR(VALUE(SUBSTITUTE(SUBSTITUTE(TRIM('Sales_RAW(BEFORE)'!AG112), "%", ""), ",", ".")), 0) &gt; 1, IFERROR(VALUE(SUBSTITUTE(SUBSTITUTE(TRIM('Sales_RAW(BEFORE)'!AG112), "%", ""), ",", ".")), 0) / 100, IFERROR(VALUE(SUBSTITUTE(SUBSTITUTE(TRIM('Sales_RAW(BEFORE)'!AG112), "%", ""), ",", ".")), 0))</f>
        <v>0.08</v>
      </c>
      <c r="AJ109" s="6">
        <f t="shared" si="6"/>
        <v>754.44320000000005</v>
      </c>
      <c r="AK109" s="6">
        <f t="shared" si="7"/>
        <v>10184.983200000001</v>
      </c>
      <c r="AL109" s="6">
        <f>IFERROR(VALUE(SUBSTITUTE(SUBSTITUTE(SUBSTITUTE('Sales_RAW(BEFORE)'!AJ112,"$",""),"USD",""),",",".")),0)</f>
        <v>14</v>
      </c>
      <c r="AM109" s="3" t="str">
        <f>SUBSTITUTE(SUBSTITUTE(PROPER('Sales_RAW(BEFORE)'!AK112), "Fed Ex", "FedEx"),"Fedex","FedEx")</f>
        <v>FedEx</v>
      </c>
      <c r="AN109" s="3" t="s">
        <v>2082</v>
      </c>
      <c r="AO109" s="3" t="str">
        <f>SUBSTITUTE('Sales_RAW(BEFORE)'!AM112,"kg","")</f>
        <v>3,92</v>
      </c>
      <c r="AP109" s="3" t="str">
        <f>_xlfn.LET(
  _xlpm.raw, UPPER(TRIM('Sales_RAW(BEFORE)'!AN112)),
  _xlpm.clean, RIGHT(_xlpm.raw, 1),
  IF(OR(_xlpm.raw="", _xlpm.raw="null"), "N/A", _xlpm.clean)
)</f>
        <v>B</v>
      </c>
      <c r="AQ109" s="3">
        <v>190</v>
      </c>
      <c r="AR109" s="3" cm="1">
        <f t="array" ref="AR109">_xlfn.LET(
  _xlpm.raw, LOWER(TRIM('Sales_RAW(BEFORE)'!AP112)),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109" s="3"/>
      <c r="AT109" s="3"/>
      <c r="AU109" s="3"/>
      <c r="AV109" s="8">
        <f>IF(IFERROR(VALUE(SUBSTITUTE(SUBSTITUTE(TRIM('Sales_RAW(BEFORE)'!AT112), "%", ""), ",", ".")), 0) &gt; 1, IFERROR(VALUE(SUBSTITUTE(SUBSTITUTE(TRIM('Sales_RAW(BEFORE)'!AT112), "%", ""), ",", ".")), 0) / 100, IFERROR(VALUE(SUBSTITUTE(SUBSTITUTE(TRIM('Sales_RAW(BEFORE)'!AT112), "%", ""), ",", ".")), 0))</f>
        <v>0.25</v>
      </c>
      <c r="AW109" s="6">
        <f>BA109*(_xlfn.XLOOKUP(N109,Employees!$A$2:$A$26,Employees!$E$2:$E$26,2))</f>
        <v>274.99454639999999</v>
      </c>
      <c r="AX109" s="3" t="str">
        <f>PROPER('Sales_RAW(BEFORE)'!AV112)</f>
        <v xml:space="preserve"> Michael Brown</v>
      </c>
      <c r="AY109" s="3" t="str">
        <f t="shared" si="8"/>
        <v xml:space="preserve"> Michael Brown</v>
      </c>
      <c r="AZ109" s="3"/>
      <c r="BA109" s="24">
        <f>AK109*(1-(_xlfn.XLOOKUP(G109, Exchange_Rates!$B$8:$F$8, Exchange_Rates!$B$9:$F$9, 0)+J109))</f>
        <v>9166.48488</v>
      </c>
      <c r="BB109" s="7" cm="1">
        <f t="array" ref="BB109">_xlfn.LET(
  _xlpm.raw_dt, SUBSTITUTE(TRIM(C109), ".", "/"),
  _xlpm.dt, IFERROR(DATEVALUE(_xlpm.raw_dt), C109),
  _xlpm.p_code, TRIM(E109),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46665</v>
      </c>
      <c r="BC109" s="25">
        <f t="shared" si="9"/>
        <v>2291.62122</v>
      </c>
    </row>
    <row r="110" spans="1:55" ht="15.75" thickBot="1" x14ac:dyDescent="0.3">
      <c r="A110" s="3" t="s">
        <v>2085</v>
      </c>
      <c r="B110" s="10">
        <f>DATE(2025,3,19)</f>
        <v>45735</v>
      </c>
      <c r="C110" s="4">
        <v>45692</v>
      </c>
      <c r="D110" s="3" t="str">
        <f>"P-" &amp; TEXT(VALUE(SUBSTITUTE(SUBSTITUTE(SUBSTITUTE(UPPER(TRIM('Sales_RAW(BEFORE)'!D113)), "P", ""), "-", ""), "_", "")),"000")</f>
        <v>P-054</v>
      </c>
      <c r="E110" s="3" t="str">
        <f>VLOOKUP(D110,Product_List!$A$2:$B$61,2,FALSE)</f>
        <v>Mouse Basic 54</v>
      </c>
      <c r="F110" s="3" t="str">
        <f>_xlfn.XLOOKUP(E110,Product_List!$B$2:$B$61,Product_List!$E$2:$E$61,2)</f>
        <v>OfficeHub</v>
      </c>
      <c r="G110" s="3" t="str">
        <f>VLOOKUP(E110,Product_List!$B$2:$C$61,2,FALSE)</f>
        <v>Office</v>
      </c>
      <c r="H110" s="3" t="str">
        <f>SUBSTITUTE(SUBSTITUTE('Sales_RAW(BEFORE)'!G113,"kom",""),".","")</f>
        <v xml:space="preserve">3 </v>
      </c>
      <c r="I110" s="6">
        <f>VLOOKUP(E110,Product_List!$B$2:$D$61,3,FALSE)</f>
        <v>801.23</v>
      </c>
      <c r="J110" s="5">
        <f>IF(IFERROR(VALUE(SUBSTITUTE(SUBSTITUTE(TRIM('Sales_RAW(BEFORE)'!I113), "%", ""), ",", ".")), 0) &gt; 1, IFERROR(VALUE(SUBSTITUTE(SUBSTITUTE(TRIM('Sales_RAW(BEFORE)'!I113), "%", ""), ",", ".")), 0) / 100, IFERROR(VALUE(SUBSTITUTE(SUBSTITUTE(TRIM('Sales_RAW(BEFORE)'!I113), "%", ""), ",", ".")), 0))</f>
        <v>0.05</v>
      </c>
      <c r="K110" s="6">
        <f>(H110*I110)/(HLOOKUP(AE110,Exchange_Rates!$B$1:$M$2,2,FALSE))</f>
        <v>2584.6129032258063</v>
      </c>
      <c r="L110" s="6" t="str" cm="1">
        <f t="array" ref="L110">_xlfn.LET(
  _xlpm.valuta, UPPER(TRIM('Sales_RAW(BEFORE)'!K113)),
  _xlfn.IFS(
    _xlpm.valuta = "", "",
    OR(_xlpm.valuta = "USD", _xlpm.valuta = "$"), "$",
    OR(_xlpm.valuta = "EUR", _xlpm.valuta = "€"), "€",
    TRUE, _xlpm.valuta
  )
)</f>
        <v>€</v>
      </c>
      <c r="M110" s="3" t="str">
        <f>"E" &amp; TEXT(VALUE(SUBSTITUTE(SUBSTITUTE(SUBSTITUTE(UPPER(TRIM('Sales_RAW(BEFORE)'!L113)), "EMP", ""), "E", ""), "-", "")),"000")</f>
        <v>E017</v>
      </c>
      <c r="N110" s="3" t="str">
        <f>_xlfn.XLOOKUP(M110,Employees!$D$2:$D$26,Employees!$A$2:$A$26)</f>
        <v>Robert Davis</v>
      </c>
      <c r="O110" s="3" t="str">
        <f>_xlfn.XLOOKUP(N110,Employees!$A$2:$A$26,Employees!$C$2:$C$26,2)</f>
        <v>Wholesale</v>
      </c>
      <c r="P110" s="3" t="str">
        <f>PROPER('Sales_RAW(BEFORE)'!N113)</f>
        <v>West</v>
      </c>
      <c r="Q110" s="3" t="str">
        <f>VLOOKUP(N110,Employees!$A$2:$B$26,2,FALSE)</f>
        <v>Miami</v>
      </c>
      <c r="R110" s="3" t="str">
        <f>PROPER('Sales_RAW(BEFORE)'!P113)</f>
        <v>Stark Inc</v>
      </c>
      <c r="S110" s="3" t="str">
        <f>SUBSTITUTE(SUBSTITUTE('Sales_RAW(BEFORE)'!Q113,"EIN",""),":","")</f>
        <v>915333452</v>
      </c>
      <c r="T110" s="3" t="s">
        <v>229</v>
      </c>
      <c r="U110" s="3" t="s">
        <v>2092</v>
      </c>
      <c r="V110" s="3" t="s">
        <v>2093</v>
      </c>
      <c r="W110" s="3" t="s">
        <v>2094</v>
      </c>
      <c r="X110" s="3" t="s">
        <v>173</v>
      </c>
      <c r="Y110" s="3" t="str">
        <f>PROPER('Sales_RAW(BEFORE)'!W113)</f>
        <v>Wire</v>
      </c>
      <c r="Z110" s="3" t="str">
        <f>PROPER('Sales_RAW(BEFORE)'!X113)</f>
        <v>Cancelled</v>
      </c>
      <c r="AA110" s="3" t="str" cm="1">
        <f t="array" ref="AA110">_xlfn.LET(
  _xlpm.val, TRIM(LOWER('Sales_RAW(BEFORE)'!Y113)),
  _xlfn.IFS(
    OR(_xlpm.val="yes", _xlpm.val="paid"), "Paid",
    OR(_xlpm.val="no", _xlpm.val="unpaid"), "Unpaid",
    OR(_xlpm.val="partial", _xlpm.val="partial paid"), "Partial",
    _xlpm.val="", "",
    TRUE, 'Sales_RAW(BEFORE)'!AY113
  )
)</f>
        <v>Unpaid</v>
      </c>
      <c r="AB110" s="3" t="s">
        <v>2095</v>
      </c>
      <c r="AC110" s="3" t="str">
        <f>PROPER('Sales_RAW(BEFORE)'!AA113)</f>
        <v>Phone</v>
      </c>
      <c r="AD110" s="3" t="str">
        <f>SUBSTITUTE(SUBSTITUTE(SUBSTITUTE(SUBSTITUTE('Sales_RAW(BEFORE)'!AB113,"st",""),"q",""),"Q",""),"uarter","")</f>
        <v>1</v>
      </c>
      <c r="AE110" s="3" t="str">
        <f>TEXT(IFERROR(DATEVALUE('Sales_RAW(BEFORE)'!AC113 &amp; " 1"), IFERROR(DATE(2025, 'Sales_RAW(BEFORE)'!AC113, 1), 'Sales_RAW(BEFORE)'!AC113)), "mmmm")</f>
        <v>March</v>
      </c>
      <c r="AF110" s="3">
        <f>_xlfn.LET(
  _xlpm.raw, TRIM(SUBSTITUTE('Sales_RAW(BEFORE)'!AD113, "'", "")),
  _xlpm.num, IFERROR(VALUE(_xlpm.raw), 0),
  IF(_xlpm.num &lt; 100, 2000 + _xlpm.num, _xlpm.num)
)</f>
        <v>2025</v>
      </c>
      <c r="AG110" s="3" t="str">
        <f>PROPER('Sales_RAW(BEFORE)'!AE113)</f>
        <v>Immediate</v>
      </c>
      <c r="AH110" s="3" cm="1">
        <f t="array" ref="AH110">_xlfn.LET(
  _xlpm.val, LOWER(TRIM('Sales_RAW(BEFORE)'!AF113)),
  _xlfn.IFS(
    OR(_xlpm.val="", _xlpm.val="null", _xlpm.val="N/A", _xlpm.val="-", _xlpm.val="#N/A"), 0,
    ISNUMBER('Sales_RAW(BEFORE)'!AF113), 'Sales_RAW(BEFORE)'!AF113,
    TRUE, IFERROR(_xlfn.NUMBERVALUE(_xlpm.val), 0)
  )
)</f>
        <v>36</v>
      </c>
      <c r="AI110" s="5">
        <f>IF(IFERROR(VALUE(SUBSTITUTE(SUBSTITUTE(TRIM('Sales_RAW(BEFORE)'!AG113), "%", ""), ",", ".")), 0) &gt; 1, IFERROR(VALUE(SUBSTITUTE(SUBSTITUTE(TRIM('Sales_RAW(BEFORE)'!AG113), "%", ""), ",", ".")), 0) / 100, IFERROR(VALUE(SUBSTITUTE(SUBSTITUTE(TRIM('Sales_RAW(BEFORE)'!AG113), "%", ""), ",", ".")), 0))</f>
        <v>0.08</v>
      </c>
      <c r="AJ110" s="6">
        <f t="shared" si="6"/>
        <v>206.7690322580645</v>
      </c>
      <c r="AK110" s="6">
        <f t="shared" si="7"/>
        <v>2791.3819354838706</v>
      </c>
      <c r="AL110" s="6">
        <f>IFERROR(VALUE(SUBSTITUTE(SUBSTITUTE(SUBSTITUTE('Sales_RAW(BEFORE)'!AJ113,"$",""),"USD",""),",",".")),0)</f>
        <v>31.82</v>
      </c>
      <c r="AM110" s="3" t="str">
        <f>SUBSTITUTE(SUBSTITUTE(PROPER('Sales_RAW(BEFORE)'!AK113), "Fed Ex", "FedEx"),"Fedex","FedEx")</f>
        <v>FedEx</v>
      </c>
      <c r="AN110" s="3" t="s">
        <v>2097</v>
      </c>
      <c r="AO110" s="3" t="str">
        <f>SUBSTITUTE('Sales_RAW(BEFORE)'!AM113,"kg","")</f>
        <v xml:space="preserve">27.1 </v>
      </c>
      <c r="AP110" s="3" t="str">
        <f>_xlfn.LET(
  _xlpm.raw, UPPER(TRIM('Sales_RAW(BEFORE)'!AN113)),
  _xlpm.clean, RIGHT(_xlpm.raw, 1),
  IF(OR(_xlpm.raw="", _xlpm.raw="null"), "N/A", _xlpm.clean)
)</f>
        <v>B</v>
      </c>
      <c r="AQ110" s="3">
        <v>155</v>
      </c>
      <c r="AR110" s="3" cm="1">
        <f t="array" ref="AR110">_xlfn.LET(
  _xlpm.raw, LOWER(TRIM('Sales_RAW(BEFORE)'!AP113)),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110" s="3"/>
      <c r="AT110" s="3"/>
      <c r="AU110" s="3"/>
      <c r="AV110" s="8">
        <f>IF(IFERROR(VALUE(SUBSTITUTE(SUBSTITUTE(TRIM('Sales_RAW(BEFORE)'!AT113), "%", ""), ",", ".")), 0) &gt; 1, IFERROR(VALUE(SUBSTITUTE(SUBSTITUTE(TRIM('Sales_RAW(BEFORE)'!AT113), "%", ""), ",", ".")), 0) / 100, IFERROR(VALUE(SUBSTITUTE(SUBSTITUTE(TRIM('Sales_RAW(BEFORE)'!AT113), "%", ""), ",", ".")), 0))</f>
        <v>0.15</v>
      </c>
      <c r="AW110" s="6">
        <f>BA110*(_xlfn.XLOOKUP(N110,Employees!$A$2:$A$26,Employees!$E$2:$E$26,2))</f>
        <v>71.18023935483869</v>
      </c>
      <c r="AX110" s="3" t="str">
        <f>PROPER('Sales_RAW(BEFORE)'!AV113)</f>
        <v>Chris Johnson</v>
      </c>
      <c r="AY110" s="3" t="str">
        <f t="shared" si="8"/>
        <v>Chris Johnson</v>
      </c>
      <c r="AZ110" s="3"/>
      <c r="BA110" s="24">
        <f>AK110*(1-(_xlfn.XLOOKUP(G110, Exchange_Rates!$B$8:$F$8, Exchange_Rates!$B$9:$F$9, 0)+J110))</f>
        <v>2372.6746451612898</v>
      </c>
      <c r="BB110" s="7" cm="1">
        <f t="array" ref="BB110">_xlfn.LET(
  _xlpm.raw_dt, SUBSTITUTE(TRIM(C110), ".", "/"),
  _xlpm.dt, IFERROR(DATEVALUE(_xlpm.raw_dt), C110),
  _xlpm.p_code, TRIM(E110),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46422</v>
      </c>
      <c r="BC110" s="25">
        <f t="shared" si="9"/>
        <v>355.90119677419347</v>
      </c>
    </row>
    <row r="111" spans="1:55" ht="15.75" thickBot="1" x14ac:dyDescent="0.3">
      <c r="A111" s="3" t="s">
        <v>2100</v>
      </c>
      <c r="B111" s="10">
        <v>45763</v>
      </c>
      <c r="C111" s="4">
        <v>45774</v>
      </c>
      <c r="D111" s="3" t="str">
        <f>"P-" &amp; TEXT(VALUE(SUBSTITUTE(SUBSTITUTE(SUBSTITUTE(UPPER(TRIM('Sales_RAW(BEFORE)'!D114)), "P", ""), "-", ""), "_", "")),"000")</f>
        <v>P-009</v>
      </c>
      <c r="E111" s="3" t="str">
        <f>VLOOKUP(D111,Product_List!$A$2:$B$61,2,FALSE)</f>
        <v>Chair Plus 9</v>
      </c>
      <c r="F111" s="3" t="str">
        <f>_xlfn.XLOOKUP(E111,Product_List!$B$2:$B$61,Product_List!$E$2:$E$61,2)</f>
        <v>BestParts</v>
      </c>
      <c r="G111" s="3" t="str">
        <f>VLOOKUP(E111,Product_List!$B$2:$C$61,2,FALSE)</f>
        <v>Office</v>
      </c>
      <c r="H111" s="3" t="str">
        <f>SUBSTITUTE(SUBSTITUTE('Sales_RAW(BEFORE)'!G114,"kom",""),".","")</f>
        <v xml:space="preserve">39 </v>
      </c>
      <c r="I111" s="6">
        <f>VLOOKUP(E111,Product_List!$B$2:$D$61,3,FALSE)</f>
        <v>813.33</v>
      </c>
      <c r="J111" s="5">
        <f>IF(IFERROR(VALUE(SUBSTITUTE(SUBSTITUTE(TRIM('Sales_RAW(BEFORE)'!I114), "%", ""), ",", ".")), 0) &gt; 1, IFERROR(VALUE(SUBSTITUTE(SUBSTITUTE(TRIM('Sales_RAW(BEFORE)'!I114), "%", ""), ",", ".")), 0) / 100, IFERROR(VALUE(SUBSTITUTE(SUBSTITUTE(TRIM('Sales_RAW(BEFORE)'!I114), "%", ""), ",", ".")), 0))</f>
        <v>0.1</v>
      </c>
      <c r="K111" s="6">
        <f>(H111*I111)/(HLOOKUP(AE111,Exchange_Rates!$B$1:$M$2,2,FALSE))</f>
        <v>34144.101184068895</v>
      </c>
      <c r="L111" s="6" t="str" cm="1">
        <f t="array" ref="L111">_xlfn.LET(
  _xlpm.valuta, UPPER(TRIM('Sales_RAW(BEFORE)'!K114)),
  _xlfn.IFS(
    _xlpm.valuta = "", "",
    OR(_xlpm.valuta = "USD", _xlpm.valuta = "$"), "$",
    OR(_xlpm.valuta = "EUR", _xlpm.valuta = "€"), "€",
    TRUE, _xlpm.valuta
  )
)</f>
        <v>€</v>
      </c>
      <c r="M111" s="3" t="str">
        <f>"E" &amp; TEXT(VALUE(SUBSTITUTE(SUBSTITUTE(SUBSTITUTE(UPPER(TRIM('Sales_RAW(BEFORE)'!L114)), "EMP", ""), "E", ""), "-", "")),"000")</f>
        <v>E004</v>
      </c>
      <c r="N111" s="3" t="str">
        <f>_xlfn.XLOOKUP(M111,Employees!$D$2:$D$26,Employees!$A$2:$A$26)</f>
        <v>Sophia Johnson</v>
      </c>
      <c r="O111" s="3" t="str">
        <f>_xlfn.XLOOKUP(N111,Employees!$A$2:$A$26,Employees!$C$2:$C$26,2)</f>
        <v>Wholesale</v>
      </c>
      <c r="P111" s="3" t="str">
        <f>PROPER('Sales_RAW(BEFORE)'!N114)</f>
        <v>North</v>
      </c>
      <c r="Q111" s="3" t="str">
        <f>VLOOKUP(N111,Employees!$A$2:$B$26,2,FALSE)</f>
        <v>Houston</v>
      </c>
      <c r="R111" s="3" t="str">
        <f>PROPER('Sales_RAW(BEFORE)'!P114)</f>
        <v>Vortex Llc</v>
      </c>
      <c r="S111" s="3" t="str">
        <f>SUBSTITUTE(SUBSTITUTE('Sales_RAW(BEFORE)'!Q114,"EIN",""),":","")</f>
        <v>398197311</v>
      </c>
      <c r="T111" s="3" t="s">
        <v>142</v>
      </c>
      <c r="U111" s="3" t="s">
        <v>2110</v>
      </c>
      <c r="V111" s="3" t="s">
        <v>2111</v>
      </c>
      <c r="W111" s="3" t="s">
        <v>2112</v>
      </c>
      <c r="X111" s="3" t="s">
        <v>173</v>
      </c>
      <c r="Y111" s="3" t="str">
        <f>PROPER('Sales_RAW(BEFORE)'!W114)</f>
        <v>Paypal</v>
      </c>
      <c r="Z111" s="3" t="str">
        <f>PROPER('Sales_RAW(BEFORE)'!X114)</f>
        <v>Cancelled</v>
      </c>
      <c r="AA111" s="3" t="str" cm="1">
        <f t="array" ref="AA111">_xlfn.LET(
  _xlpm.val, TRIM(LOWER('Sales_RAW(BEFORE)'!Y114)),
  _xlfn.IFS(
    OR(_xlpm.val="yes", _xlpm.val="paid"), "Paid",
    OR(_xlpm.val="no", _xlpm.val="unpaid"), "Unpaid",
    OR(_xlpm.val="partial", _xlpm.val="partial paid"), "Partial",
    _xlpm.val="", "",
    TRUE, 'Sales_RAW(BEFORE)'!AY114
  )
)</f>
        <v>Paid</v>
      </c>
      <c r="AB111" s="3" t="s">
        <v>2113</v>
      </c>
      <c r="AC111" s="3" t="str">
        <f>PROPER('Sales_RAW(BEFORE)'!AA114)</f>
        <v>Store</v>
      </c>
      <c r="AD111" s="3" t="str">
        <f>SUBSTITUTE(SUBSTITUTE(SUBSTITUTE(SUBSTITUTE('Sales_RAW(BEFORE)'!AB114,"st",""),"q",""),"Q",""),"uarter","")</f>
        <v>2</v>
      </c>
      <c r="AE111" s="3" t="str">
        <f>TEXT(IFERROR(DATEVALUE('Sales_RAW(BEFORE)'!AC114 &amp; " 1"), IFERROR(DATE(2025, 'Sales_RAW(BEFORE)'!AC114, 1), 'Sales_RAW(BEFORE)'!AC114)), "mmmm")</f>
        <v>April</v>
      </c>
      <c r="AF111" s="3">
        <f>_xlfn.LET(
  _xlpm.raw, TRIM(SUBSTITUTE('Sales_RAW(BEFORE)'!AD114, "'", "")),
  _xlpm.num, IFERROR(VALUE(_xlpm.raw), 0),
  IF(_xlpm.num &lt; 100, 2000 + _xlpm.num, _xlpm.num)
)</f>
        <v>2025</v>
      </c>
      <c r="AG111" s="3" t="str">
        <f>PROPER('Sales_RAW(BEFORE)'!AE114)</f>
        <v>Net 60</v>
      </c>
      <c r="AH111" s="3" cm="1">
        <f t="array" ref="AH111">_xlfn.LET(
  _xlpm.val, LOWER(TRIM('Sales_RAW(BEFORE)'!AF114)),
  _xlfn.IFS(
    OR(_xlpm.val="", _xlpm.val="null", _xlpm.val="N/A", _xlpm.val="-", _xlpm.val="#N/A"), 0,
    ISNUMBER('Sales_RAW(BEFORE)'!AF114), 'Sales_RAW(BEFORE)'!AF114,
    TRUE, IFERROR(_xlfn.NUMBERVALUE(_xlpm.val), 0)
  )
)</f>
        <v>27</v>
      </c>
      <c r="AI111" s="5">
        <f>IF(IFERROR(VALUE(SUBSTITUTE(SUBSTITUTE(TRIM('Sales_RAW(BEFORE)'!AG114), "%", ""), ",", ".")), 0) &gt; 1, IFERROR(VALUE(SUBSTITUTE(SUBSTITUTE(TRIM('Sales_RAW(BEFORE)'!AG114), "%", ""), ",", ".")), 0) / 100, IFERROR(VALUE(SUBSTITUTE(SUBSTITUTE(TRIM('Sales_RAW(BEFORE)'!AG114), "%", ""), ",", ".")), 0))</f>
        <v>0.08</v>
      </c>
      <c r="AJ111" s="6">
        <f t="shared" si="6"/>
        <v>2731.5280947255119</v>
      </c>
      <c r="AK111" s="6">
        <f t="shared" si="7"/>
        <v>36875.629278794404</v>
      </c>
      <c r="AL111" s="6">
        <f>IFERROR(VALUE(SUBSTITUTE(SUBSTITUTE(SUBSTITUTE('Sales_RAW(BEFORE)'!AJ114,"$",""),"USD",""),",",".")),0)</f>
        <v>23.19</v>
      </c>
      <c r="AM111" s="3" t="str">
        <f>SUBSTITUTE(SUBSTITUTE(PROPER('Sales_RAW(BEFORE)'!AK114), "Fed Ex", "FedEx"),"Fedex","FedEx")</f>
        <v>Ups</v>
      </c>
      <c r="AN111" s="3" t="s">
        <v>2115</v>
      </c>
      <c r="AO111" s="3" t="str">
        <f>SUBSTITUTE('Sales_RAW(BEFORE)'!AM114,"kg","")</f>
        <v xml:space="preserve">9.6 </v>
      </c>
      <c r="AP111" s="3" t="str">
        <f>_xlfn.LET(
  _xlpm.raw, UPPER(TRIM('Sales_RAW(BEFORE)'!AN114)),
  _xlpm.clean, RIGHT(_xlpm.raw, 1),
  IF(OR(_xlpm.raw="", _xlpm.raw="null"), "N/A", _xlpm.clean)
)</f>
        <v>B</v>
      </c>
      <c r="AQ111" s="3">
        <v>267</v>
      </c>
      <c r="AR111" s="3" cm="1">
        <f t="array" ref="AR111">_xlfn.LET(
  _xlpm.raw, LOWER(TRIM('Sales_RAW(BEFORE)'!AP114)),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11" s="3"/>
      <c r="AT111" s="3"/>
      <c r="AU111" s="3"/>
      <c r="AV111" s="8">
        <f>IF(IFERROR(VALUE(SUBSTITUTE(SUBSTITUTE(TRIM('Sales_RAW(BEFORE)'!AT114), "%", ""), ",", ".")), 0) &gt; 1, IFERROR(VALUE(SUBSTITUTE(SUBSTITUTE(TRIM('Sales_RAW(BEFORE)'!AT114), "%", ""), ",", ".")), 0) / 100, IFERROR(VALUE(SUBSTITUTE(SUBSTITUTE(TRIM('Sales_RAW(BEFORE)'!AT114), "%", ""), ",", ".")), 0))</f>
        <v>0.15</v>
      </c>
      <c r="AW111" s="6">
        <f>BA111*(_xlfn.XLOOKUP(N111,Employees!$A$2:$A$26,Employees!$E$2:$E$26,2))</f>
        <v>1475.0251711517762</v>
      </c>
      <c r="AX111" s="3" t="str">
        <f>PROPER('Sales_RAW(BEFORE)'!AV114)</f>
        <v>John Anderson</v>
      </c>
      <c r="AY111" s="3" t="str">
        <f t="shared" si="8"/>
        <v>John Anderson</v>
      </c>
      <c r="AZ111" s="3"/>
      <c r="BA111" s="24">
        <f>AK111*(1-(_xlfn.XLOOKUP(G111, Exchange_Rates!$B$8:$F$8, Exchange_Rates!$B$9:$F$9, 0)+J111))</f>
        <v>29500.503423035523</v>
      </c>
      <c r="BB111" s="7" cm="1">
        <f t="array" ref="BB111">_xlfn.LET(
  _xlpm.raw_dt, SUBSTITUTE(TRIM(C111), ".", "/"),
  _xlpm.dt, IFERROR(DATEVALUE(_xlpm.raw_dt), C111),
  _xlpm.p_code, TRIM(E111),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46870</v>
      </c>
      <c r="BC111" s="25">
        <f t="shared" si="9"/>
        <v>4425.0755134553283</v>
      </c>
    </row>
    <row r="112" spans="1:55" ht="15.75" thickBot="1" x14ac:dyDescent="0.3">
      <c r="A112" s="3" t="s">
        <v>2118</v>
      </c>
      <c r="B112" s="10">
        <v>45838</v>
      </c>
      <c r="C112" s="4">
        <f>DATE(2025,7,3)</f>
        <v>45841</v>
      </c>
      <c r="D112" s="3" t="str">
        <f>"P-" &amp; TEXT(VALUE(SUBSTITUTE(SUBSTITUTE(SUBSTITUTE(UPPER(TRIM('Sales_RAW(BEFORE)'!D115)), "P", ""), "-", ""), "_", "")),"000")</f>
        <v>P-050</v>
      </c>
      <c r="E112" s="3" t="str">
        <f>VLOOKUP(D112,Product_List!$A$2:$B$61,2,FALSE)</f>
        <v>License X 50</v>
      </c>
      <c r="F112" s="3" t="str">
        <f>_xlfn.XLOOKUP(E112,Product_List!$B$2:$B$61,Product_List!$E$2:$E$61,2)</f>
        <v>BestParts</v>
      </c>
      <c r="G112" s="3" t="str">
        <f>VLOOKUP(E112,Product_List!$B$2:$C$61,2,FALSE)</f>
        <v>Equipment</v>
      </c>
      <c r="H112" s="3" t="str">
        <f>SUBSTITUTE(SUBSTITUTE('Sales_RAW(BEFORE)'!G115,"kom",""),".","")</f>
        <v xml:space="preserve">9 </v>
      </c>
      <c r="I112" s="6">
        <f>VLOOKUP(E112,Product_List!$B$2:$D$61,3,FALSE)</f>
        <v>39.53</v>
      </c>
      <c r="J112" s="5">
        <f>IF(IFERROR(VALUE(SUBSTITUTE(SUBSTITUTE(TRIM('Sales_RAW(BEFORE)'!I115), "%", ""), ",", ".")), 0) &gt; 1, IFERROR(VALUE(SUBSTITUTE(SUBSTITUTE(TRIM('Sales_RAW(BEFORE)'!I115), "%", ""), ",", ".")), 0) / 100, IFERROR(VALUE(SUBSTITUTE(SUBSTITUTE(TRIM('Sales_RAW(BEFORE)'!I115), "%", ""), ",", ".")), 0))</f>
        <v>0.1</v>
      </c>
      <c r="K112" s="6">
        <f>(H112*I112)/(HLOOKUP(AE112,Exchange_Rates!$B$1:$M$2,2,FALSE))</f>
        <v>384.20086393088548</v>
      </c>
      <c r="L112" s="6" t="str" cm="1">
        <f t="array" ref="L112">_xlfn.LET(
  _xlpm.valuta, UPPER(TRIM('Sales_RAW(BEFORE)'!K115)),
  _xlfn.IFS(
    _xlpm.valuta = "", "",
    OR(_xlpm.valuta = "USD", _xlpm.valuta = "$"), "$",
    OR(_xlpm.valuta = "EUR", _xlpm.valuta = "€"), "€",
    TRUE, _xlpm.valuta
  )
)</f>
        <v>€</v>
      </c>
      <c r="M112" s="3" t="str">
        <f>"E" &amp; TEXT(VALUE(SUBSTITUTE(SUBSTITUTE(SUBSTITUTE(UPPER(TRIM('Sales_RAW(BEFORE)'!L115)), "EMP", ""), "E", ""), "-", "")),"000")</f>
        <v>E012</v>
      </c>
      <c r="N112" s="3" t="str">
        <f>_xlfn.XLOOKUP(M112,Employees!$D$2:$D$26,Employees!$A$2:$A$26)</f>
        <v>John Smith</v>
      </c>
      <c r="O112" s="3" t="str">
        <f>_xlfn.XLOOKUP(N112,Employees!$A$2:$A$26,Employees!$C$2:$C$26,2)</f>
        <v>Sales</v>
      </c>
      <c r="P112" s="3" t="str">
        <f>PROPER('Sales_RAW(BEFORE)'!N115)</f>
        <v>South</v>
      </c>
      <c r="Q112" s="3" t="str">
        <f>VLOOKUP(N112,Employees!$A$2:$B$26,2,FALSE)</f>
        <v>Miami</v>
      </c>
      <c r="R112" s="3" t="str">
        <f>PROPER('Sales_RAW(BEFORE)'!P115)</f>
        <v xml:space="preserve">   Globex Inc </v>
      </c>
      <c r="S112" s="3" t="str">
        <f>SUBSTITUTE(SUBSTITUTE('Sales_RAW(BEFORE)'!Q115,"EIN",""),":","")</f>
        <v>359058731</v>
      </c>
      <c r="T112" s="3" t="s">
        <v>99</v>
      </c>
      <c r="U112" s="3" t="s">
        <v>2128</v>
      </c>
      <c r="V112" s="3" t="s">
        <v>2129</v>
      </c>
      <c r="W112" s="3" t="s">
        <v>2130</v>
      </c>
      <c r="X112" s="3" t="s">
        <v>173</v>
      </c>
      <c r="Y112" s="3" t="str">
        <f>PROPER('Sales_RAW(BEFORE)'!W115)</f>
        <v>Credit Card</v>
      </c>
      <c r="Z112" s="3" t="str">
        <f>PROPER('Sales_RAW(BEFORE)'!X115)</f>
        <v>Delivered</v>
      </c>
      <c r="AA112" s="3" t="str" cm="1">
        <f t="array" ref="AA112">_xlfn.LET(
  _xlpm.val, TRIM(LOWER('Sales_RAW(BEFORE)'!Y115)),
  _xlfn.IFS(
    OR(_xlpm.val="yes", _xlpm.val="paid"), "Paid",
    OR(_xlpm.val="no", _xlpm.val="unpaid"), "Unpaid",
    OR(_xlpm.val="partial", _xlpm.val="partial paid"), "Partial",
    _xlpm.val="", "",
    TRUE, 'Sales_RAW(BEFORE)'!AY115
  )
)</f>
        <v>Unpaid</v>
      </c>
      <c r="AB112" s="3" t="s">
        <v>2131</v>
      </c>
      <c r="AC112" s="3" t="str">
        <f>PROPER('Sales_RAW(BEFORE)'!AA115)</f>
        <v>Store</v>
      </c>
      <c r="AD112" s="3" t="str">
        <f>SUBSTITUTE(SUBSTITUTE(SUBSTITUTE(SUBSTITUTE('Sales_RAW(BEFORE)'!AB115,"st",""),"q",""),"Q",""),"uarter","")</f>
        <v>4</v>
      </c>
      <c r="AE112" s="3" t="str">
        <f>TEXT(IFERROR(DATEVALUE('Sales_RAW(BEFORE)'!AC115 &amp; " 1"), IFERROR(DATE(2025, 'Sales_RAW(BEFORE)'!AC115, 1), 'Sales_RAW(BEFORE)'!AC115)), "mmmm")</f>
        <v>June</v>
      </c>
      <c r="AF112" s="3">
        <f>_xlfn.LET(
  _xlpm.raw, TRIM(SUBSTITUTE('Sales_RAW(BEFORE)'!AD115, "'", "")),
  _xlpm.num, IFERROR(VALUE(_xlpm.raw), 0),
  IF(_xlpm.num &lt; 100, 2000 + _xlpm.num, _xlpm.num)
)</f>
        <v>2025</v>
      </c>
      <c r="AG112" s="3" t="str">
        <f>PROPER('Sales_RAW(BEFORE)'!AE115)</f>
        <v>Net 30</v>
      </c>
      <c r="AH112" s="3" cm="1">
        <f t="array" ref="AH112">_xlfn.LET(
  _xlpm.val, LOWER(TRIM('Sales_RAW(BEFORE)'!AF115)),
  _xlfn.IFS(
    OR(_xlpm.val="", _xlpm.val="null", _xlpm.val="N/A", _xlpm.val="-", _xlpm.val="#N/A"), 0,
    ISNUMBER('Sales_RAW(BEFORE)'!AF115), 'Sales_RAW(BEFORE)'!AF115,
    TRUE, IFERROR(_xlfn.NUMBERVALUE(_xlpm.val), 0)
  )
)</f>
        <v>70</v>
      </c>
      <c r="AI112" s="5">
        <f>IF(IFERROR(VALUE(SUBSTITUTE(SUBSTITUTE(TRIM('Sales_RAW(BEFORE)'!AG115), "%", ""), ",", ".")), 0) &gt; 1, IFERROR(VALUE(SUBSTITUTE(SUBSTITUTE(TRIM('Sales_RAW(BEFORE)'!AG115), "%", ""), ",", ".")), 0) / 100, IFERROR(VALUE(SUBSTITUTE(SUBSTITUTE(TRIM('Sales_RAW(BEFORE)'!AG115), "%", ""), ",", ".")), 0))</f>
        <v>0.08</v>
      </c>
      <c r="AJ112" s="6">
        <f t="shared" si="6"/>
        <v>30.736069114470837</v>
      </c>
      <c r="AK112" s="6">
        <f t="shared" si="7"/>
        <v>414.93693304535634</v>
      </c>
      <c r="AL112" s="6">
        <f>IFERROR(VALUE(SUBSTITUTE(SUBSTITUTE(SUBSTITUTE('Sales_RAW(BEFORE)'!AJ115,"$",""),"USD",""),",",".")),0)</f>
        <v>18.84</v>
      </c>
      <c r="AM112" s="3" t="str">
        <f>SUBSTITUTE(SUBSTITUTE(PROPER('Sales_RAW(BEFORE)'!AK115), "Fed Ex", "FedEx"),"Fedex","FedEx")</f>
        <v>Usps</v>
      </c>
      <c r="AN112" s="3" t="s">
        <v>2132</v>
      </c>
      <c r="AO112" s="3" t="str">
        <f>SUBSTITUTE('Sales_RAW(BEFORE)'!AM115,"kg","")</f>
        <v xml:space="preserve">21.8 </v>
      </c>
      <c r="AP112" s="3" t="str">
        <f>_xlfn.LET(
  _xlpm.raw, UPPER(TRIM('Sales_RAW(BEFORE)'!AN115)),
  _xlpm.clean, RIGHT(_xlpm.raw, 1),
  IF(OR(_xlpm.raw="", _xlpm.raw="null"), "N/A", _xlpm.clean)
)</f>
        <v>B</v>
      </c>
      <c r="AQ112" s="3">
        <v>81</v>
      </c>
      <c r="AR112" s="3" cm="1">
        <f t="array" ref="AR112">_xlfn.LET(
  _xlpm.raw, LOWER(TRIM('Sales_RAW(BEFORE)'!AP115)),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112" s="3"/>
      <c r="AT112" s="3"/>
      <c r="AU112" s="3"/>
      <c r="AV112" s="8">
        <f>IF(IFERROR(VALUE(SUBSTITUTE(SUBSTITUTE(TRIM('Sales_RAW(BEFORE)'!AT115), "%", ""), ",", ".")), 0) &gt; 1, IFERROR(VALUE(SUBSTITUTE(SUBSTITUTE(TRIM('Sales_RAW(BEFORE)'!AT115), "%", ""), ",", ".")), 0) / 100, IFERROR(VALUE(SUBSTITUTE(SUBSTITUTE(TRIM('Sales_RAW(BEFORE)'!AT115), "%", ""), ",", ".")), 0))</f>
        <v>0</v>
      </c>
      <c r="AW112" s="6">
        <f>BA112*(_xlfn.XLOOKUP(N112,Employees!$A$2:$A$26,Employees!$E$2:$E$26,2))</f>
        <v>6.6389909287257023</v>
      </c>
      <c r="AX112" s="3" t="str">
        <f>PROPER('Sales_RAW(BEFORE)'!AV115)</f>
        <v xml:space="preserve">   John Smith</v>
      </c>
      <c r="AY112" s="3" t="str">
        <f t="shared" si="8"/>
        <v xml:space="preserve">   John Smith</v>
      </c>
      <c r="AZ112" s="3"/>
      <c r="BA112" s="24">
        <f>AK112*(1-(_xlfn.XLOOKUP(G112, Exchange_Rates!$B$8:$F$8, Exchange_Rates!$B$9:$F$9, 0)+J112))</f>
        <v>331.94954643628512</v>
      </c>
      <c r="BB112" s="7" cm="1">
        <f t="array" ref="BB112">_xlfn.LET(
  _xlpm.raw_dt, SUBSTITUTE(TRIM(C112), ".", "/"),
  _xlpm.dt, IFERROR(DATEVALUE(_xlpm.raw_dt), C112),
  _xlpm.p_code, TRIM(E112),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46206</v>
      </c>
      <c r="BC112" s="25">
        <f t="shared" si="9"/>
        <v>0</v>
      </c>
    </row>
    <row r="113" spans="1:55" ht="15.75" thickBot="1" x14ac:dyDescent="0.3">
      <c r="A113" s="3" t="s">
        <v>2135</v>
      </c>
      <c r="B113" s="10">
        <v>46186</v>
      </c>
      <c r="C113" s="4">
        <v>46190</v>
      </c>
      <c r="D113" s="3" t="str">
        <f>"P-" &amp; TEXT(VALUE(SUBSTITUTE(SUBSTITUTE(SUBSTITUTE(UPPER(TRIM('Sales_RAW(BEFORE)'!D116)), "P", ""), "-", ""), "_", "")),"000")</f>
        <v>P-060</v>
      </c>
      <c r="E113" s="3" t="str">
        <f>VLOOKUP(D113,Product_List!$A$2:$B$61,2,FALSE)</f>
        <v>Desk Basic 60</v>
      </c>
      <c r="F113" s="3" t="str">
        <f>_xlfn.XLOOKUP(E113,Product_List!$B$2:$B$61,Product_List!$E$2:$E$61,2)</f>
        <v>Global Distrib</v>
      </c>
      <c r="G113" s="3" t="str">
        <f>VLOOKUP(E113,Product_List!$B$2:$C$61,2,FALSE)</f>
        <v>Electronics</v>
      </c>
      <c r="H113" s="3" t="str">
        <f>SUBSTITUTE(SUBSTITUTE('Sales_RAW(BEFORE)'!G116,"kom",""),".","")</f>
        <v>32</v>
      </c>
      <c r="I113" s="6">
        <f>VLOOKUP(E113,Product_List!$B$2:$D$61,3,FALSE)</f>
        <v>334.59</v>
      </c>
      <c r="J113" s="5">
        <f>IF(IFERROR(VALUE(SUBSTITUTE(SUBSTITUTE(TRIM('Sales_RAW(BEFORE)'!I116), "%", ""), ",", ".")), 0) &gt; 1, IFERROR(VALUE(SUBSTITUTE(SUBSTITUTE(TRIM('Sales_RAW(BEFORE)'!I116), "%", ""), ",", ".")), 0) / 100, IFERROR(VALUE(SUBSTITUTE(SUBSTITUTE(TRIM('Sales_RAW(BEFORE)'!I116), "%", ""), ",", ".")), 0))</f>
        <v>0.1</v>
      </c>
      <c r="K113" s="6">
        <f>(H113*I113)/(HLOOKUP(AE113,Exchange_Rates!$B$1:$M$2,2,FALSE))</f>
        <v>11562.505399568034</v>
      </c>
      <c r="L113" s="6" t="str" cm="1">
        <f t="array" ref="L113">_xlfn.LET(
  _xlpm.valuta, UPPER(TRIM('Sales_RAW(BEFORE)'!K116)),
  _xlfn.IFS(
    _xlpm.valuta = "", "",
    OR(_xlpm.valuta = "USD", _xlpm.valuta = "$"), "$",
    OR(_xlpm.valuta = "EUR", _xlpm.valuta = "€"), "€",
    TRUE, _xlpm.valuta
  )
)</f>
        <v>€</v>
      </c>
      <c r="M113" s="3" t="str">
        <f>"E" &amp; TEXT(VALUE(SUBSTITUTE(SUBSTITUTE(SUBSTITUTE(UPPER(TRIM('Sales_RAW(BEFORE)'!L116)), "EMP", ""), "E", ""), "-", "")),"000")</f>
        <v>E021</v>
      </c>
      <c r="N113" s="3" t="str">
        <f>_xlfn.XLOOKUP(M113,Employees!$D$2:$D$26,Employees!$A$2:$A$26)</f>
        <v>Chris Williams</v>
      </c>
      <c r="O113" s="3" t="str">
        <f>_xlfn.XLOOKUP(N113,Employees!$A$2:$A$26,Employees!$C$2:$C$26,2)</f>
        <v>Sales</v>
      </c>
      <c r="P113" s="3" t="str">
        <f>PROPER('Sales_RAW(BEFORE)'!N116)</f>
        <v>West</v>
      </c>
      <c r="Q113" s="3" t="str">
        <f>VLOOKUP(N113,Employees!$A$2:$B$26,2,FALSE)</f>
        <v>Boston</v>
      </c>
      <c r="R113" s="3" t="str">
        <f>PROPER('Sales_RAW(BEFORE)'!P116)</f>
        <v>Stark Llc</v>
      </c>
      <c r="S113" s="3" t="str">
        <f>SUBSTITUTE(SUBSTITUTE('Sales_RAW(BEFORE)'!Q116,"EIN",""),":","")</f>
        <v>243787855</v>
      </c>
      <c r="T113" s="3" t="s">
        <v>99</v>
      </c>
      <c r="U113" s="3" t="s">
        <v>2142</v>
      </c>
      <c r="V113" s="3" t="s">
        <v>2143</v>
      </c>
      <c r="W113" s="3" t="s">
        <v>91</v>
      </c>
      <c r="X113" s="3" t="s">
        <v>173</v>
      </c>
      <c r="Y113" s="3" t="str">
        <f>PROPER('Sales_RAW(BEFORE)'!W116)</f>
        <v>Credit Card</v>
      </c>
      <c r="Z113" s="3" t="str">
        <f>PROPER('Sales_RAW(BEFORE)'!X116)</f>
        <v>Processing</v>
      </c>
      <c r="AA113" s="3" t="str" cm="1">
        <f t="array" ref="AA113">_xlfn.LET(
  _xlpm.val, TRIM(LOWER('Sales_RAW(BEFORE)'!Y116)),
  _xlfn.IFS(
    OR(_xlpm.val="yes", _xlpm.val="paid"), "Paid",
    OR(_xlpm.val="no", _xlpm.val="unpaid"), "Unpaid",
    OR(_xlpm.val="partial", _xlpm.val="partial paid"), "Partial",
    _xlpm.val="", "",
    TRUE, 'Sales_RAW(BEFORE)'!AY116
  )
)</f>
        <v>Partial</v>
      </c>
      <c r="AB113" s="3" t="s">
        <v>2144</v>
      </c>
      <c r="AC113" s="3" t="str">
        <f>PROPER('Sales_RAW(BEFORE)'!AA116)</f>
        <v>Online</v>
      </c>
      <c r="AD113" s="3" t="str">
        <f>SUBSTITUTE(SUBSTITUTE(SUBSTITUTE(SUBSTITUTE('Sales_RAW(BEFORE)'!AB116,"st",""),"q",""),"Q",""),"uarter","")</f>
        <v>1</v>
      </c>
      <c r="AE113" s="3" t="str">
        <f>TEXT(IFERROR(DATEVALUE('Sales_RAW(BEFORE)'!AC116 &amp; " 1"), IFERROR(DATE(2025, 'Sales_RAW(BEFORE)'!AC116, 1), 'Sales_RAW(BEFORE)'!AC116)), "mmmm")</f>
        <v>June</v>
      </c>
      <c r="AF113" s="3">
        <f>_xlfn.LET(
  _xlpm.raw, TRIM(SUBSTITUTE('Sales_RAW(BEFORE)'!AD116, "'", "")),
  _xlpm.num, IFERROR(VALUE(_xlpm.raw), 0),
  IF(_xlpm.num &lt; 100, 2000 + _xlpm.num, _xlpm.num)
)</f>
        <v>2026</v>
      </c>
      <c r="AG113" s="3" t="str">
        <f>PROPER('Sales_RAW(BEFORE)'!AE116)</f>
        <v>Net 30</v>
      </c>
      <c r="AH113" s="3" cm="1">
        <f t="array" ref="AH113">_xlfn.LET(
  _xlpm.val, LOWER(TRIM('Sales_RAW(BEFORE)'!AF116)),
  _xlfn.IFS(
    OR(_xlpm.val="", _xlpm.val="null", _xlpm.val="N/A", _xlpm.val="-", _xlpm.val="#N/A"), 0,
    ISNUMBER('Sales_RAW(BEFORE)'!AF116), 'Sales_RAW(BEFORE)'!AF116,
    TRUE, IFERROR(_xlfn.NUMBERVALUE(_xlpm.val), 0)
  )
)</f>
        <v>81</v>
      </c>
      <c r="AI113" s="5">
        <f>IF(IFERROR(VALUE(SUBSTITUTE(SUBSTITUTE(TRIM('Sales_RAW(BEFORE)'!AG116), "%", ""), ",", ".")), 0) &gt; 1, IFERROR(VALUE(SUBSTITUTE(SUBSTITUTE(TRIM('Sales_RAW(BEFORE)'!AG116), "%", ""), ",", ".")), 0) / 100, IFERROR(VALUE(SUBSTITUTE(SUBSTITUTE(TRIM('Sales_RAW(BEFORE)'!AG116), "%", ""), ",", ".")), 0))</f>
        <v>0.08</v>
      </c>
      <c r="AJ113" s="6">
        <f t="shared" si="6"/>
        <v>925.00043196544266</v>
      </c>
      <c r="AK113" s="6">
        <f t="shared" si="7"/>
        <v>12487.505831533475</v>
      </c>
      <c r="AL113" s="6">
        <f>IFERROR(VALUE(SUBSTITUTE(SUBSTITUTE(SUBSTITUTE('Sales_RAW(BEFORE)'!AJ116,"$",""),"USD",""),",",".")),0)</f>
        <v>26.34</v>
      </c>
      <c r="AM113" s="3" t="str">
        <f>SUBSTITUTE(SUBSTITUTE(PROPER('Sales_RAW(BEFORE)'!AK116), "Fed Ex", "FedEx"),"Fedex","FedEx")</f>
        <v>FedEx</v>
      </c>
      <c r="AN113" s="3" t="s">
        <v>2146</v>
      </c>
      <c r="AO113" s="3" t="str">
        <f>SUBSTITUTE('Sales_RAW(BEFORE)'!AM116,"kg","")</f>
        <v xml:space="preserve">28.1 </v>
      </c>
      <c r="AP113" s="3" t="str">
        <f>_xlfn.LET(
  _xlpm.raw, UPPER(TRIM('Sales_RAW(BEFORE)'!AN116)),
  _xlpm.clean, RIGHT(_xlpm.raw, 1),
  IF(OR(_xlpm.raw="", _xlpm.raw="null"), "N/A", _xlpm.clean)
)</f>
        <v>B</v>
      </c>
      <c r="AQ113" s="3">
        <v>376</v>
      </c>
      <c r="AR113" s="3" cm="1">
        <f t="array" ref="AR113">_xlfn.LET(
  _xlpm.raw, LOWER(TRIM('Sales_RAW(BEFORE)'!AP116)),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113" s="3"/>
      <c r="AT113" s="3"/>
      <c r="AU113" s="3"/>
      <c r="AV113" s="8">
        <f>IF(IFERROR(VALUE(SUBSTITUTE(SUBSTITUTE(TRIM('Sales_RAW(BEFORE)'!AT116), "%", ""), ",", ".")), 0) &gt; 1, IFERROR(VALUE(SUBSTITUTE(SUBSTITUTE(TRIM('Sales_RAW(BEFORE)'!AT116), "%", ""), ",", ".")), 0) / 100, IFERROR(VALUE(SUBSTITUTE(SUBSTITUTE(TRIM('Sales_RAW(BEFORE)'!AT116), "%", ""), ",", ".")), 0))</f>
        <v>0.25</v>
      </c>
      <c r="AW113" s="6">
        <f>BA113*(_xlfn.XLOOKUP(N113,Employees!$A$2:$A$26,Employees!$E$2:$E$26,2))</f>
        <v>299.70013995680341</v>
      </c>
      <c r="AX113" s="3" t="str">
        <f>PROPER('Sales_RAW(BEFORE)'!AV116)</f>
        <v>John Brown</v>
      </c>
      <c r="AY113" s="3" t="str">
        <f t="shared" si="8"/>
        <v>John Brown</v>
      </c>
      <c r="AZ113" s="3"/>
      <c r="BA113" s="24">
        <f>AK113*(1-(_xlfn.XLOOKUP(G113, Exchange_Rates!$B$8:$F$8, Exchange_Rates!$B$9:$F$9, 0)+J113))</f>
        <v>9990.0046652267811</v>
      </c>
      <c r="BB113" s="7" cm="1">
        <f t="array" ref="BB113">_xlfn.LET(
  _xlpm.raw_dt, SUBSTITUTE(TRIM(C113), ".", "/"),
  _xlpm.dt, IFERROR(DATEVALUE(_xlpm.raw_dt), C113),
  _xlpm.p_code, TRIM(E113),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47286</v>
      </c>
      <c r="BC113" s="25">
        <f t="shared" si="9"/>
        <v>2497.5011663066953</v>
      </c>
    </row>
    <row r="114" spans="1:55" ht="15.75" thickBot="1" x14ac:dyDescent="0.3">
      <c r="A114" s="3" t="s">
        <v>2149</v>
      </c>
      <c r="B114" s="10">
        <v>45854</v>
      </c>
      <c r="C114" s="4">
        <v>45866</v>
      </c>
      <c r="D114" s="3" t="str">
        <f>"P-" &amp; TEXT(VALUE(SUBSTITUTE(SUBSTITUTE(SUBSTITUTE(UPPER(TRIM('Sales_RAW(BEFORE)'!D117)), "P", ""), "-", ""), "_", "")),"000")</f>
        <v>P-034</v>
      </c>
      <c r="E114" s="3" t="str">
        <f>VLOOKUP(D114,Product_List!$A$2:$B$61,2,FALSE)</f>
        <v>Mouse X 34</v>
      </c>
      <c r="F114" s="3" t="str">
        <f>_xlfn.XLOOKUP(E114,Product_List!$B$2:$B$61,Product_List!$E$2:$E$61,2)</f>
        <v>Global Distrib</v>
      </c>
      <c r="G114" s="3" t="str">
        <f>VLOOKUP(E114,Product_List!$B$2:$C$61,2,FALSE)</f>
        <v>Office</v>
      </c>
      <c r="H114" s="3" t="str">
        <f>SUBSTITUTE(SUBSTITUTE('Sales_RAW(BEFORE)'!G117,"kom",""),".","")</f>
        <v xml:space="preserve">13 </v>
      </c>
      <c r="I114" s="6">
        <f>VLOOKUP(E114,Product_List!$B$2:$D$61,3,FALSE)</f>
        <v>23.03</v>
      </c>
      <c r="J114" s="5">
        <f>IF(IFERROR(VALUE(SUBSTITUTE(SUBSTITUTE(TRIM('Sales_RAW(BEFORE)'!I117), "%", ""), ",", ".")), 0) &gt; 1, IFERROR(VALUE(SUBSTITUTE(SUBSTITUTE(TRIM('Sales_RAW(BEFORE)'!I117), "%", ""), ",", ".")), 0) / 100, IFERROR(VALUE(SUBSTITUTE(SUBSTITUTE(TRIM('Sales_RAW(BEFORE)'!I117), "%", ""), ",", ".")), 0))</f>
        <v>0.1</v>
      </c>
      <c r="K114" s="6">
        <f>(H114*I114)/(HLOOKUP(AE114,Exchange_Rates!$B$1:$M$2,2,FALSE))</f>
        <v>320.54603854389717</v>
      </c>
      <c r="L114" s="6" t="str" cm="1">
        <f t="array" ref="L114">_xlfn.LET(
  _xlpm.valuta, UPPER(TRIM('Sales_RAW(BEFORE)'!K117)),
  _xlfn.IFS(
    _xlpm.valuta = "", "",
    OR(_xlpm.valuta = "USD", _xlpm.valuta = "$"), "$",
    OR(_xlpm.valuta = "EUR", _xlpm.valuta = "€"), "€",
    TRUE, _xlpm.valuta
  )
)</f>
        <v>€</v>
      </c>
      <c r="M114" s="3" t="str">
        <f>"E" &amp; TEXT(VALUE(SUBSTITUTE(SUBSTITUTE(SUBSTITUTE(UPPER(TRIM('Sales_RAW(BEFORE)'!L117)), "EMP", ""), "E", ""), "-", "")),"000")</f>
        <v>E004</v>
      </c>
      <c r="N114" s="3" t="str">
        <f>_xlfn.XLOOKUP(M114,Employees!$D$2:$D$26,Employees!$A$2:$A$26)</f>
        <v>Sophia Johnson</v>
      </c>
      <c r="O114" s="3" t="str">
        <f>_xlfn.XLOOKUP(N114,Employees!$A$2:$A$26,Employees!$C$2:$C$26,2)</f>
        <v>Wholesale</v>
      </c>
      <c r="P114" s="3" t="str">
        <f>PROPER('Sales_RAW(BEFORE)'!N117)</f>
        <v>West</v>
      </c>
      <c r="Q114" s="3" t="str">
        <f>VLOOKUP(N114,Employees!$A$2:$B$26,2,FALSE)</f>
        <v>Houston</v>
      </c>
      <c r="R114" s="3" t="str">
        <f>PROPER('Sales_RAW(BEFORE)'!P117)</f>
        <v>Acme Ltd.</v>
      </c>
      <c r="S114" s="3" t="str">
        <f>SUBSTITUTE(SUBSTITUTE('Sales_RAW(BEFORE)'!Q117,"EIN",""),":","")</f>
        <v>112539996</v>
      </c>
      <c r="T114" s="3" t="s">
        <v>1271</v>
      </c>
      <c r="U114" s="3" t="s">
        <v>2157</v>
      </c>
      <c r="V114" s="3" t="s">
        <v>2158</v>
      </c>
      <c r="W114" s="3" t="s">
        <v>2159</v>
      </c>
      <c r="X114" s="3" t="s">
        <v>173</v>
      </c>
      <c r="Y114" s="3" t="str">
        <f>PROPER('Sales_RAW(BEFORE)'!W117)</f>
        <v>Credit Card</v>
      </c>
      <c r="Z114" s="3" t="str">
        <f>PROPER('Sales_RAW(BEFORE)'!X117)</f>
        <v>Delivered</v>
      </c>
      <c r="AA114" s="3" t="str" cm="1">
        <f t="array" ref="AA114">_xlfn.LET(
  _xlpm.val, TRIM(LOWER('Sales_RAW(BEFORE)'!Y117)),
  _xlfn.IFS(
    OR(_xlpm.val="yes", _xlpm.val="paid"), "Paid",
    OR(_xlpm.val="no", _xlpm.val="unpaid"), "Unpaid",
    OR(_xlpm.val="partial", _xlpm.val="partial paid"), "Partial",
    _xlpm.val="", "",
    TRUE, 'Sales_RAW(BEFORE)'!AY117
  )
)</f>
        <v>Partial</v>
      </c>
      <c r="AB114" s="3" t="s">
        <v>2160</v>
      </c>
      <c r="AC114" s="3" t="str">
        <f>PROPER('Sales_RAW(BEFORE)'!AA117)</f>
        <v>Online</v>
      </c>
      <c r="AD114" s="3" t="str">
        <f>SUBSTITUTE(SUBSTITUTE(SUBSTITUTE(SUBSTITUTE('Sales_RAW(BEFORE)'!AB117,"st",""),"q",""),"Q",""),"uarter","")</f>
        <v>1</v>
      </c>
      <c r="AE114" s="3" t="str">
        <f>TEXT(IFERROR(DATEVALUE('Sales_RAW(BEFORE)'!AC117 &amp; " 1"), IFERROR(DATE(2025, 'Sales_RAW(BEFORE)'!AC117, 1), 'Sales_RAW(BEFORE)'!AC117)), "mmmm")</f>
        <v>July</v>
      </c>
      <c r="AF114" s="3">
        <f>_xlfn.LET(
  _xlpm.raw, TRIM(SUBSTITUTE('Sales_RAW(BEFORE)'!AD117, "'", "")),
  _xlpm.num, IFERROR(VALUE(_xlpm.raw), 0),
  IF(_xlpm.num &lt; 100, 2000 + _xlpm.num, _xlpm.num)
)</f>
        <v>2025</v>
      </c>
      <c r="AG114" s="3" t="str">
        <f>PROPER('Sales_RAW(BEFORE)'!AE117)</f>
        <v>Net 60</v>
      </c>
      <c r="AH114" s="3" cm="1">
        <f t="array" ref="AH114">_xlfn.LET(
  _xlpm.val, LOWER(TRIM('Sales_RAW(BEFORE)'!AF117)),
  _xlfn.IFS(
    OR(_xlpm.val="", _xlpm.val="null", _xlpm.val="N/A", _xlpm.val="-", _xlpm.val="#N/A"), 0,
    ISNUMBER('Sales_RAW(BEFORE)'!AF117), 'Sales_RAW(BEFORE)'!AF117,
    TRUE, IFERROR(_xlfn.NUMBERVALUE(_xlpm.val), 0)
  )
)</f>
        <v>0</v>
      </c>
      <c r="AI114" s="5">
        <f>IF(IFERROR(VALUE(SUBSTITUTE(SUBSTITUTE(TRIM('Sales_RAW(BEFORE)'!AG117), "%", ""), ",", ".")), 0) &gt; 1, IFERROR(VALUE(SUBSTITUTE(SUBSTITUTE(TRIM('Sales_RAW(BEFORE)'!AG117), "%", ""), ",", ".")), 0) / 100, IFERROR(VALUE(SUBSTITUTE(SUBSTITUTE(TRIM('Sales_RAW(BEFORE)'!AG117), "%", ""), ",", ".")), 0))</f>
        <v>0.08</v>
      </c>
      <c r="AJ114" s="6">
        <f t="shared" si="6"/>
        <v>25.643683083511775</v>
      </c>
      <c r="AK114" s="6">
        <f t="shared" si="7"/>
        <v>346.18972162740897</v>
      </c>
      <c r="AL114" s="6">
        <f>IFERROR(VALUE(SUBSTITUTE(SUBSTITUTE(SUBSTITUTE('Sales_RAW(BEFORE)'!AJ117,"$",""),"USD",""),",",".")),0)</f>
        <v>26.16</v>
      </c>
      <c r="AM114" s="3" t="str">
        <f>SUBSTITUTE(SUBSTITUTE(PROPER('Sales_RAW(BEFORE)'!AK117), "Fed Ex", "FedEx"),"Fedex","FedEx")</f>
        <v>Ups</v>
      </c>
      <c r="AN114" s="3" t="s">
        <v>2162</v>
      </c>
      <c r="AO114" s="3" t="str">
        <f>SUBSTITUTE('Sales_RAW(BEFORE)'!AM117,"kg","")</f>
        <v xml:space="preserve">6.6 </v>
      </c>
      <c r="AP114" s="3" t="str">
        <f>_xlfn.LET(
  _xlpm.raw, UPPER(TRIM('Sales_RAW(BEFORE)'!AN117)),
  _xlpm.clean, RIGHT(_xlpm.raw, 1),
  IF(OR(_xlpm.raw="", _xlpm.raw="null"), "N/A", _xlpm.clean)
)</f>
        <v>B</v>
      </c>
      <c r="AQ114" s="3">
        <v>484</v>
      </c>
      <c r="AR114" s="3" t="str" cm="1">
        <f t="array" ref="AR114">_xlfn.LET(
  _xlpm.raw, LOWER(TRIM('Sales_RAW(BEFORE)'!AP117)),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114" s="3"/>
      <c r="AT114" s="3"/>
      <c r="AU114" s="3"/>
      <c r="AV114" s="8">
        <f>IF(IFERROR(VALUE(SUBSTITUTE(SUBSTITUTE(TRIM('Sales_RAW(BEFORE)'!AT117), "%", ""), ",", ".")), 0) &gt; 1, IFERROR(VALUE(SUBSTITUTE(SUBSTITUTE(TRIM('Sales_RAW(BEFORE)'!AT117), "%", ""), ",", ".")), 0) / 100, IFERROR(VALUE(SUBSTITUTE(SUBSTITUTE(TRIM('Sales_RAW(BEFORE)'!AT117), "%", ""), ",", ".")), 0))</f>
        <v>0.25</v>
      </c>
      <c r="AW114" s="6">
        <f>BA114*(_xlfn.XLOOKUP(N114,Employees!$A$2:$A$26,Employees!$E$2:$E$26,2))</f>
        <v>13.847588865096359</v>
      </c>
      <c r="AX114" s="3" t="str">
        <f>PROPER('Sales_RAW(BEFORE)'!AV117)</f>
        <v>James Smith</v>
      </c>
      <c r="AY114" s="3" t="str">
        <f t="shared" si="8"/>
        <v>James Smith</v>
      </c>
      <c r="AZ114" s="3"/>
      <c r="BA114" s="24">
        <f>AK114*(1-(_xlfn.XLOOKUP(G114, Exchange_Rates!$B$8:$F$8, Exchange_Rates!$B$9:$F$9, 0)+J114))</f>
        <v>276.95177730192717</v>
      </c>
      <c r="BB114" s="7" cm="1">
        <f t="array" ref="BB114">_xlfn.LET(
  _xlpm.raw_dt, SUBSTITUTE(TRIM(C114), ".", "/"),
  _xlpm.dt, IFERROR(DATEVALUE(_xlpm.raw_dt), C114),
  _xlpm.p_code, TRIM(E114),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46596</v>
      </c>
      <c r="BC114" s="25">
        <f t="shared" si="9"/>
        <v>69.237944325481791</v>
      </c>
    </row>
    <row r="115" spans="1:55" ht="15.75" thickBot="1" x14ac:dyDescent="0.3">
      <c r="A115" s="3" t="s">
        <v>1302</v>
      </c>
      <c r="B115" s="10">
        <v>46117</v>
      </c>
      <c r="C115" s="4">
        <f>DATE(2026,4,12)</f>
        <v>46124</v>
      </c>
      <c r="D115" s="3" t="str">
        <f>"P-" &amp; TEXT(VALUE(SUBSTITUTE(SUBSTITUTE(SUBSTITUTE(UPPER(TRIM('Sales_RAW(BEFORE)'!D118)), "P", ""), "-", ""), "_", "")),"000")</f>
        <v>P-046</v>
      </c>
      <c r="E115" s="3" t="str">
        <f>VLOOKUP(D115,Product_List!$A$2:$B$61,2,FALSE)</f>
        <v>Chair Basic 46</v>
      </c>
      <c r="F115" s="3" t="str">
        <f>_xlfn.XLOOKUP(E115,Product_List!$B$2:$B$61,Product_List!$E$2:$E$61,2)</f>
        <v>Global Distrib</v>
      </c>
      <c r="G115" s="3" t="str">
        <f>VLOOKUP(E115,Product_List!$B$2:$C$61,2,FALSE)</f>
        <v>Equipment</v>
      </c>
      <c r="H115" s="3" t="str">
        <f>SUBSTITUTE(SUBSTITUTE('Sales_RAW(BEFORE)'!G118,"kom",""),".","")</f>
        <v xml:space="preserve">16 </v>
      </c>
      <c r="I115" s="6">
        <f>VLOOKUP(E115,Product_List!$B$2:$D$61,3,FALSE)</f>
        <v>549.41999999999996</v>
      </c>
      <c r="J115" s="5">
        <f>IF(IFERROR(VALUE(SUBSTITUTE(SUBSTITUTE(TRIM('Sales_RAW(BEFORE)'!I118), "%", ""), ",", ".")), 0) &gt; 1, IFERROR(VALUE(SUBSTITUTE(SUBSTITUTE(TRIM('Sales_RAW(BEFORE)'!I118), "%", ""), ",", ".")), 0) / 100, IFERROR(VALUE(SUBSTITUTE(SUBSTITUTE(TRIM('Sales_RAW(BEFORE)'!I118), "%", ""), ",", ".")), 0))</f>
        <v>0.05</v>
      </c>
      <c r="K115" s="6">
        <f t="shared" si="5"/>
        <v>8790.7199999999993</v>
      </c>
      <c r="L115" s="6" t="str" cm="1">
        <f t="array" ref="L115">_xlfn.LET(
  _xlpm.valuta, UPPER(TRIM('Sales_RAW(BEFORE)'!K118)),
  _xlfn.IFS(
    _xlpm.valuta = "", "",
    OR(_xlpm.valuta = "USD", _xlpm.valuta = "$"), "$",
    OR(_xlpm.valuta = "EUR", _xlpm.valuta = "€"), "€",
    TRUE, _xlpm.valuta
  )
)</f>
        <v>$</v>
      </c>
      <c r="M115" s="3" t="str">
        <f>"E" &amp; TEXT(VALUE(SUBSTITUTE(SUBSTITUTE(SUBSTITUTE(UPPER(TRIM('Sales_RAW(BEFORE)'!L118)), "EMP", ""), "E", ""), "-", "")),"000")</f>
        <v>E023</v>
      </c>
      <c r="N115" s="3" t="str">
        <f>_xlfn.XLOOKUP(M115,Employees!$D$2:$D$26,Employees!$A$2:$A$26)</f>
        <v>Laura Anderson</v>
      </c>
      <c r="O115" s="3" t="str">
        <f>_xlfn.XLOOKUP(N115,Employees!$A$2:$A$26,Employees!$C$2:$C$26,2)</f>
        <v>Sales</v>
      </c>
      <c r="P115" s="3" t="str">
        <f>PROPER('Sales_RAW(BEFORE)'!N118)</f>
        <v>North</v>
      </c>
      <c r="Q115" s="3" t="str">
        <f>VLOOKUP(N115,Employees!$A$2:$B$26,2,FALSE)</f>
        <v>Seattle</v>
      </c>
      <c r="R115" s="3" t="str">
        <f>PROPER('Sales_RAW(BEFORE)'!P118)</f>
        <v>Initech Inc</v>
      </c>
      <c r="S115" s="3" t="str">
        <f>SUBSTITUTE(SUBSTITUTE('Sales_RAW(BEFORE)'!Q118,"EIN",""),":","")</f>
        <v>567147611</v>
      </c>
      <c r="T115" s="3" t="s">
        <v>99</v>
      </c>
      <c r="U115" s="3" t="s">
        <v>1309</v>
      </c>
      <c r="V115" s="3" t="s">
        <v>1310</v>
      </c>
      <c r="W115" s="3" t="s">
        <v>1311</v>
      </c>
      <c r="X115" s="3" t="s">
        <v>173</v>
      </c>
      <c r="Y115" s="3" t="str">
        <f>PROPER('Sales_RAW(BEFORE)'!W118)</f>
        <v>Wire</v>
      </c>
      <c r="Z115" s="3" t="str">
        <f>PROPER('Sales_RAW(BEFORE)'!X118)</f>
        <v>Cancelled</v>
      </c>
      <c r="AA115" s="3" t="str" cm="1">
        <f t="array" ref="AA115">_xlfn.LET(
  _xlpm.val, TRIM(LOWER('Sales_RAW(BEFORE)'!Y118)),
  _xlfn.IFS(
    OR(_xlpm.val="yes", _xlpm.val="paid"), "Paid",
    OR(_xlpm.val="no", _xlpm.val="unpaid"), "Unpaid",
    OR(_xlpm.val="partial", _xlpm.val="partial paid"), "Partial",
    _xlpm.val="", "",
    TRUE, 'Sales_RAW(BEFORE)'!AY118
  )
)</f>
        <v>Unpaid</v>
      </c>
      <c r="AB115" s="3" t="s">
        <v>1312</v>
      </c>
      <c r="AC115" s="3" t="str">
        <f>PROPER('Sales_RAW(BEFORE)'!AA118)</f>
        <v>Web</v>
      </c>
      <c r="AD115" s="3" t="str">
        <f>SUBSTITUTE(SUBSTITUTE(SUBSTITUTE(SUBSTITUTE('Sales_RAW(BEFORE)'!AB118,"st",""),"q",""),"Q",""),"uarter","")</f>
        <v xml:space="preserve">1 </v>
      </c>
      <c r="AE115" s="3" t="str">
        <f>TEXT(IFERROR(DATEVALUE('Sales_RAW(BEFORE)'!AC118 &amp; " 1"), IFERROR(DATE(2025, 'Sales_RAW(BEFORE)'!AC118, 1), 'Sales_RAW(BEFORE)'!AC118)), "mmmm")</f>
        <v>April</v>
      </c>
      <c r="AF115" s="3">
        <f>_xlfn.LET(
  _xlpm.raw, TRIM(SUBSTITUTE('Sales_RAW(BEFORE)'!AD118, "'", "")),
  _xlpm.num, IFERROR(VALUE(_xlpm.raw), 0),
  IF(_xlpm.num &lt; 100, 2000 + _xlpm.num, _xlpm.num)
)</f>
        <v>2026</v>
      </c>
      <c r="AG115" s="3" t="str">
        <f>PROPER('Sales_RAW(BEFORE)'!AE118)</f>
        <v>15</v>
      </c>
      <c r="AH115" s="3" cm="1">
        <f t="array" ref="AH115">_xlfn.LET(
  _xlpm.val, LOWER(TRIM('Sales_RAW(BEFORE)'!AF118)),
  _xlfn.IFS(
    OR(_xlpm.val="", _xlpm.val="null", _xlpm.val="N/A", _xlpm.val="-", _xlpm.val="#N/A"), 0,
    ISNUMBER('Sales_RAW(BEFORE)'!AF118), 'Sales_RAW(BEFORE)'!AF118,
    TRUE, IFERROR(_xlfn.NUMBERVALUE(_xlpm.val), 0)
  )
)</f>
        <v>41</v>
      </c>
      <c r="AI115" s="5">
        <f>IF(IFERROR(VALUE(SUBSTITUTE(SUBSTITUTE(TRIM('Sales_RAW(BEFORE)'!AG118), "%", ""), ",", ".")), 0) &gt; 1, IFERROR(VALUE(SUBSTITUTE(SUBSTITUTE(TRIM('Sales_RAW(BEFORE)'!AG118), "%", ""), ",", ".")), 0) / 100, IFERROR(VALUE(SUBSTITUTE(SUBSTITUTE(TRIM('Sales_RAW(BEFORE)'!AG118), "%", ""), ",", ".")), 0))</f>
        <v>0.08</v>
      </c>
      <c r="AJ115" s="6">
        <f t="shared" si="6"/>
        <v>703.25759999999991</v>
      </c>
      <c r="AK115" s="6">
        <f t="shared" si="7"/>
        <v>9493.9775999999983</v>
      </c>
      <c r="AL115" s="6">
        <f>IFERROR(VALUE(SUBSTITUTE(SUBSTITUTE(SUBSTITUTE('Sales_RAW(BEFORE)'!AJ118,"$",""),"USD",""),",",".")),0)</f>
        <v>48.82</v>
      </c>
      <c r="AM115" s="3" t="str">
        <f>SUBSTITUTE(SUBSTITUTE(PROPER('Sales_RAW(BEFORE)'!AK118), "Fed Ex", "FedEx"),"Fedex","FedEx")</f>
        <v>FedEx</v>
      </c>
      <c r="AN115" s="3" t="s">
        <v>1315</v>
      </c>
      <c r="AO115" s="3" t="str">
        <f>SUBSTITUTE('Sales_RAW(BEFORE)'!AM118,"kg","")</f>
        <v>17,98</v>
      </c>
      <c r="AP115" s="3" t="str">
        <f>_xlfn.LET(
  _xlpm.raw, UPPER(TRIM('Sales_RAW(BEFORE)'!AN118)),
  _xlpm.clean, RIGHT(_xlpm.raw, 1),
  IF(OR(_xlpm.raw="", _xlpm.raw="null"), "N/A", _xlpm.clean)
)</f>
        <v>B</v>
      </c>
      <c r="AQ115" s="3">
        <v>284</v>
      </c>
      <c r="AR115" s="3" cm="1">
        <f t="array" ref="AR115">_xlfn.LET(
  _xlpm.raw, LOWER(TRIM('Sales_RAW(BEFORE)'!AP118)),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115" s="3"/>
      <c r="AT115" s="3"/>
      <c r="AU115" s="3"/>
      <c r="AV115" s="8">
        <f>IF(IFERROR(VALUE(SUBSTITUTE(SUBSTITUTE(TRIM('Sales_RAW(BEFORE)'!AT118), "%", ""), ",", ".")), 0) &gt; 1, IFERROR(VALUE(SUBSTITUTE(SUBSTITUTE(TRIM('Sales_RAW(BEFORE)'!AT118), "%", ""), ",", ".")), 0) / 100, IFERROR(VALUE(SUBSTITUTE(SUBSTITUTE(TRIM('Sales_RAW(BEFORE)'!AT118), "%", ""), ",", ".")), 0))</f>
        <v>0.15</v>
      </c>
      <c r="AW115" s="6">
        <f>BA115*(_xlfn.XLOOKUP(N115,Employees!$A$2:$A$26,Employees!$E$2:$E$26,2))</f>
        <v>161.39761919999998</v>
      </c>
      <c r="AX115" s="3" t="str">
        <f>PROPER('Sales_RAW(BEFORE)'!AV118)</f>
        <v>John Anderson</v>
      </c>
      <c r="AY115" s="3" t="str">
        <f t="shared" si="8"/>
        <v>John Anderson</v>
      </c>
      <c r="AZ115" s="3"/>
      <c r="BA115" s="24">
        <f>AK115*(1-(_xlfn.XLOOKUP(G115, Exchange_Rates!$B$8:$F$8, Exchange_Rates!$B$9:$F$9, 0)+J115))</f>
        <v>8069.8809599999986</v>
      </c>
      <c r="BB115" s="7" cm="1">
        <f t="array" ref="BB115">_xlfn.LET(
  _xlpm.raw_dt, SUBSTITUTE(TRIM(C115), ".", "/"),
  _xlpm.dt, IFERROR(DATEVALUE(_xlpm.raw_dt), C115),
  _xlpm.p_code, TRIM(E115),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47220</v>
      </c>
      <c r="BC115" s="25">
        <f t="shared" si="9"/>
        <v>1210.4821439999998</v>
      </c>
    </row>
    <row r="116" spans="1:55" ht="15.75" thickBot="1" x14ac:dyDescent="0.3">
      <c r="A116" s="3" t="s">
        <v>1715</v>
      </c>
      <c r="B116" s="10">
        <v>45674</v>
      </c>
      <c r="C116" s="4" t="s">
        <v>134</v>
      </c>
      <c r="D116" s="3" t="str">
        <f>"P-" &amp; TEXT(VALUE(SUBSTITUTE(SUBSTITUTE(SUBSTITUTE(UPPER(TRIM('Sales_RAW(BEFORE)'!D119)), "P", ""), "-", ""), "_", "")),"000")</f>
        <v>P-014</v>
      </c>
      <c r="E116" s="3" t="str">
        <f>VLOOKUP(D116,Product_List!$A$2:$B$61,2,FALSE)</f>
        <v>License Max 14</v>
      </c>
      <c r="F116" s="3" t="str">
        <f>_xlfn.XLOOKUP(E116,Product_List!$B$2:$B$61,Product_List!$E$2:$E$61,2)</f>
        <v>OfficeHub</v>
      </c>
      <c r="G116" s="3" t="str">
        <f>VLOOKUP(E116,Product_List!$B$2:$C$61,2,FALSE)</f>
        <v>Software</v>
      </c>
      <c r="H116" s="3" t="str">
        <f>SUBSTITUTE(SUBSTITUTE('Sales_RAW(BEFORE)'!G119,"kom",""),".","")</f>
        <v xml:space="preserve">22 </v>
      </c>
      <c r="I116" s="6">
        <f>VLOOKUP(E116,Product_List!$B$2:$D$61,3,FALSE)</f>
        <v>1166.96</v>
      </c>
      <c r="J116" s="5">
        <f>IF(IFERROR(VALUE(SUBSTITUTE(SUBSTITUTE(TRIM('Sales_RAW(BEFORE)'!I119), "%", ""), ",", ".")), 0) &gt; 1, IFERROR(VALUE(SUBSTITUTE(SUBSTITUTE(TRIM('Sales_RAW(BEFORE)'!I119), "%", ""), ",", ".")), 0) / 100, IFERROR(VALUE(SUBSTITUTE(SUBSTITUTE(TRIM('Sales_RAW(BEFORE)'!I119), "%", ""), ",", ".")), 0))</f>
        <v>0.1</v>
      </c>
      <c r="K116" s="6">
        <f t="shared" si="5"/>
        <v>25673.120000000003</v>
      </c>
      <c r="L116" s="6" t="str" cm="1">
        <f t="array" ref="L116">_xlfn.LET(
  _xlpm.valuta, UPPER(TRIM('Sales_RAW(BEFORE)'!K119)),
  _xlfn.IFS(
    _xlpm.valuta = "", "",
    OR(_xlpm.valuta = "USD", _xlpm.valuta = "$"), "$",
    OR(_xlpm.valuta = "EUR", _xlpm.valuta = "€"), "€",
    TRUE, _xlpm.valuta
  )
)</f>
        <v>$</v>
      </c>
      <c r="M116" s="3" t="str">
        <f>"E" &amp; TEXT(VALUE(SUBSTITUTE(SUBSTITUTE(SUBSTITUTE(UPPER(TRIM('Sales_RAW(BEFORE)'!L119)), "EMP", ""), "E", ""), "-", "")),"000")</f>
        <v>E005</v>
      </c>
      <c r="N116" s="3" t="str">
        <f>_xlfn.XLOOKUP(M116,Employees!$D$2:$D$26,Employees!$A$2:$A$26)</f>
        <v>Laura Williams</v>
      </c>
      <c r="O116" s="3" t="str">
        <f>_xlfn.XLOOKUP(N116,Employees!$A$2:$A$26,Employees!$C$2:$C$26,2)</f>
        <v>Online</v>
      </c>
      <c r="P116" s="3" t="str">
        <f>PROPER('Sales_RAW(BEFORE)'!N119)</f>
        <v>West</v>
      </c>
      <c r="Q116" s="3" t="str">
        <f>VLOOKUP(N116,Employees!$A$2:$B$26,2,FALSE)</f>
        <v>Houston</v>
      </c>
      <c r="R116" s="3" t="str">
        <f>PROPER('Sales_RAW(BEFORE)'!P119)</f>
        <v>Globex Inc.</v>
      </c>
      <c r="S116" s="3" t="str">
        <f>SUBSTITUTE(SUBSTITUTE('Sales_RAW(BEFORE)'!Q119,"EIN",""),":","")</f>
        <v>834490030</v>
      </c>
      <c r="T116" s="3" t="s">
        <v>1722</v>
      </c>
      <c r="U116" s="3" t="s">
        <v>1723</v>
      </c>
      <c r="V116" s="3" t="s">
        <v>1724</v>
      </c>
      <c r="W116" s="3" t="s">
        <v>1725</v>
      </c>
      <c r="X116" s="3" t="s">
        <v>173</v>
      </c>
      <c r="Y116" s="3" t="str">
        <f>PROPER('Sales_RAW(BEFORE)'!W119)</f>
        <v>Cash</v>
      </c>
      <c r="Z116" s="3" t="str">
        <f>PROPER('Sales_RAW(BEFORE)'!X119)</f>
        <v>Processing</v>
      </c>
      <c r="AA116" s="3" t="str" cm="1">
        <f t="array" ref="AA116">_xlfn.LET(
  _xlpm.val, TRIM(LOWER('Sales_RAW(BEFORE)'!Y119)),
  _xlfn.IFS(
    OR(_xlpm.val="yes", _xlpm.val="paid"), "Paid",
    OR(_xlpm.val="no", _xlpm.val="unpaid"), "Unpaid",
    OR(_xlpm.val="partial", _xlpm.val="partial paid"), "Partial",
    _xlpm.val="", "",
    TRUE, 'Sales_RAW(BEFORE)'!AY119
  )
)</f>
        <v>Unpaid</v>
      </c>
      <c r="AB116" s="3" t="s">
        <v>1726</v>
      </c>
      <c r="AC116" s="3" t="str">
        <f>PROPER('Sales_RAW(BEFORE)'!AA119)</f>
        <v>Online</v>
      </c>
      <c r="AD116" s="3" t="str">
        <f>SUBSTITUTE(SUBSTITUTE(SUBSTITUTE(SUBSTITUTE('Sales_RAW(BEFORE)'!AB119,"st",""),"q",""),"Q",""),"uarter","")</f>
        <v>1</v>
      </c>
      <c r="AE116" s="3" t="str">
        <f>TEXT(IFERROR(DATEVALUE('Sales_RAW(BEFORE)'!AC119 &amp; " 1"), IFERROR(DATE(2025, 'Sales_RAW(BEFORE)'!AC119, 1), 'Sales_RAW(BEFORE)'!AC119)), "mmmm")</f>
        <v>January</v>
      </c>
      <c r="AF116" s="3">
        <f>_xlfn.LET(
  _xlpm.raw, TRIM(SUBSTITUTE('Sales_RAW(BEFORE)'!AD119, "'", "")),
  _xlpm.num, IFERROR(VALUE(_xlpm.raw), 0),
  IF(_xlpm.num &lt; 100, 2000 + _xlpm.num, _xlpm.num)
)</f>
        <v>2025</v>
      </c>
      <c r="AG116" s="3" t="str">
        <f>PROPER('Sales_RAW(BEFORE)'!AE119)</f>
        <v>Net 60</v>
      </c>
      <c r="AH116" s="3" cm="1">
        <f t="array" ref="AH116">_xlfn.LET(
  _xlpm.val, LOWER(TRIM('Sales_RAW(BEFORE)'!AF119)),
  _xlfn.IFS(
    OR(_xlpm.val="", _xlpm.val="null", _xlpm.val="N/A", _xlpm.val="-", _xlpm.val="#N/A"), 0,
    ISNUMBER('Sales_RAW(BEFORE)'!AF119), 'Sales_RAW(BEFORE)'!AF119,
    TRUE, IFERROR(_xlfn.NUMBERVALUE(_xlpm.val), 0)
  )
)</f>
        <v>14</v>
      </c>
      <c r="AI116" s="5">
        <f>IF(IFERROR(VALUE(SUBSTITUTE(SUBSTITUTE(TRIM('Sales_RAW(BEFORE)'!AG119), "%", ""), ",", ".")), 0) &gt; 1, IFERROR(VALUE(SUBSTITUTE(SUBSTITUTE(TRIM('Sales_RAW(BEFORE)'!AG119), "%", ""), ",", ".")), 0) / 100, IFERROR(VALUE(SUBSTITUTE(SUBSTITUTE(TRIM('Sales_RAW(BEFORE)'!AG119), "%", ""), ",", ".")), 0))</f>
        <v>0.08</v>
      </c>
      <c r="AJ116" s="6">
        <f t="shared" si="6"/>
        <v>2053.8496000000005</v>
      </c>
      <c r="AK116" s="6">
        <f t="shared" si="7"/>
        <v>27726.969600000004</v>
      </c>
      <c r="AL116" s="6">
        <f>IFERROR(VALUE(SUBSTITUTE(SUBSTITUTE(SUBSTITUTE('Sales_RAW(BEFORE)'!AJ119,"$",""),"USD",""),",",".")),0)</f>
        <v>8.75</v>
      </c>
      <c r="AM116" s="3" t="str">
        <f>SUBSTITUTE(SUBSTITUTE(PROPER('Sales_RAW(BEFORE)'!AK119), "Fed Ex", "FedEx"),"Fedex","FedEx")</f>
        <v>FedEx</v>
      </c>
      <c r="AN116" s="3" t="s">
        <v>1728</v>
      </c>
      <c r="AO116" s="3" t="str">
        <f>SUBSTITUTE('Sales_RAW(BEFORE)'!AM119,"kg","")</f>
        <v xml:space="preserve">1.6 </v>
      </c>
      <c r="AP116" s="3" t="str">
        <f>_xlfn.LET(
  _xlpm.raw, UPPER(TRIM('Sales_RAW(BEFORE)'!AN119)),
  _xlpm.clean, RIGHT(_xlpm.raw, 1),
  IF(OR(_xlpm.raw="", _xlpm.raw="null"), "N/A", _xlpm.clean)
)</f>
        <v>B</v>
      </c>
      <c r="AQ116" s="3">
        <v>465</v>
      </c>
      <c r="AR116" s="3" cm="1">
        <f t="array" ref="AR116">_xlfn.LET(
  _xlpm.raw, LOWER(TRIM('Sales_RAW(BEFORE)'!AP119)),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116" s="3"/>
      <c r="AT116" s="3"/>
      <c r="AU116" s="3"/>
      <c r="AV116" s="8">
        <f>IF(IFERROR(VALUE(SUBSTITUTE(SUBSTITUTE(TRIM('Sales_RAW(BEFORE)'!AT119), "%", ""), ",", ".")), 0) &gt; 1, IFERROR(VALUE(SUBSTITUTE(SUBSTITUTE(TRIM('Sales_RAW(BEFORE)'!AT119), "%", ""), ",", ".")), 0) / 100, IFERROR(VALUE(SUBSTITUTE(SUBSTITUTE(TRIM('Sales_RAW(BEFORE)'!AT119), "%", ""), ",", ".")), 0))</f>
        <v>0</v>
      </c>
      <c r="AW116" s="6">
        <f>BA116*(_xlfn.XLOOKUP(N116,Employees!$A$2:$A$26,Employees!$E$2:$E$26,2))</f>
        <v>623.85681599999998</v>
      </c>
      <c r="AX116" s="3" t="str">
        <f>PROPER('Sales_RAW(BEFORE)'!AV119)</f>
        <v>Sarah Miller</v>
      </c>
      <c r="AY116" s="3" t="str">
        <f t="shared" si="8"/>
        <v>Sarah Miller</v>
      </c>
      <c r="AZ116" s="3"/>
      <c r="BA116" s="24">
        <f>AK116*(1-(_xlfn.XLOOKUP(G116, Exchange_Rates!$B$8:$F$8, Exchange_Rates!$B$9:$F$9, 0)+J116))</f>
        <v>20795.227200000001</v>
      </c>
      <c r="BB116" s="7" t="str" cm="1">
        <f t="array" ref="BB116">_xlfn.LET(
  _xlpm.raw_dt, SUBSTITUTE(TRIM(C116), ".", "/"),
  _xlpm.dt, IFERROR(DATEVALUE(_xlpm.raw_dt), C116),
  _xlpm.p_code, TRIM(E116),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Empty</v>
      </c>
      <c r="BC116" s="25">
        <f t="shared" si="9"/>
        <v>0</v>
      </c>
    </row>
    <row r="117" spans="1:55" ht="15.75" thickBot="1" x14ac:dyDescent="0.3">
      <c r="A117" s="3" t="s">
        <v>2163</v>
      </c>
      <c r="B117" s="10">
        <v>45981</v>
      </c>
      <c r="C117" s="4">
        <f>DATE(2025,11,25)</f>
        <v>45986</v>
      </c>
      <c r="D117" s="3" t="str">
        <f>"P-" &amp; TEXT(VALUE(SUBSTITUTE(SUBSTITUTE(SUBSTITUTE(UPPER(TRIM('Sales_RAW(BEFORE)'!D120)), "P", ""), "-", ""), "_", "")),"000")</f>
        <v>P-051</v>
      </c>
      <c r="E117" s="3" t="str">
        <f>VLOOKUP(D117,Product_List!$A$2:$B$61,2,FALSE)</f>
        <v>Cable Basic 51</v>
      </c>
      <c r="F117" s="3" t="str">
        <f>_xlfn.XLOOKUP(E117,Product_List!$B$2:$B$61,Product_List!$E$2:$E$61,2)</f>
        <v>TechSupply Co</v>
      </c>
      <c r="G117" s="3" t="str">
        <f>VLOOKUP(E117,Product_List!$B$2:$C$61,2,FALSE)</f>
        <v>Office</v>
      </c>
      <c r="H117" s="3" t="str">
        <f>SUBSTITUTE(SUBSTITUTE('Sales_RAW(BEFORE)'!G120,"kom",""),".","")</f>
        <v xml:space="preserve">39 </v>
      </c>
      <c r="I117" s="6">
        <f>VLOOKUP(E117,Product_List!$B$2:$D$61,3,FALSE)</f>
        <v>1036.6500000000001</v>
      </c>
      <c r="J117" s="5">
        <f>IF(IFERROR(VALUE(SUBSTITUTE(SUBSTITUTE(TRIM('Sales_RAW(BEFORE)'!I120), "%", ""), ",", ".")), 0) &gt; 1, IFERROR(VALUE(SUBSTITUTE(SUBSTITUTE(TRIM('Sales_RAW(BEFORE)'!I120), "%", ""), ",", ".")), 0) / 100, IFERROR(VALUE(SUBSTITUTE(SUBSTITUTE(TRIM('Sales_RAW(BEFORE)'!I120), "%", ""), ",", ".")), 0))</f>
        <v>0.05</v>
      </c>
      <c r="K117" s="6">
        <f t="shared" si="5"/>
        <v>40429.350000000006</v>
      </c>
      <c r="L117" s="6" t="str" cm="1">
        <f t="array" ref="L117">_xlfn.LET(
  _xlpm.valuta, UPPER(TRIM('Sales_RAW(BEFORE)'!K120)),
  _xlfn.IFS(
    _xlpm.valuta = "", "",
    OR(_xlpm.valuta = "USD", _xlpm.valuta = "$"), "$",
    OR(_xlpm.valuta = "EUR", _xlpm.valuta = "€"), "€",
    TRUE, _xlpm.valuta
  )
)</f>
        <v>$</v>
      </c>
      <c r="M117" s="3" t="str">
        <f>"E" &amp; TEXT(VALUE(SUBSTITUTE(SUBSTITUTE(SUBSTITUTE(UPPER(TRIM('Sales_RAW(BEFORE)'!L120)), "EMP", ""), "E", ""), "-", "")),"000")</f>
        <v>E009</v>
      </c>
      <c r="N117" s="3" t="str">
        <f>_xlfn.XLOOKUP(M117,Employees!$D$2:$D$26,Employees!$A$2:$A$26)</f>
        <v>Olivia Wilson</v>
      </c>
      <c r="O117" s="3" t="str">
        <f>_xlfn.XLOOKUP(N117,Employees!$A$2:$A$26,Employees!$C$2:$C$26,2)</f>
        <v>Wholesale</v>
      </c>
      <c r="P117" s="3" t="str">
        <f>PROPER('Sales_RAW(BEFORE)'!N120)</f>
        <v>North</v>
      </c>
      <c r="Q117" s="3" t="str">
        <f>VLOOKUP(N117,Employees!$A$2:$B$26,2,FALSE)</f>
        <v>Miami</v>
      </c>
      <c r="R117" s="3" t="str">
        <f>PROPER('Sales_RAW(BEFORE)'!P120)</f>
        <v xml:space="preserve">  Acme Inc</v>
      </c>
      <c r="S117" s="3" t="str">
        <f>SUBSTITUTE(SUBSTITUTE('Sales_RAW(BEFORE)'!Q120,"EIN",""),":","")</f>
        <v xml:space="preserve"> 774515756</v>
      </c>
      <c r="T117" s="3" t="s">
        <v>1292</v>
      </c>
      <c r="U117" s="3" t="s">
        <v>2171</v>
      </c>
      <c r="V117" s="3" t="s">
        <v>2172</v>
      </c>
      <c r="W117" s="3" t="s">
        <v>2173</v>
      </c>
      <c r="X117" s="3" t="s">
        <v>173</v>
      </c>
      <c r="Y117" s="3" t="str">
        <f>PROPER('Sales_RAW(BEFORE)'!W120)</f>
        <v>Credit Card</v>
      </c>
      <c r="Z117" s="3" t="str">
        <f>PROPER('Sales_RAW(BEFORE)'!X120)</f>
        <v>Delivered</v>
      </c>
      <c r="AA117" s="3" t="str" cm="1">
        <f t="array" ref="AA117">_xlfn.LET(
  _xlpm.val, TRIM(LOWER('Sales_RAW(BEFORE)'!Y120)),
  _xlfn.IFS(
    OR(_xlpm.val="yes", _xlpm.val="paid"), "Paid",
    OR(_xlpm.val="no", _xlpm.val="unpaid"), "Unpaid",
    OR(_xlpm.val="partial", _xlpm.val="partial paid"), "Partial",
    _xlpm.val="", "",
    TRUE, 'Sales_RAW(BEFORE)'!AY120
  )
)</f>
        <v>Paid</v>
      </c>
      <c r="AB117" s="3" t="s">
        <v>2174</v>
      </c>
      <c r="AC117" s="3" t="str">
        <f>PROPER('Sales_RAW(BEFORE)'!AA120)</f>
        <v>Phone</v>
      </c>
      <c r="AD117" s="3" t="str">
        <f>SUBSTITUTE(SUBSTITUTE(SUBSTITUTE(SUBSTITUTE('Sales_RAW(BEFORE)'!AB120,"st",""),"q",""),"Q",""),"uarter","")</f>
        <v xml:space="preserve">1 </v>
      </c>
      <c r="AE117" s="3" t="str">
        <f>TEXT(IFERROR(DATEVALUE('Sales_RAW(BEFORE)'!AC120 &amp; " 1"), IFERROR(DATE(2025, 'Sales_RAW(BEFORE)'!AC120, 1), 'Sales_RAW(BEFORE)'!AC120)), "mmmm")</f>
        <v>November</v>
      </c>
      <c r="AF117" s="3">
        <f>_xlfn.LET(
  _xlpm.raw, TRIM(SUBSTITUTE('Sales_RAW(BEFORE)'!AD120, "'", "")),
  _xlpm.num, IFERROR(VALUE(_xlpm.raw), 0),
  IF(_xlpm.num &lt; 100, 2000 + _xlpm.num, _xlpm.num)
)</f>
        <v>2025</v>
      </c>
      <c r="AG117" s="3" t="str">
        <f>PROPER('Sales_RAW(BEFORE)'!AE120)</f>
        <v>Net 60</v>
      </c>
      <c r="AH117" s="3" cm="1">
        <f t="array" ref="AH117">_xlfn.LET(
  _xlpm.val, LOWER(TRIM('Sales_RAW(BEFORE)'!AF120)),
  _xlfn.IFS(
    OR(_xlpm.val="", _xlpm.val="null", _xlpm.val="N/A", _xlpm.val="-", _xlpm.val="#N/A"), 0,
    ISNUMBER('Sales_RAW(BEFORE)'!AF120), 'Sales_RAW(BEFORE)'!AF120,
    TRUE, IFERROR(_xlfn.NUMBERVALUE(_xlpm.val), 0)
  )
)</f>
        <v>0</v>
      </c>
      <c r="AI117" s="5">
        <f>IF(IFERROR(VALUE(SUBSTITUTE(SUBSTITUTE(TRIM('Sales_RAW(BEFORE)'!AG120), "%", ""), ",", ".")), 0) &gt; 1, IFERROR(VALUE(SUBSTITUTE(SUBSTITUTE(TRIM('Sales_RAW(BEFORE)'!AG120), "%", ""), ",", ".")), 0) / 100, IFERROR(VALUE(SUBSTITUTE(SUBSTITUTE(TRIM('Sales_RAW(BEFORE)'!AG120), "%", ""), ",", ".")), 0))</f>
        <v>0.08</v>
      </c>
      <c r="AJ117" s="6">
        <f t="shared" si="6"/>
        <v>3234.3480000000004</v>
      </c>
      <c r="AK117" s="6">
        <f t="shared" si="7"/>
        <v>43663.698000000004</v>
      </c>
      <c r="AL117" s="6">
        <f>IFERROR(VALUE(SUBSTITUTE(SUBSTITUTE(SUBSTITUTE('Sales_RAW(BEFORE)'!AJ120,"$",""),"USD",""),",",".")),0)</f>
        <v>37.29</v>
      </c>
      <c r="AM117" s="3" t="str">
        <f>SUBSTITUTE(SUBSTITUTE(PROPER('Sales_RAW(BEFORE)'!AK120), "Fed Ex", "FedEx"),"Fedex","FedEx")</f>
        <v>FedEx</v>
      </c>
      <c r="AN117" s="3" t="s">
        <v>2177</v>
      </c>
      <c r="AO117" s="3" t="str">
        <f>SUBSTITUTE('Sales_RAW(BEFORE)'!AM120,"kg","")</f>
        <v>3,83</v>
      </c>
      <c r="AP117" s="3" t="str">
        <f>_xlfn.LET(
  _xlpm.raw, UPPER(TRIM('Sales_RAW(BEFORE)'!AN120)),
  _xlpm.clean, RIGHT(_xlpm.raw, 1),
  IF(OR(_xlpm.raw="", _xlpm.raw="null"), "N/A", _xlpm.clean)
)</f>
        <v>A</v>
      </c>
      <c r="AQ117" s="3">
        <v>135</v>
      </c>
      <c r="AR117" s="3" cm="1">
        <f t="array" ref="AR117">_xlfn.LET(
  _xlpm.raw, LOWER(TRIM('Sales_RAW(BEFORE)'!AP120)),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17" s="3"/>
      <c r="AT117" s="3"/>
      <c r="AU117" s="3"/>
      <c r="AV117" s="8">
        <f>IF(IFERROR(VALUE(SUBSTITUTE(SUBSTITUTE(TRIM('Sales_RAW(BEFORE)'!AT120), "%", ""), ",", ".")), 0) &gt; 1, IFERROR(VALUE(SUBSTITUTE(SUBSTITUTE(TRIM('Sales_RAW(BEFORE)'!AT120), "%", ""), ",", ".")), 0) / 100, IFERROR(VALUE(SUBSTITUTE(SUBSTITUTE(TRIM('Sales_RAW(BEFORE)'!AT120), "%", ""), ",", ".")), 0))</f>
        <v>0</v>
      </c>
      <c r="AW117" s="6">
        <f>BA117*(_xlfn.XLOOKUP(N117,Employees!$A$2:$A$26,Employees!$E$2:$E$26,2))</f>
        <v>1113.424299</v>
      </c>
      <c r="AX117" s="3" t="str">
        <f>PROPER('Sales_RAW(BEFORE)'!AV120)</f>
        <v>Ryan Miller</v>
      </c>
      <c r="AY117" s="3" t="str">
        <f t="shared" si="8"/>
        <v>Ryan Miller</v>
      </c>
      <c r="AZ117" s="3"/>
      <c r="BA117" s="24">
        <f>AK117*(1-(_xlfn.XLOOKUP(G117, Exchange_Rates!$B$8:$F$8, Exchange_Rates!$B$9:$F$9, 0)+J117))</f>
        <v>37114.143300000003</v>
      </c>
      <c r="BB117" s="7" cm="1">
        <f t="array" ref="BB117">_xlfn.LET(
  _xlpm.raw_dt, SUBSTITUTE(TRIM(C117), ".", "/"),
  _xlpm.dt, IFERROR(DATEVALUE(_xlpm.raw_dt), C117),
  _xlpm.p_code, TRIM(E117),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46716</v>
      </c>
      <c r="BC117" s="25">
        <f t="shared" si="9"/>
        <v>0</v>
      </c>
    </row>
    <row r="118" spans="1:55" ht="15.75" thickBot="1" x14ac:dyDescent="0.3">
      <c r="A118" s="3" t="s">
        <v>2181</v>
      </c>
      <c r="B118" s="10">
        <v>45908</v>
      </c>
      <c r="C118" s="4">
        <v>45886</v>
      </c>
      <c r="D118" s="3" t="str">
        <f>"P-" &amp; TEXT(VALUE(SUBSTITUTE(SUBSTITUTE(SUBSTITUTE(UPPER(TRIM('Sales_RAW(BEFORE)'!D121)), "P", ""), "-", ""), "_", "")),"000")</f>
        <v>P-050</v>
      </c>
      <c r="E118" s="3" t="str">
        <f>VLOOKUP(D118,Product_List!$A$2:$B$61,2,FALSE)</f>
        <v>License X 50</v>
      </c>
      <c r="F118" s="3" t="str">
        <f>_xlfn.XLOOKUP(E118,Product_List!$B$2:$B$61,Product_List!$E$2:$E$61,2)</f>
        <v>BestParts</v>
      </c>
      <c r="G118" s="3" t="str">
        <f>VLOOKUP(E118,Product_List!$B$2:$C$61,2,FALSE)</f>
        <v>Equipment</v>
      </c>
      <c r="H118" s="3" t="str">
        <f>SUBSTITUTE(SUBSTITUTE('Sales_RAW(BEFORE)'!G121,"kom",""),".","")</f>
        <v>1</v>
      </c>
      <c r="I118" s="6">
        <f>VLOOKUP(E118,Product_List!$B$2:$D$61,3,FALSE)</f>
        <v>39.53</v>
      </c>
      <c r="J118" s="5">
        <f>IF(IFERROR(VALUE(SUBSTITUTE(SUBSTITUTE(TRIM('Sales_RAW(BEFORE)'!I121), "%", ""), ",", ".")), 0) &gt; 1, IFERROR(VALUE(SUBSTITUTE(SUBSTITUTE(TRIM('Sales_RAW(BEFORE)'!I121), "%", ""), ",", ".")), 0) / 100, IFERROR(VALUE(SUBSTITUTE(SUBSTITUTE(TRIM('Sales_RAW(BEFORE)'!I121), "%", ""), ",", ".")), 0))</f>
        <v>0.1</v>
      </c>
      <c r="K118" s="6">
        <f>(H118*I118)/(HLOOKUP(AE118,Exchange_Rates!$B$1:$M$2,2,FALSE))</f>
        <v>42.874186550976141</v>
      </c>
      <c r="L118" s="6" t="str" cm="1">
        <f t="array" ref="L118">_xlfn.LET(
  _xlpm.valuta, UPPER(TRIM('Sales_RAW(BEFORE)'!K121)),
  _xlfn.IFS(
    _xlpm.valuta = "", "",
    OR(_xlpm.valuta = "USD", _xlpm.valuta = "$"), "$",
    OR(_xlpm.valuta = "EUR", _xlpm.valuta = "€"), "€",
    TRUE, _xlpm.valuta
  )
)</f>
        <v>€</v>
      </c>
      <c r="M118" s="3" t="str">
        <f>"E" &amp; TEXT(VALUE(SUBSTITUTE(SUBSTITUTE(SUBSTITUTE(UPPER(TRIM('Sales_RAW(BEFORE)'!L121)), "EMP", ""), "E", ""), "-", "")),"000")</f>
        <v>E023</v>
      </c>
      <c r="N118" s="3" t="str">
        <f>_xlfn.XLOOKUP(M118,Employees!$D$2:$D$26,Employees!$A$2:$A$26)</f>
        <v>Laura Anderson</v>
      </c>
      <c r="O118" s="3" t="str">
        <f>_xlfn.XLOOKUP(N118,Employees!$A$2:$A$26,Employees!$C$2:$C$26,2)</f>
        <v>Sales</v>
      </c>
      <c r="P118" s="3" t="str">
        <f>PROPER('Sales_RAW(BEFORE)'!N121)</f>
        <v>South</v>
      </c>
      <c r="Q118" s="3" t="str">
        <f>VLOOKUP(N118,Employees!$A$2:$B$26,2,FALSE)</f>
        <v>Seattle</v>
      </c>
      <c r="R118" s="3" t="str">
        <f>PROPER('Sales_RAW(BEFORE)'!P121)</f>
        <v xml:space="preserve">   Vortex Inc</v>
      </c>
      <c r="S118" s="3" t="str">
        <f>SUBSTITUTE(SUBSTITUTE('Sales_RAW(BEFORE)'!Q121,"EIN",""),":","")</f>
        <v xml:space="preserve"> 138836598</v>
      </c>
      <c r="T118" s="3" t="s">
        <v>2076</v>
      </c>
      <c r="U118" s="3" t="s">
        <v>2190</v>
      </c>
      <c r="V118" s="3" t="s">
        <v>2191</v>
      </c>
      <c r="W118" s="3" t="s">
        <v>2192</v>
      </c>
      <c r="X118" s="3" t="s">
        <v>173</v>
      </c>
      <c r="Y118" s="3" t="str">
        <f>PROPER('Sales_RAW(BEFORE)'!W121)</f>
        <v>Credit Card</v>
      </c>
      <c r="Z118" s="3" t="str">
        <f>PROPER('Sales_RAW(BEFORE)'!X121)</f>
        <v>Delivered</v>
      </c>
      <c r="AA118" s="3" t="str" cm="1">
        <f t="array" ref="AA118">_xlfn.LET(
  _xlpm.val, TRIM(LOWER('Sales_RAW(BEFORE)'!Y121)),
  _xlfn.IFS(
    OR(_xlpm.val="yes", _xlpm.val="paid"), "Paid",
    OR(_xlpm.val="no", _xlpm.val="unpaid"), "Unpaid",
    OR(_xlpm.val="partial", _xlpm.val="partial paid"), "Partial",
    _xlpm.val="", "",
    TRUE, 'Sales_RAW(BEFORE)'!AY121
  )
)</f>
        <v>Paid</v>
      </c>
      <c r="AB118" s="3" t="s">
        <v>2193</v>
      </c>
      <c r="AC118" s="3" t="str">
        <f>PROPER('Sales_RAW(BEFORE)'!AA121)</f>
        <v>Online</v>
      </c>
      <c r="AD118" s="3" t="str">
        <f>SUBSTITUTE(SUBSTITUTE(SUBSTITUTE(SUBSTITUTE('Sales_RAW(BEFORE)'!AB121,"st",""),"q",""),"Q",""),"uarter","")</f>
        <v xml:space="preserve">1 </v>
      </c>
      <c r="AE118" s="3" t="str">
        <f>TEXT(IFERROR(DATEVALUE('Sales_RAW(BEFORE)'!AC121 &amp; " 1"), IFERROR(DATE(2025, 'Sales_RAW(BEFORE)'!AC121, 1), 'Sales_RAW(BEFORE)'!AC121)), "mmmm")</f>
        <v>August</v>
      </c>
      <c r="AF118" s="3">
        <f>_xlfn.LET(
  _xlpm.raw, TRIM(SUBSTITUTE('Sales_RAW(BEFORE)'!AD121, "'", "")),
  _xlpm.num, IFERROR(VALUE(_xlpm.raw), 0),
  IF(_xlpm.num &lt; 100, 2000 + _xlpm.num, _xlpm.num)
)</f>
        <v>2025</v>
      </c>
      <c r="AG118" s="3" t="str">
        <f>PROPER('Sales_RAW(BEFORE)'!AE121)</f>
        <v>Net 30</v>
      </c>
      <c r="AH118" s="3" cm="1">
        <f t="array" ref="AH118">_xlfn.LET(
  _xlpm.val, LOWER(TRIM('Sales_RAW(BEFORE)'!AF121)),
  _xlfn.IFS(
    OR(_xlpm.val="", _xlpm.val="null", _xlpm.val="N/A", _xlpm.val="-", _xlpm.val="#N/A"), 0,
    ISNUMBER('Sales_RAW(BEFORE)'!AF121), 'Sales_RAW(BEFORE)'!AF121,
    TRUE, IFERROR(_xlfn.NUMBERVALUE(_xlpm.val), 0)
  )
)</f>
        <v>43</v>
      </c>
      <c r="AI118" s="5">
        <f>IF(IFERROR(VALUE(SUBSTITUTE(SUBSTITUTE(TRIM('Sales_RAW(BEFORE)'!AG121), "%", ""), ",", ".")), 0) &gt; 1, IFERROR(VALUE(SUBSTITUTE(SUBSTITUTE(TRIM('Sales_RAW(BEFORE)'!AG121), "%", ""), ",", ".")), 0) / 100, IFERROR(VALUE(SUBSTITUTE(SUBSTITUTE(TRIM('Sales_RAW(BEFORE)'!AG121), "%", ""), ",", ".")), 0))</f>
        <v>0.08</v>
      </c>
      <c r="AJ118" s="6">
        <f t="shared" si="6"/>
        <v>3.4299349240780912</v>
      </c>
      <c r="AK118" s="6">
        <f t="shared" si="7"/>
        <v>46.304121475054231</v>
      </c>
      <c r="AL118" s="6">
        <f>IFERROR(VALUE(SUBSTITUTE(SUBSTITUTE(SUBSTITUTE('Sales_RAW(BEFORE)'!AJ121,"$",""),"USD",""),",",".")),0)</f>
        <v>19.079999999999998</v>
      </c>
      <c r="AM118" s="3" t="str">
        <f>SUBSTITUTE(SUBSTITUTE(PROPER('Sales_RAW(BEFORE)'!AK121), "Fed Ex", "FedEx"),"Fedex","FedEx")</f>
        <v>FedEx</v>
      </c>
      <c r="AN118" s="3" t="s">
        <v>2194</v>
      </c>
      <c r="AO118" s="3" t="str">
        <f>SUBSTITUTE('Sales_RAW(BEFORE)'!AM121,"kg","")</f>
        <v xml:space="preserve">14.6 </v>
      </c>
      <c r="AP118" s="3" t="str">
        <f>_xlfn.LET(
  _xlpm.raw, UPPER(TRIM('Sales_RAW(BEFORE)'!AN121)),
  _xlpm.clean, RIGHT(_xlpm.raw, 1),
  IF(OR(_xlpm.raw="", _xlpm.raw="null"), "N/A", _xlpm.clean)
)</f>
        <v>B</v>
      </c>
      <c r="AQ118" s="3">
        <v>201</v>
      </c>
      <c r="AR118" s="3" t="str" cm="1">
        <f t="array" ref="AR118">_xlfn.LET(
  _xlpm.raw, LOWER(TRIM('Sales_RAW(BEFORE)'!AP121)),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118" s="3"/>
      <c r="AT118" s="3"/>
      <c r="AU118" s="3"/>
      <c r="AV118" s="8">
        <f>IF(IFERROR(VALUE(SUBSTITUTE(SUBSTITUTE(TRIM('Sales_RAW(BEFORE)'!AT121), "%", ""), ",", ".")), 0) &gt; 1, IFERROR(VALUE(SUBSTITUTE(SUBSTITUTE(TRIM('Sales_RAW(BEFORE)'!AT121), "%", ""), ",", ".")), 0) / 100, IFERROR(VALUE(SUBSTITUTE(SUBSTITUTE(TRIM('Sales_RAW(BEFORE)'!AT121), "%", ""), ",", ".")), 0))</f>
        <v>0.15</v>
      </c>
      <c r="AW118" s="6">
        <f>BA118*(_xlfn.XLOOKUP(N118,Employees!$A$2:$A$26,Employees!$E$2:$E$26,2))</f>
        <v>0.74086594360086777</v>
      </c>
      <c r="AX118" s="3" t="str">
        <f>PROPER('Sales_RAW(BEFORE)'!AV121)</f>
        <v xml:space="preserve">  Michael Jones</v>
      </c>
      <c r="AY118" s="3" t="str">
        <f t="shared" si="8"/>
        <v xml:space="preserve">  Michael Jones</v>
      </c>
      <c r="AZ118" s="3"/>
      <c r="BA118" s="24">
        <f>AK118*(1-(_xlfn.XLOOKUP(G118, Exchange_Rates!$B$8:$F$8, Exchange_Rates!$B$9:$F$9, 0)+J118))</f>
        <v>37.043297180043389</v>
      </c>
      <c r="BB118" s="7" cm="1">
        <f t="array" ref="BB118">_xlfn.LET(
  _xlpm.raw_dt, SUBSTITUTE(TRIM(C118), ".", "/"),
  _xlpm.dt, IFERROR(DATEVALUE(_xlpm.raw_dt), C118),
  _xlpm.p_code, TRIM(E118),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46251</v>
      </c>
      <c r="BC118" s="25">
        <f t="shared" si="9"/>
        <v>5.5564945770065082</v>
      </c>
    </row>
    <row r="119" spans="1:55" ht="15.75" thickBot="1" x14ac:dyDescent="0.3">
      <c r="A119" s="3" t="s">
        <v>2198</v>
      </c>
      <c r="B119" s="10">
        <f>DATE(2026,4,16)</f>
        <v>46128</v>
      </c>
      <c r="C119" s="4">
        <v>46131</v>
      </c>
      <c r="D119" s="3" t="str">
        <f>"P-" &amp; TEXT(VALUE(SUBSTITUTE(SUBSTITUTE(SUBSTITUTE(UPPER(TRIM('Sales_RAW(BEFORE)'!D122)), "P", ""), "-", ""), "_", "")),"000")</f>
        <v>P-014</v>
      </c>
      <c r="E119" s="3" t="str">
        <f>VLOOKUP(D119,Product_List!$A$2:$B$61,2,FALSE)</f>
        <v>License Max 14</v>
      </c>
      <c r="F119" s="3" t="str">
        <f>_xlfn.XLOOKUP(E119,Product_List!$B$2:$B$61,Product_List!$E$2:$E$61,2)</f>
        <v>OfficeHub</v>
      </c>
      <c r="G119" s="3" t="str">
        <f>VLOOKUP(E119,Product_List!$B$2:$C$61,2,FALSE)</f>
        <v>Software</v>
      </c>
      <c r="H119" s="3" t="str">
        <f>SUBSTITUTE(SUBSTITUTE('Sales_RAW(BEFORE)'!G122,"kom",""),".","")</f>
        <v xml:space="preserve">2 </v>
      </c>
      <c r="I119" s="6">
        <f>VLOOKUP(E119,Product_List!$B$2:$D$61,3,FALSE)</f>
        <v>1166.96</v>
      </c>
      <c r="J119" s="5">
        <f>IF(IFERROR(VALUE(SUBSTITUTE(SUBSTITUTE(TRIM('Sales_RAW(BEFORE)'!I122), "%", ""), ",", ".")), 0) &gt; 1, IFERROR(VALUE(SUBSTITUTE(SUBSTITUTE(TRIM('Sales_RAW(BEFORE)'!I122), "%", ""), ",", ".")), 0) / 100, IFERROR(VALUE(SUBSTITUTE(SUBSTITUTE(TRIM('Sales_RAW(BEFORE)'!I122), "%", ""), ",", ".")), 0))</f>
        <v>0.05</v>
      </c>
      <c r="K119" s="6">
        <f t="shared" si="5"/>
        <v>2333.92</v>
      </c>
      <c r="L119" s="6" t="str" cm="1">
        <f t="array" ref="L119">_xlfn.LET(
  _xlpm.valuta, UPPER(TRIM('Sales_RAW(BEFORE)'!K122)),
  _xlfn.IFS(
    _xlpm.valuta = "", "",
    OR(_xlpm.valuta = "USD", _xlpm.valuta = "$"), "$",
    OR(_xlpm.valuta = "EUR", _xlpm.valuta = "€"), "€",
    TRUE, _xlpm.valuta
  )
)</f>
        <v>$</v>
      </c>
      <c r="M119" s="3" t="str">
        <f>"E" &amp; TEXT(VALUE(SUBSTITUTE(SUBSTITUTE(SUBSTITUTE(UPPER(TRIM('Sales_RAW(BEFORE)'!L122)), "EMP", ""), "E", ""), "-", "")),"000")</f>
        <v>E019</v>
      </c>
      <c r="N119" s="3" t="str">
        <f>_xlfn.XLOOKUP(M119,Employees!$D$2:$D$26,Employees!$A$2:$A$26)</f>
        <v>Sophia Taylor</v>
      </c>
      <c r="O119" s="3" t="str">
        <f>_xlfn.XLOOKUP(N119,Employees!$A$2:$A$26,Employees!$C$2:$C$26,2)</f>
        <v>Wholesale</v>
      </c>
      <c r="P119" s="3" t="str">
        <f>PROPER('Sales_RAW(BEFORE)'!N122)</f>
        <v>East</v>
      </c>
      <c r="Q119" s="3" t="str">
        <f>VLOOKUP(N119,Employees!$A$2:$B$26,2,FALSE)</f>
        <v>Los Angeles</v>
      </c>
      <c r="R119" s="3" t="str">
        <f>PROPER('Sales_RAW(BEFORE)'!P122)</f>
        <v>Wayne Inc</v>
      </c>
      <c r="S119" s="3" t="str">
        <f>SUBSTITUTE(SUBSTITUTE('Sales_RAW(BEFORE)'!Q122,"EIN",""),":","")</f>
        <v xml:space="preserve"> 415149085</v>
      </c>
      <c r="T119" s="3" t="s">
        <v>1359</v>
      </c>
      <c r="U119" s="3" t="s">
        <v>2206</v>
      </c>
      <c r="V119" s="3" t="s">
        <v>2207</v>
      </c>
      <c r="W119" s="3" t="s">
        <v>2208</v>
      </c>
      <c r="X119" s="3" t="s">
        <v>173</v>
      </c>
      <c r="Y119" s="3" t="str">
        <f>PROPER('Sales_RAW(BEFORE)'!W122)</f>
        <v>Cash</v>
      </c>
      <c r="Z119" s="3" t="str">
        <f>PROPER('Sales_RAW(BEFORE)'!X122)</f>
        <v>Delivered</v>
      </c>
      <c r="AA119" s="3" t="str" cm="1">
        <f t="array" ref="AA119">_xlfn.LET(
  _xlpm.val, TRIM(LOWER('Sales_RAW(BEFORE)'!Y122)),
  _xlfn.IFS(
    OR(_xlpm.val="yes", _xlpm.val="paid"), "Paid",
    OR(_xlpm.val="no", _xlpm.val="unpaid"), "Unpaid",
    OR(_xlpm.val="partial", _xlpm.val="partial paid"), "Partial",
    _xlpm.val="", "",
    TRUE, 'Sales_RAW(BEFORE)'!AY122
  )
)</f>
        <v>Unpaid</v>
      </c>
      <c r="AB119" s="3" t="s">
        <v>2209</v>
      </c>
      <c r="AC119" s="3" t="str">
        <f>PROPER('Sales_RAW(BEFORE)'!AA122)</f>
        <v>Online</v>
      </c>
      <c r="AD119" s="3" t="str">
        <f>SUBSTITUTE(SUBSTITUTE(SUBSTITUTE(SUBSTITUTE('Sales_RAW(BEFORE)'!AB122,"st",""),"q",""),"Q",""),"uarter","")</f>
        <v>1</v>
      </c>
      <c r="AE119" s="3" t="str">
        <f>TEXT(IFERROR(DATEVALUE('Sales_RAW(BEFORE)'!AC122 &amp; " 1"), IFERROR(DATE(2025, 'Sales_RAW(BEFORE)'!AC122, 1), 'Sales_RAW(BEFORE)'!AC122)), "mmmm")</f>
        <v>April</v>
      </c>
      <c r="AF119" s="3">
        <f>_xlfn.LET(
  _xlpm.raw, TRIM(SUBSTITUTE('Sales_RAW(BEFORE)'!AD122, "'", "")),
  _xlpm.num, IFERROR(VALUE(_xlpm.raw), 0),
  IF(_xlpm.num &lt; 100, 2000 + _xlpm.num, _xlpm.num)
)</f>
        <v>2026</v>
      </c>
      <c r="AG119" s="3" t="str">
        <f>PROPER('Sales_RAW(BEFORE)'!AE122)</f>
        <v>Net 30</v>
      </c>
      <c r="AH119" s="3" cm="1">
        <f t="array" ref="AH119">_xlfn.LET(
  _xlpm.val, LOWER(TRIM('Sales_RAW(BEFORE)'!AF122)),
  _xlfn.IFS(
    OR(_xlpm.val="", _xlpm.val="null", _xlpm.val="N/A", _xlpm.val="-", _xlpm.val="#N/A"), 0,
    ISNUMBER('Sales_RAW(BEFORE)'!AF122), 'Sales_RAW(BEFORE)'!AF122,
    TRUE, IFERROR(_xlfn.NUMBERVALUE(_xlpm.val), 0)
  )
)</f>
        <v>14</v>
      </c>
      <c r="AI119" s="5">
        <f>IF(IFERROR(VALUE(SUBSTITUTE(SUBSTITUTE(TRIM('Sales_RAW(BEFORE)'!AG122), "%", ""), ",", ".")), 0) &gt; 1, IFERROR(VALUE(SUBSTITUTE(SUBSTITUTE(TRIM('Sales_RAW(BEFORE)'!AG122), "%", ""), ",", ".")), 0) / 100, IFERROR(VALUE(SUBSTITUTE(SUBSTITUTE(TRIM('Sales_RAW(BEFORE)'!AG122), "%", ""), ",", ".")), 0))</f>
        <v>0.08</v>
      </c>
      <c r="AJ119" s="6">
        <f t="shared" si="6"/>
        <v>186.71360000000001</v>
      </c>
      <c r="AK119" s="6">
        <f t="shared" si="7"/>
        <v>2520.6336000000001</v>
      </c>
      <c r="AL119" s="6">
        <f>IFERROR(VALUE(SUBSTITUTE(SUBSTITUTE(SUBSTITUTE('Sales_RAW(BEFORE)'!AJ122,"$",""),"USD",""),",",".")),0)</f>
        <v>7</v>
      </c>
      <c r="AM119" s="3" t="str">
        <f>SUBSTITUTE(SUBSTITUTE(PROPER('Sales_RAW(BEFORE)'!AK122), "Fed Ex", "FedEx"),"Fedex","FedEx")</f>
        <v>Ups</v>
      </c>
      <c r="AN119" s="3" t="s">
        <v>2211</v>
      </c>
      <c r="AO119" s="3" t="str">
        <f>SUBSTITUTE('Sales_RAW(BEFORE)'!AM122,"kg","")</f>
        <v>12,67</v>
      </c>
      <c r="AP119" s="3" t="str">
        <f>_xlfn.LET(
  _xlpm.raw, UPPER(TRIM('Sales_RAW(BEFORE)'!AN122)),
  _xlpm.clean, RIGHT(_xlpm.raw, 1),
  IF(OR(_xlpm.raw="", _xlpm.raw="null"), "N/A", _xlpm.clean)
)</f>
        <v>A</v>
      </c>
      <c r="AQ119" s="3">
        <v>241</v>
      </c>
      <c r="AR119" s="3" cm="1">
        <f t="array" ref="AR119">_xlfn.LET(
  _xlpm.raw, LOWER(TRIM('Sales_RAW(BEFORE)'!AP122)),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119" s="3"/>
      <c r="AT119" s="3"/>
      <c r="AU119" s="3"/>
      <c r="AV119" s="8">
        <f>IF(IFERROR(VALUE(SUBSTITUTE(SUBSTITUTE(TRIM('Sales_RAW(BEFORE)'!AT122), "%", ""), ",", ".")), 0) &gt; 1, IFERROR(VALUE(SUBSTITUTE(SUBSTITUTE(TRIM('Sales_RAW(BEFORE)'!AT122), "%", ""), ",", ".")), 0) / 100, IFERROR(VALUE(SUBSTITUTE(SUBSTITUTE(TRIM('Sales_RAW(BEFORE)'!AT122), "%", ""), ",", ".")), 0))</f>
        <v>0.18</v>
      </c>
      <c r="AW119" s="6">
        <f>BA119*(_xlfn.XLOOKUP(N119,Employees!$A$2:$A$26,Employees!$E$2:$E$26,2))</f>
        <v>60.495206400000001</v>
      </c>
      <c r="AX119" s="3" t="str">
        <f>PROPER('Sales_RAW(BEFORE)'!AV122)</f>
        <v xml:space="preserve">Emily Brown  </v>
      </c>
      <c r="AY119" s="3" t="str">
        <f t="shared" si="8"/>
        <v xml:space="preserve">Emily Brown  </v>
      </c>
      <c r="AZ119" s="3"/>
      <c r="BA119" s="24">
        <f>AK119*(1-(_xlfn.XLOOKUP(G119, Exchange_Rates!$B$8:$F$8, Exchange_Rates!$B$9:$F$9, 0)+J119))</f>
        <v>2016.5068800000001</v>
      </c>
      <c r="BB119" s="7" cm="1">
        <f t="array" ref="BB119">_xlfn.LET(
  _xlpm.raw_dt, SUBSTITUTE(TRIM(C119), ".", "/"),
  _xlpm.dt, IFERROR(DATEVALUE(_xlpm.raw_dt), C119),
  _xlpm.p_code, TRIM(E119),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47227</v>
      </c>
      <c r="BC119" s="25">
        <f t="shared" si="9"/>
        <v>362.9712384</v>
      </c>
    </row>
    <row r="120" spans="1:55" ht="15.75" thickBot="1" x14ac:dyDescent="0.3">
      <c r="A120" s="3" t="s">
        <v>2214</v>
      </c>
      <c r="B120" s="10">
        <v>45753</v>
      </c>
      <c r="C120" s="4">
        <v>45766</v>
      </c>
      <c r="D120" s="3" t="str">
        <f>"P-" &amp; TEXT(VALUE(SUBSTITUTE(SUBSTITUTE(SUBSTITUTE(UPPER(TRIM('Sales_RAW(BEFORE)'!D123)), "P", ""), "-", ""), "_", "")),"000")</f>
        <v>P-001</v>
      </c>
      <c r="E120" s="3" t="str">
        <f>VLOOKUP(D120,Product_List!$A$2:$B$61,2,FALSE)</f>
        <v>Desk X 1</v>
      </c>
      <c r="F120" s="3" t="str">
        <f>_xlfn.XLOOKUP(E120,Product_List!$B$2:$B$61,Product_List!$E$2:$E$61,2)</f>
        <v>Global Distrib</v>
      </c>
      <c r="G120" s="3" t="str">
        <f>VLOOKUP(E120,Product_List!$B$2:$C$61,2,FALSE)</f>
        <v>Software</v>
      </c>
      <c r="H120" s="3" t="str">
        <f>SUBSTITUTE(SUBSTITUTE('Sales_RAW(BEFORE)'!G123,"kom",""),".","")</f>
        <v xml:space="preserve">40 </v>
      </c>
      <c r="I120" s="6">
        <f>VLOOKUP(E120,Product_List!$B$2:$D$61,3,FALSE)</f>
        <v>978.15</v>
      </c>
      <c r="J120" s="5">
        <f>IF(IFERROR(VALUE(SUBSTITUTE(SUBSTITUTE(TRIM('Sales_RAW(BEFORE)'!I123), "%", ""), ",", ".")), 0) &gt; 1, IFERROR(VALUE(SUBSTITUTE(SUBSTITUTE(TRIM('Sales_RAW(BEFORE)'!I123), "%", ""), ",", ".")), 0) / 100, IFERROR(VALUE(SUBSTITUTE(SUBSTITUTE(TRIM('Sales_RAW(BEFORE)'!I123), "%", ""), ",", ".")), 0))</f>
        <v>0.1</v>
      </c>
      <c r="K120" s="6">
        <f t="shared" si="5"/>
        <v>39126</v>
      </c>
      <c r="L120" s="6" t="str" cm="1">
        <f t="array" ref="L120">_xlfn.LET(
  _xlpm.valuta, UPPER(TRIM('Sales_RAW(BEFORE)'!K123)),
  _xlfn.IFS(
    _xlpm.valuta = "", "",
    OR(_xlpm.valuta = "USD", _xlpm.valuta = "$"), "$",
    OR(_xlpm.valuta = "EUR", _xlpm.valuta = "€"), "€",
    TRUE, _xlpm.valuta
  )
)</f>
        <v>$</v>
      </c>
      <c r="M120" s="3" t="str">
        <f>"E" &amp; TEXT(VALUE(SUBSTITUTE(SUBSTITUTE(SUBSTITUTE(UPPER(TRIM('Sales_RAW(BEFORE)'!L123)), "EMP", ""), "E", ""), "-", "")),"000")</f>
        <v>E010</v>
      </c>
      <c r="N120" s="3" t="str">
        <f>_xlfn.XLOOKUP(M120,Employees!$D$2:$D$26,Employees!$A$2:$A$26)</f>
        <v>Olivia Anderson</v>
      </c>
      <c r="O120" s="3" t="str">
        <f>_xlfn.XLOOKUP(N120,Employees!$A$2:$A$26,Employees!$C$2:$C$26,2)</f>
        <v>Online</v>
      </c>
      <c r="P120" s="3" t="str">
        <f>PROPER('Sales_RAW(BEFORE)'!N123)</f>
        <v>South</v>
      </c>
      <c r="Q120" s="3" t="str">
        <f>VLOOKUP(N120,Employees!$A$2:$B$26,2,FALSE)</f>
        <v>Houston</v>
      </c>
      <c r="R120" s="3" t="str">
        <f>PROPER('Sales_RAW(BEFORE)'!P123)</f>
        <v xml:space="preserve">Stark Inc  </v>
      </c>
      <c r="S120" s="3" t="str">
        <f>SUBSTITUTE(SUBSTITUTE('Sales_RAW(BEFORE)'!Q123,"EIN",""),":","")</f>
        <v>949139698</v>
      </c>
      <c r="T120" s="3" t="s">
        <v>400</v>
      </c>
      <c r="U120" s="3" t="s">
        <v>2225</v>
      </c>
      <c r="V120" s="3" t="s">
        <v>2226</v>
      </c>
      <c r="W120" s="3" t="s">
        <v>2227</v>
      </c>
      <c r="X120" s="3" t="s">
        <v>173</v>
      </c>
      <c r="Y120" s="3" t="str">
        <f>PROPER('Sales_RAW(BEFORE)'!W123)</f>
        <v>Cash</v>
      </c>
      <c r="Z120" s="3" t="str">
        <f>PROPER('Sales_RAW(BEFORE)'!X123)</f>
        <v>Delivered</v>
      </c>
      <c r="AA120" s="3" t="str" cm="1">
        <f t="array" ref="AA120">_xlfn.LET(
  _xlpm.val, TRIM(LOWER('Sales_RAW(BEFORE)'!Y123)),
  _xlfn.IFS(
    OR(_xlpm.val="yes", _xlpm.val="paid"), "Paid",
    OR(_xlpm.val="no", _xlpm.val="unpaid"), "Unpaid",
    OR(_xlpm.val="partial", _xlpm.val="partial paid"), "Partial",
    _xlpm.val="", "",
    TRUE, 'Sales_RAW(BEFORE)'!AY123
  )
)</f>
        <v>Paid</v>
      </c>
      <c r="AB120" s="3" t="s">
        <v>2228</v>
      </c>
      <c r="AC120" s="3" t="str">
        <f>PROPER('Sales_RAW(BEFORE)'!AA123)</f>
        <v>Phone</v>
      </c>
      <c r="AD120" s="3" t="str">
        <f>SUBSTITUTE(SUBSTITUTE(SUBSTITUTE(SUBSTITUTE('Sales_RAW(BEFORE)'!AB123,"st",""),"q",""),"Q",""),"uarter","")</f>
        <v>4</v>
      </c>
      <c r="AE120" s="3" t="str">
        <f>TEXT(IFERROR(DATEVALUE('Sales_RAW(BEFORE)'!AC123 &amp; " 1"), IFERROR(DATE(2025, 'Sales_RAW(BEFORE)'!AC123, 1), 'Sales_RAW(BEFORE)'!AC123)), "mmmm")</f>
        <v>April</v>
      </c>
      <c r="AF120" s="3">
        <f>_xlfn.LET(
  _xlpm.raw, TRIM(SUBSTITUTE('Sales_RAW(BEFORE)'!AD123, "'", "")),
  _xlpm.num, IFERROR(VALUE(_xlpm.raw), 0),
  IF(_xlpm.num &lt; 100, 2000 + _xlpm.num, _xlpm.num)
)</f>
        <v>2025</v>
      </c>
      <c r="AG120" s="3" t="str">
        <f>PROPER('Sales_RAW(BEFORE)'!AE123)</f>
        <v>Net 30</v>
      </c>
      <c r="AH120" s="3" cm="1">
        <f t="array" ref="AH120">_xlfn.LET(
  _xlpm.val, LOWER(TRIM('Sales_RAW(BEFORE)'!AF123)),
  _xlfn.IFS(
    OR(_xlpm.val="", _xlpm.val="null", _xlpm.val="N/A", _xlpm.val="-", _xlpm.val="#N/A"), 0,
    ISNUMBER('Sales_RAW(BEFORE)'!AF123), 'Sales_RAW(BEFORE)'!AF123,
    TRUE, IFERROR(_xlfn.NUMBERVALUE(_xlpm.val), 0)
  )
)</f>
        <v>88</v>
      </c>
      <c r="AI120" s="5">
        <f>IF(IFERROR(VALUE(SUBSTITUTE(SUBSTITUTE(TRIM('Sales_RAW(BEFORE)'!AG123), "%", ""), ",", ".")), 0) &gt; 1, IFERROR(VALUE(SUBSTITUTE(SUBSTITUTE(TRIM('Sales_RAW(BEFORE)'!AG123), "%", ""), ",", ".")), 0) / 100, IFERROR(VALUE(SUBSTITUTE(SUBSTITUTE(TRIM('Sales_RAW(BEFORE)'!AG123), "%", ""), ",", ".")), 0))</f>
        <v>0.08</v>
      </c>
      <c r="AJ120" s="6">
        <f t="shared" si="6"/>
        <v>3130.08</v>
      </c>
      <c r="AK120" s="6">
        <f t="shared" si="7"/>
        <v>42256.08</v>
      </c>
      <c r="AL120" s="6">
        <f>IFERROR(VALUE(SUBSTITUTE(SUBSTITUTE(SUBSTITUTE('Sales_RAW(BEFORE)'!AJ123,"$",""),"USD",""),",",".")),0)</f>
        <v>19.059999999999999</v>
      </c>
      <c r="AM120" s="3" t="str">
        <f>SUBSTITUTE(SUBSTITUTE(PROPER('Sales_RAW(BEFORE)'!AK123), "Fed Ex", "FedEx"),"Fedex","FedEx")</f>
        <v>Dhl</v>
      </c>
      <c r="AN120" s="3" t="s">
        <v>2230</v>
      </c>
      <c r="AO120" s="3" t="str">
        <f>SUBSTITUTE('Sales_RAW(BEFORE)'!AM123,"kg","")</f>
        <v>15,59</v>
      </c>
      <c r="AP120" s="3" t="str">
        <f>_xlfn.LET(
  _xlpm.raw, UPPER(TRIM('Sales_RAW(BEFORE)'!AN123)),
  _xlpm.clean, RIGHT(_xlpm.raw, 1),
  IF(OR(_xlpm.raw="", _xlpm.raw="null"), "N/A", _xlpm.clean)
)</f>
        <v>A</v>
      </c>
      <c r="AQ120" s="3">
        <v>185</v>
      </c>
      <c r="AR120" s="3" cm="1">
        <f t="array" ref="AR120">_xlfn.LET(
  _xlpm.raw, LOWER(TRIM('Sales_RAW(BEFORE)'!AP123)),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120" s="3"/>
      <c r="AT120" s="3"/>
      <c r="AU120" s="3"/>
      <c r="AV120" s="8">
        <f>IF(IFERROR(VALUE(SUBSTITUTE(SUBSTITUTE(TRIM('Sales_RAW(BEFORE)'!AT123), "%", ""), ",", ".")), 0) &gt; 1, IFERROR(VALUE(SUBSTITUTE(SUBSTITUTE(TRIM('Sales_RAW(BEFORE)'!AT123), "%", ""), ",", ".")), 0) / 100, IFERROR(VALUE(SUBSTITUTE(SUBSTITUTE(TRIM('Sales_RAW(BEFORE)'!AT123), "%", ""), ",", ".")), 0))</f>
        <v>0.15</v>
      </c>
      <c r="AW120" s="6">
        <f>BA120*(_xlfn.XLOOKUP(N120,Employees!$A$2:$A$26,Employees!$E$2:$E$26,2))</f>
        <v>950.76179999999999</v>
      </c>
      <c r="AX120" s="3" t="str">
        <f>PROPER('Sales_RAW(BEFORE)'!AV123)</f>
        <v xml:space="preserve">David Miller  </v>
      </c>
      <c r="AY120" s="3" t="str">
        <f t="shared" si="8"/>
        <v xml:space="preserve">David Miller  </v>
      </c>
      <c r="AZ120" s="3"/>
      <c r="BA120" s="24">
        <f>AK120*(1-(_xlfn.XLOOKUP(G120, Exchange_Rates!$B$8:$F$8, Exchange_Rates!$B$9:$F$9, 0)+J120))</f>
        <v>31692.06</v>
      </c>
      <c r="BB120" s="7" cm="1">
        <f t="array" ref="BB120">_xlfn.LET(
  _xlpm.raw_dt, SUBSTITUTE(TRIM(C120), ".", "/"),
  _xlpm.dt, IFERROR(DATEVALUE(_xlpm.raw_dt), C120),
  _xlpm.p_code, TRIM(E120),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46496</v>
      </c>
      <c r="BC120" s="25">
        <f t="shared" si="9"/>
        <v>4753.8090000000002</v>
      </c>
    </row>
    <row r="121" spans="1:55" ht="15.75" thickBot="1" x14ac:dyDescent="0.3">
      <c r="A121" s="3" t="s">
        <v>2233</v>
      </c>
      <c r="B121" s="10">
        <v>46126</v>
      </c>
      <c r="C121" s="4">
        <v>46139</v>
      </c>
      <c r="D121" s="3" t="str">
        <f>"P-" &amp; TEXT(VALUE(SUBSTITUTE(SUBSTITUTE(SUBSTITUTE(UPPER(TRIM('Sales_RAW(BEFORE)'!D124)), "P", ""), "-", ""), "_", "")),"000")</f>
        <v>P-024</v>
      </c>
      <c r="E121" s="3" t="str">
        <f>VLOOKUP(D121,Product_List!$A$2:$B$61,2,FALSE)</f>
        <v>Chair Plus 24</v>
      </c>
      <c r="F121" s="3" t="str">
        <f>_xlfn.XLOOKUP(E121,Product_List!$B$2:$B$61,Product_List!$E$2:$E$61,2)</f>
        <v>TechSupply Co</v>
      </c>
      <c r="G121" s="3" t="str">
        <f>VLOOKUP(E121,Product_List!$B$2:$C$61,2,FALSE)</f>
        <v>Electronics</v>
      </c>
      <c r="H121" s="3" t="str">
        <f>SUBSTITUTE(SUBSTITUTE('Sales_RAW(BEFORE)'!G124,"kom",""),".","")</f>
        <v>32</v>
      </c>
      <c r="I121" s="6">
        <f>VLOOKUP(E121,Product_List!$B$2:$D$61,3,FALSE)</f>
        <v>95.7</v>
      </c>
      <c r="J121" s="5">
        <f>IF(IFERROR(VALUE(SUBSTITUTE(SUBSTITUTE(TRIM('Sales_RAW(BEFORE)'!I124), "%", ""), ",", ".")), 0) &gt; 1, IFERROR(VALUE(SUBSTITUTE(SUBSTITUTE(TRIM('Sales_RAW(BEFORE)'!I124), "%", ""), ",", ".")), 0) / 100, IFERROR(VALUE(SUBSTITUTE(SUBSTITUTE(TRIM('Sales_RAW(BEFORE)'!I124), "%", ""), ",", ".")), 0))</f>
        <v>0.1</v>
      </c>
      <c r="K121" s="6">
        <f t="shared" si="5"/>
        <v>3062.4</v>
      </c>
      <c r="L121" s="6" t="str" cm="1">
        <f t="array" ref="L121">_xlfn.LET(
  _xlpm.valuta, UPPER(TRIM('Sales_RAW(BEFORE)'!K124)),
  _xlfn.IFS(
    _xlpm.valuta = "", "",
    OR(_xlpm.valuta = "USD", _xlpm.valuta = "$"), "$",
    OR(_xlpm.valuta = "EUR", _xlpm.valuta = "€"), "€",
    TRUE, _xlpm.valuta
  )
)</f>
        <v>$</v>
      </c>
      <c r="M121" s="3" t="str">
        <f>"E" &amp; TEXT(VALUE(SUBSTITUTE(SUBSTITUTE(SUBSTITUTE(UPPER(TRIM('Sales_RAW(BEFORE)'!L124)), "EMP", ""), "E", ""), "-", "")),"000")</f>
        <v>E016</v>
      </c>
      <c r="N121" s="3" t="str">
        <f>_xlfn.XLOOKUP(M121,Employees!$D$2:$D$26,Employees!$A$2:$A$26)</f>
        <v>Chris Anderson</v>
      </c>
      <c r="O121" s="3" t="str">
        <f>_xlfn.XLOOKUP(N121,Employees!$A$2:$A$26,Employees!$C$2:$C$26,2)</f>
        <v>Online</v>
      </c>
      <c r="P121" s="3" t="str">
        <f>PROPER('Sales_RAW(BEFORE)'!N124)</f>
        <v>South</v>
      </c>
      <c r="Q121" s="3" t="str">
        <f>VLOOKUP(N121,Employees!$A$2:$B$26,2,FALSE)</f>
        <v>Chicago</v>
      </c>
      <c r="R121" s="3" t="str">
        <f>PROPER('Sales_RAW(BEFORE)'!P124)</f>
        <v>Wayne Inc</v>
      </c>
      <c r="S121" s="3" t="str">
        <f>SUBSTITUTE(SUBSTITUTE('Sales_RAW(BEFORE)'!Q124,"EIN",""),":","")</f>
        <v>265129008</v>
      </c>
      <c r="T121" s="3" t="s">
        <v>1232</v>
      </c>
      <c r="U121" s="3" t="s">
        <v>2241</v>
      </c>
      <c r="V121" s="3" t="s">
        <v>2242</v>
      </c>
      <c r="W121" s="3" t="s">
        <v>2243</v>
      </c>
      <c r="X121" s="3" t="s">
        <v>173</v>
      </c>
      <c r="Y121" s="3" t="str">
        <f>PROPER('Sales_RAW(BEFORE)'!W124)</f>
        <v>Wire Transfer</v>
      </c>
      <c r="Z121" s="3" t="str">
        <f>PROPER('Sales_RAW(BEFORE)'!X124)</f>
        <v>Pending</v>
      </c>
      <c r="AA121" s="3" t="str" cm="1">
        <f t="array" ref="AA121">_xlfn.LET(
  _xlpm.val, TRIM(LOWER('Sales_RAW(BEFORE)'!Y124)),
  _xlfn.IFS(
    OR(_xlpm.val="yes", _xlpm.val="paid"), "Paid",
    OR(_xlpm.val="no", _xlpm.val="unpaid"), "Unpaid",
    OR(_xlpm.val="partial", _xlpm.val="partial paid"), "Partial",
    _xlpm.val="", "",
    TRUE, 'Sales_RAW(BEFORE)'!AY124
  )
)</f>
        <v>Unpaid</v>
      </c>
      <c r="AB121" s="3" t="s">
        <v>2244</v>
      </c>
      <c r="AC121" s="3" t="str">
        <f>PROPER('Sales_RAW(BEFORE)'!AA124)</f>
        <v>Web</v>
      </c>
      <c r="AD121" s="3" t="str">
        <f>SUBSTITUTE(SUBSTITUTE(SUBSTITUTE(SUBSTITUTE('Sales_RAW(BEFORE)'!AB124,"st",""),"q",""),"Q",""),"uarter","")</f>
        <v>1</v>
      </c>
      <c r="AE121" s="3" t="str">
        <f>TEXT(IFERROR(DATEVALUE('Sales_RAW(BEFORE)'!AC124 &amp; " 1"), IFERROR(DATE(2025, 'Sales_RAW(BEFORE)'!AC124, 1), 'Sales_RAW(BEFORE)'!AC124)), "mmmm")</f>
        <v>April</v>
      </c>
      <c r="AF121" s="3">
        <f>_xlfn.LET(
  _xlpm.raw, TRIM(SUBSTITUTE('Sales_RAW(BEFORE)'!AD124, "'", "")),
  _xlpm.num, IFERROR(VALUE(_xlpm.raw), 0),
  IF(_xlpm.num &lt; 100, 2000 + _xlpm.num, _xlpm.num)
)</f>
        <v>2026</v>
      </c>
      <c r="AG121" s="3" t="str">
        <f>PROPER('Sales_RAW(BEFORE)'!AE124)</f>
        <v>Net 60</v>
      </c>
      <c r="AH121" s="3" cm="1">
        <f t="array" ref="AH121">_xlfn.LET(
  _xlpm.val, LOWER(TRIM('Sales_RAW(BEFORE)'!AF124)),
  _xlfn.IFS(
    OR(_xlpm.val="", _xlpm.val="null", _xlpm.val="N/A", _xlpm.val="-", _xlpm.val="#N/A"), 0,
    ISNUMBER('Sales_RAW(BEFORE)'!AF124), 'Sales_RAW(BEFORE)'!AF124,
    TRUE, IFERROR(_xlfn.NUMBERVALUE(_xlpm.val), 0)
  )
)</f>
        <v>0</v>
      </c>
      <c r="AI121" s="5">
        <f>IF(IFERROR(VALUE(SUBSTITUTE(SUBSTITUTE(TRIM('Sales_RAW(BEFORE)'!AG124), "%", ""), ",", ".")), 0) &gt; 1, IFERROR(VALUE(SUBSTITUTE(SUBSTITUTE(TRIM('Sales_RAW(BEFORE)'!AG124), "%", ""), ",", ".")), 0) / 100, IFERROR(VALUE(SUBSTITUTE(SUBSTITUTE(TRIM('Sales_RAW(BEFORE)'!AG124), "%", ""), ",", ".")), 0))</f>
        <v>0.08</v>
      </c>
      <c r="AJ121" s="6">
        <f t="shared" si="6"/>
        <v>244.99200000000002</v>
      </c>
      <c r="AK121" s="6">
        <f t="shared" si="7"/>
        <v>3307.3920000000003</v>
      </c>
      <c r="AL121" s="6">
        <f>IFERROR(VALUE(SUBSTITUTE(SUBSTITUTE(SUBSTITUTE('Sales_RAW(BEFORE)'!AJ124,"$",""),"USD",""),",",".")),0)</f>
        <v>36.04</v>
      </c>
      <c r="AM121" s="3" t="str">
        <f>SUBSTITUTE(SUBSTITUTE(PROPER('Sales_RAW(BEFORE)'!AK124), "Fed Ex", "FedEx"),"Fedex","FedEx")</f>
        <v>Ups</v>
      </c>
      <c r="AN121" s="3" t="s">
        <v>2246</v>
      </c>
      <c r="AO121" s="3" t="str">
        <f>SUBSTITUTE('Sales_RAW(BEFORE)'!AM124,"kg","")</f>
        <v>22.51</v>
      </c>
      <c r="AP121" s="3" t="str">
        <f>_xlfn.LET(
  _xlpm.raw, UPPER(TRIM('Sales_RAW(BEFORE)'!AN124)),
  _xlpm.clean, RIGHT(_xlpm.raw, 1),
  IF(OR(_xlpm.raw="", _xlpm.raw="null"), "N/A", _xlpm.clean)
)</f>
        <v>C</v>
      </c>
      <c r="AQ121" s="3">
        <v>356</v>
      </c>
      <c r="AR121" s="3" cm="1">
        <f t="array" ref="AR121">_xlfn.LET(
  _xlpm.raw, LOWER(TRIM('Sales_RAW(BEFORE)'!AP124)),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121" s="3"/>
      <c r="AT121" s="3"/>
      <c r="AU121" s="3"/>
      <c r="AV121" s="8">
        <f>IF(IFERROR(VALUE(SUBSTITUTE(SUBSTITUTE(TRIM('Sales_RAW(BEFORE)'!AT124), "%", ""), ",", ".")), 0) &gt; 1, IFERROR(VALUE(SUBSTITUTE(SUBSTITUTE(TRIM('Sales_RAW(BEFORE)'!AT124), "%", ""), ",", ".")), 0) / 100, IFERROR(VALUE(SUBSTITUTE(SUBSTITUTE(TRIM('Sales_RAW(BEFORE)'!AT124), "%", ""), ",", ".")), 0))</f>
        <v>0.15</v>
      </c>
      <c r="AW121" s="6">
        <f>BA121*(_xlfn.XLOOKUP(N121,Employees!$A$2:$A$26,Employees!$E$2:$E$26,2))</f>
        <v>79.377408000000003</v>
      </c>
      <c r="AX121" s="3" t="str">
        <f>PROPER('Sales_RAW(BEFORE)'!AV124)</f>
        <v>Daniel Brown</v>
      </c>
      <c r="AY121" s="3" t="str">
        <f t="shared" si="8"/>
        <v>Daniel Brown</v>
      </c>
      <c r="AZ121" s="3"/>
      <c r="BA121" s="24">
        <f>AK121*(1-(_xlfn.XLOOKUP(G121, Exchange_Rates!$B$8:$F$8, Exchange_Rates!$B$9:$F$9, 0)+J121))</f>
        <v>2645.9136000000003</v>
      </c>
      <c r="BB121" s="7" cm="1">
        <f t="array" ref="BB121">_xlfn.LET(
  _xlpm.raw_dt, SUBSTITUTE(TRIM(C121), ".", "/"),
  _xlpm.dt, IFERROR(DATEVALUE(_xlpm.raw_dt), C121),
  _xlpm.p_code, TRIM(E121),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46870</v>
      </c>
      <c r="BC121" s="25">
        <f t="shared" si="9"/>
        <v>396.88704000000001</v>
      </c>
    </row>
    <row r="122" spans="1:55" ht="15.75" thickBot="1" x14ac:dyDescent="0.3">
      <c r="A122" s="3" t="s">
        <v>2249</v>
      </c>
      <c r="B122" s="10">
        <v>45821</v>
      </c>
      <c r="C122" s="4">
        <v>45825</v>
      </c>
      <c r="D122" s="3" t="str">
        <f>"P-" &amp; TEXT(VALUE(SUBSTITUTE(SUBSTITUTE(SUBSTITUTE(UPPER(TRIM('Sales_RAW(BEFORE)'!D125)), "P", ""), "-", ""), "_", "")),"000")</f>
        <v>P-053</v>
      </c>
      <c r="E122" s="3" t="str">
        <f>VLOOKUP(D122,Product_List!$A$2:$B$61,2,FALSE)</f>
        <v>Monitor Basic 53</v>
      </c>
      <c r="F122" s="3" t="str">
        <f>_xlfn.XLOOKUP(E122,Product_List!$B$2:$B$61,Product_List!$E$2:$E$61,2)</f>
        <v>Global Distrib</v>
      </c>
      <c r="G122" s="3" t="str">
        <f>VLOOKUP(E122,Product_List!$B$2:$C$61,2,FALSE)</f>
        <v>Equipment</v>
      </c>
      <c r="H122" s="3" t="str">
        <f>SUBSTITUTE(SUBSTITUTE('Sales_RAW(BEFORE)'!G125,"kom",""),".","")</f>
        <v>37</v>
      </c>
      <c r="I122" s="6">
        <f>VLOOKUP(E122,Product_List!$B$2:$D$61,3,FALSE)</f>
        <v>553.22</v>
      </c>
      <c r="J122" s="5">
        <f>IF(IFERROR(VALUE(SUBSTITUTE(SUBSTITUTE(TRIM('Sales_RAW(BEFORE)'!I125), "%", ""), ",", ".")), 0) &gt; 1, IFERROR(VALUE(SUBSTITUTE(SUBSTITUTE(TRIM('Sales_RAW(BEFORE)'!I125), "%", ""), ",", ".")), 0) / 100, IFERROR(VALUE(SUBSTITUTE(SUBSTITUTE(TRIM('Sales_RAW(BEFORE)'!I125), "%", ""), ",", ".")), 0))</f>
        <v>0.1</v>
      </c>
      <c r="K122" s="6">
        <f t="shared" si="5"/>
        <v>20469.14</v>
      </c>
      <c r="L122" s="6" t="str" cm="1">
        <f t="array" ref="L122">_xlfn.LET(
  _xlpm.valuta, UPPER(TRIM('Sales_RAW(BEFORE)'!K125)),
  _xlfn.IFS(
    _xlpm.valuta = "", "",
    OR(_xlpm.valuta = "USD", _xlpm.valuta = "$"), "$",
    OR(_xlpm.valuta = "EUR", _xlpm.valuta = "€"), "€",
    TRUE, _xlpm.valuta
  )
)</f>
        <v>$</v>
      </c>
      <c r="M122" s="3" t="str">
        <f>"E" &amp; TEXT(VALUE(SUBSTITUTE(SUBSTITUTE(SUBSTITUTE(UPPER(TRIM('Sales_RAW(BEFORE)'!L125)), "EMP", ""), "E", ""), "-", "")),"000")</f>
        <v>E020</v>
      </c>
      <c r="N122" s="3" t="str">
        <f>_xlfn.XLOOKUP(M122,Employees!$D$2:$D$26,Employees!$A$2:$A$26)</f>
        <v>Robert Taylor</v>
      </c>
      <c r="O122" s="3" t="str">
        <f>_xlfn.XLOOKUP(N122,Employees!$A$2:$A$26,Employees!$C$2:$C$26,2)</f>
        <v>Retail</v>
      </c>
      <c r="P122" s="3" t="str">
        <f>PROPER('Sales_RAW(BEFORE)'!N125)</f>
        <v>West</v>
      </c>
      <c r="Q122" s="3" t="str">
        <f>VLOOKUP(N122,Employees!$A$2:$B$26,2,FALSE)</f>
        <v>New York</v>
      </c>
      <c r="R122" s="3" t="str">
        <f>PROPER('Sales_RAW(BEFORE)'!P125)</f>
        <v>Umbrella Inc</v>
      </c>
      <c r="S122" s="3" t="str">
        <f>SUBSTITUTE(SUBSTITUTE('Sales_RAW(BEFORE)'!Q125,"EIN",""),":","")</f>
        <v xml:space="preserve"> 908734973</v>
      </c>
      <c r="T122" s="3" t="s">
        <v>2253</v>
      </c>
      <c r="U122" s="3" t="s">
        <v>2254</v>
      </c>
      <c r="V122" s="3" t="s">
        <v>2255</v>
      </c>
      <c r="W122" s="3" t="s">
        <v>2256</v>
      </c>
      <c r="X122" s="3" t="s">
        <v>173</v>
      </c>
      <c r="Y122" s="3" t="str">
        <f>PROPER('Sales_RAW(BEFORE)'!W125)</f>
        <v>Cash</v>
      </c>
      <c r="Z122" s="3" t="str">
        <f>PROPER('Sales_RAW(BEFORE)'!X125)</f>
        <v>Pending</v>
      </c>
      <c r="AA122" s="3" t="str" cm="1">
        <f t="array" ref="AA122">_xlfn.LET(
  _xlpm.val, TRIM(LOWER('Sales_RAW(BEFORE)'!Y125)),
  _xlfn.IFS(
    OR(_xlpm.val="yes", _xlpm.val="paid"), "Paid",
    OR(_xlpm.val="no", _xlpm.val="unpaid"), "Unpaid",
    OR(_xlpm.val="partial", _xlpm.val="partial paid"), "Partial",
    _xlpm.val="", "",
    TRUE, 'Sales_RAW(BEFORE)'!AY125
  )
)</f>
        <v>Paid</v>
      </c>
      <c r="AB122" s="3" t="s">
        <v>2257</v>
      </c>
      <c r="AC122" s="3" t="str">
        <f>PROPER('Sales_RAW(BEFORE)'!AA125)</f>
        <v>Phone</v>
      </c>
      <c r="AD122" s="3" t="str">
        <f>SUBSTITUTE(SUBSTITUTE(SUBSTITUTE(SUBSTITUTE('Sales_RAW(BEFORE)'!AB125,"st",""),"q",""),"Q",""),"uarter","")</f>
        <v>1</v>
      </c>
      <c r="AE122" s="3" t="str">
        <f>TEXT(IFERROR(DATEVALUE('Sales_RAW(BEFORE)'!AC125 &amp; " 1"), IFERROR(DATE(2025, 'Sales_RAW(BEFORE)'!AC125, 1), 'Sales_RAW(BEFORE)'!AC125)), "mmmm")</f>
        <v>June</v>
      </c>
      <c r="AF122" s="3">
        <f>_xlfn.LET(
  _xlpm.raw, TRIM(SUBSTITUTE('Sales_RAW(BEFORE)'!AD125, "'", "")),
  _xlpm.num, IFERROR(VALUE(_xlpm.raw), 0),
  IF(_xlpm.num &lt; 100, 2000 + _xlpm.num, _xlpm.num)
)</f>
        <v>2025</v>
      </c>
      <c r="AG122" s="3" t="str">
        <f>PROPER('Sales_RAW(BEFORE)'!AE125)</f>
        <v>15</v>
      </c>
      <c r="AH122" s="3" cm="1">
        <f t="array" ref="AH122">_xlfn.LET(
  _xlpm.val, LOWER(TRIM('Sales_RAW(BEFORE)'!AF125)),
  _xlfn.IFS(
    OR(_xlpm.val="", _xlpm.val="null", _xlpm.val="N/A", _xlpm.val="-", _xlpm.val="#N/A"), 0,
    ISNUMBER('Sales_RAW(BEFORE)'!AF125), 'Sales_RAW(BEFORE)'!AF125,
    TRUE, IFERROR(_xlfn.NUMBERVALUE(_xlpm.val), 0)
  )
)</f>
        <v>14</v>
      </c>
      <c r="AI122" s="5">
        <f>IF(IFERROR(VALUE(SUBSTITUTE(SUBSTITUTE(TRIM('Sales_RAW(BEFORE)'!AG125), "%", ""), ",", ".")), 0) &gt; 1, IFERROR(VALUE(SUBSTITUTE(SUBSTITUTE(TRIM('Sales_RAW(BEFORE)'!AG125), "%", ""), ",", ".")), 0) / 100, IFERROR(VALUE(SUBSTITUTE(SUBSTITUTE(TRIM('Sales_RAW(BEFORE)'!AG125), "%", ""), ",", ".")), 0))</f>
        <v>0.08</v>
      </c>
      <c r="AJ122" s="6">
        <f t="shared" si="6"/>
        <v>1637.5311999999999</v>
      </c>
      <c r="AK122" s="6">
        <f t="shared" si="7"/>
        <v>22106.671200000001</v>
      </c>
      <c r="AL122" s="6">
        <f>IFERROR(VALUE(SUBSTITUTE(SUBSTITUTE(SUBSTITUTE('Sales_RAW(BEFORE)'!AJ125,"$",""),"USD",""),",",".")),0)</f>
        <v>11.97</v>
      </c>
      <c r="AM122" s="3" t="str">
        <f>SUBSTITUTE(SUBSTITUTE(PROPER('Sales_RAW(BEFORE)'!AK125), "Fed Ex", "FedEx"),"Fedex","FedEx")</f>
        <v>FedEx</v>
      </c>
      <c r="AN122" s="3" t="s">
        <v>2258</v>
      </c>
      <c r="AO122" s="3" t="str">
        <f>SUBSTITUTE('Sales_RAW(BEFORE)'!AM125,"kg","")</f>
        <v xml:space="preserve">27.9 </v>
      </c>
      <c r="AP122" s="3" t="str">
        <f>_xlfn.LET(
  _xlpm.raw, UPPER(TRIM('Sales_RAW(BEFORE)'!AN125)),
  _xlpm.clean, RIGHT(_xlpm.raw, 1),
  IF(OR(_xlpm.raw="", _xlpm.raw="null"), "N/A", _xlpm.clean)
)</f>
        <v>B</v>
      </c>
      <c r="AQ122" s="3">
        <v>476</v>
      </c>
      <c r="AR122" s="3" cm="1">
        <f t="array" ref="AR122">_xlfn.LET(
  _xlpm.raw, LOWER(TRIM('Sales_RAW(BEFORE)'!AP125)),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122" s="3"/>
      <c r="AT122" s="3"/>
      <c r="AU122" s="3"/>
      <c r="AV122" s="8">
        <f>IF(IFERROR(VALUE(SUBSTITUTE(SUBSTITUTE(TRIM('Sales_RAW(BEFORE)'!AT125), "%", ""), ",", ".")), 0) &gt; 1, IFERROR(VALUE(SUBSTITUTE(SUBSTITUTE(TRIM('Sales_RAW(BEFORE)'!AT125), "%", ""), ",", ".")), 0) / 100, IFERROR(VALUE(SUBSTITUTE(SUBSTITUTE(TRIM('Sales_RAW(BEFORE)'!AT125), "%", ""), ",", ".")), 0))</f>
        <v>0.25</v>
      </c>
      <c r="AW122" s="6">
        <f>BA122*(_xlfn.XLOOKUP(N122,Employees!$A$2:$A$26,Employees!$E$2:$E$26,2))</f>
        <v>530.56010879999997</v>
      </c>
      <c r="AX122" s="3" t="str">
        <f>PROPER('Sales_RAW(BEFORE)'!AV125)</f>
        <v>Chris Williams</v>
      </c>
      <c r="AY122" s="3" t="str">
        <f t="shared" si="8"/>
        <v>Chris Williams</v>
      </c>
      <c r="AZ122" s="3"/>
      <c r="BA122" s="24">
        <f>AK122*(1-(_xlfn.XLOOKUP(G122, Exchange_Rates!$B$8:$F$8, Exchange_Rates!$B$9:$F$9, 0)+J122))</f>
        <v>17685.336960000001</v>
      </c>
      <c r="BB122" s="7" cm="1">
        <f t="array" ref="BB122">_xlfn.LET(
  _xlpm.raw_dt, SUBSTITUTE(TRIM(C122), ".", "/"),
  _xlpm.dt, IFERROR(DATEVALUE(_xlpm.raw_dt), C122),
  _xlpm.p_code, TRIM(E122),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46555</v>
      </c>
      <c r="BC122" s="25">
        <f t="shared" si="9"/>
        <v>4421.3342400000001</v>
      </c>
    </row>
    <row r="123" spans="1:55" ht="15.75" thickBot="1" x14ac:dyDescent="0.3">
      <c r="A123" s="3" t="s">
        <v>2262</v>
      </c>
      <c r="B123" s="10">
        <v>46332</v>
      </c>
      <c r="C123" s="4" t="s">
        <v>134</v>
      </c>
      <c r="D123" s="3" t="str">
        <f>"P-" &amp; TEXT(VALUE(SUBSTITUTE(SUBSTITUTE(SUBSTITUTE(UPPER(TRIM('Sales_RAW(BEFORE)'!D126)), "P", ""), "-", ""), "_", "")),"000")</f>
        <v>P-004</v>
      </c>
      <c r="E123" s="3" t="str">
        <f>VLOOKUP(D123,Product_List!$A$2:$B$61,2,FALSE)</f>
        <v>Printer Plus 4</v>
      </c>
      <c r="F123" s="3" t="str">
        <f>_xlfn.XLOOKUP(E123,Product_List!$B$2:$B$61,Product_List!$E$2:$E$61,2)</f>
        <v>OfficeHub</v>
      </c>
      <c r="G123" s="3" t="str">
        <f>VLOOKUP(E123,Product_List!$B$2:$C$61,2,FALSE)</f>
        <v>Electronics</v>
      </c>
      <c r="H123" s="3" t="str">
        <f>SUBSTITUTE(SUBSTITUTE('Sales_RAW(BEFORE)'!G126,"kom",""),".","")</f>
        <v xml:space="preserve">32 </v>
      </c>
      <c r="I123" s="6">
        <f>VLOOKUP(E123,Product_List!$B$2:$D$61,3,FALSE)</f>
        <v>364.79</v>
      </c>
      <c r="J123" s="5">
        <f>IF(IFERROR(VALUE(SUBSTITUTE(SUBSTITUTE(TRIM('Sales_RAW(BEFORE)'!I126), "%", ""), ",", ".")), 0) &gt; 1, IFERROR(VALUE(SUBSTITUTE(SUBSTITUTE(TRIM('Sales_RAW(BEFORE)'!I126), "%", ""), ",", ".")), 0) / 100, IFERROR(VALUE(SUBSTITUTE(SUBSTITUTE(TRIM('Sales_RAW(BEFORE)'!I126), "%", ""), ",", ".")), 0))</f>
        <v>0.1</v>
      </c>
      <c r="K123" s="6">
        <f t="shared" si="5"/>
        <v>11673.28</v>
      </c>
      <c r="L123" s="6" t="str" cm="1">
        <f t="array" ref="L123">_xlfn.LET(
  _xlpm.valuta, UPPER(TRIM('Sales_RAW(BEFORE)'!K126)),
  _xlfn.IFS(
    _xlpm.valuta = "", "",
    OR(_xlpm.valuta = "USD", _xlpm.valuta = "$"), "$",
    OR(_xlpm.valuta = "EUR", _xlpm.valuta = "€"), "€",
    TRUE, _xlpm.valuta
  )
)</f>
        <v>$</v>
      </c>
      <c r="M123" s="3" t="str">
        <f>"E" &amp; TEXT(VALUE(SUBSTITUTE(SUBSTITUTE(SUBSTITUTE(UPPER(TRIM('Sales_RAW(BEFORE)'!L126)), "EMP", ""), "E", ""), "-", "")),"000")</f>
        <v>E007</v>
      </c>
      <c r="N123" s="3" t="str">
        <f>_xlfn.XLOOKUP(M123,Employees!$D$2:$D$26,Employees!$A$2:$A$26)</f>
        <v>Emma Johnson</v>
      </c>
      <c r="O123" s="3" t="str">
        <f>_xlfn.XLOOKUP(N123,Employees!$A$2:$A$26,Employees!$C$2:$C$26,2)</f>
        <v>Wholesale</v>
      </c>
      <c r="P123" s="3" t="str">
        <f>PROPER('Sales_RAW(BEFORE)'!N126)</f>
        <v>East</v>
      </c>
      <c r="Q123" s="3" t="str">
        <f>VLOOKUP(N123,Employees!$A$2:$B$26,2,FALSE)</f>
        <v>Seattle</v>
      </c>
      <c r="R123" s="3" t="str">
        <f>PROPER('Sales_RAW(BEFORE)'!P126)</f>
        <v>Umbrella Inc</v>
      </c>
      <c r="S123" s="3" t="str">
        <f>SUBSTITUTE(SUBSTITUTE('Sales_RAW(BEFORE)'!Q126,"EIN",""),":","")</f>
        <v>117248121</v>
      </c>
      <c r="T123" s="3" t="s">
        <v>378</v>
      </c>
      <c r="U123" s="3" t="s">
        <v>2272</v>
      </c>
      <c r="V123" s="3" t="s">
        <v>2273</v>
      </c>
      <c r="W123" s="3" t="s">
        <v>2274</v>
      </c>
      <c r="X123" s="3" t="s">
        <v>173</v>
      </c>
      <c r="Y123" s="3" t="str">
        <f>PROPER('Sales_RAW(BEFORE)'!W126)</f>
        <v>Wire</v>
      </c>
      <c r="Z123" s="3" t="str">
        <f>PROPER('Sales_RAW(BEFORE)'!X126)</f>
        <v>Processing</v>
      </c>
      <c r="AA123" s="3" t="str" cm="1">
        <f t="array" ref="AA123">_xlfn.LET(
  _xlpm.val, TRIM(LOWER('Sales_RAW(BEFORE)'!Y126)),
  _xlfn.IFS(
    OR(_xlpm.val="yes", _xlpm.val="paid"), "Paid",
    OR(_xlpm.val="no", _xlpm.val="unpaid"), "Unpaid",
    OR(_xlpm.val="partial", _xlpm.val="partial paid"), "Partial",
    _xlpm.val="", "",
    TRUE, 'Sales_RAW(BEFORE)'!AY126
  )
)</f>
        <v>Partial</v>
      </c>
      <c r="AB123" s="3" t="s">
        <v>2275</v>
      </c>
      <c r="AC123" s="3" t="str">
        <f>PROPER('Sales_RAW(BEFORE)'!AA126)</f>
        <v>Store</v>
      </c>
      <c r="AD123" s="3" t="str">
        <f>SUBSTITUTE(SUBSTITUTE(SUBSTITUTE(SUBSTITUTE('Sales_RAW(BEFORE)'!AB126,"st",""),"q",""),"Q",""),"uarter","")</f>
        <v>2</v>
      </c>
      <c r="AE123" s="3" t="str">
        <f>TEXT(IFERROR(DATEVALUE('Sales_RAW(BEFORE)'!AC126 &amp; " 1"), IFERROR(DATE(2025, 'Sales_RAW(BEFORE)'!AC126, 1), 'Sales_RAW(BEFORE)'!AC126)), "mmmm")</f>
        <v>June</v>
      </c>
      <c r="AF123" s="3">
        <f>_xlfn.LET(
  _xlpm.raw, TRIM(SUBSTITUTE('Sales_RAW(BEFORE)'!AD126, "'", "")),
  _xlpm.num, IFERROR(VALUE(_xlpm.raw), 0),
  IF(_xlpm.num &lt; 100, 2000 + _xlpm.num, _xlpm.num)
)</f>
        <v>2026</v>
      </c>
      <c r="AG123" s="3" t="str">
        <f>PROPER('Sales_RAW(BEFORE)'!AE126)</f>
        <v>Net 60</v>
      </c>
      <c r="AH123" s="3" cm="1">
        <f t="array" ref="AH123">_xlfn.LET(
  _xlpm.val, LOWER(TRIM('Sales_RAW(BEFORE)'!AF126)),
  _xlfn.IFS(
    OR(_xlpm.val="", _xlpm.val="null", _xlpm.val="N/A", _xlpm.val="-", _xlpm.val="#N/A"), 0,
    ISNUMBER('Sales_RAW(BEFORE)'!AF126), 'Sales_RAW(BEFORE)'!AF126,
    TRUE, IFERROR(_xlfn.NUMBERVALUE(_xlpm.val), 0)
  )
)</f>
        <v>0</v>
      </c>
      <c r="AI123" s="5">
        <f>IF(IFERROR(VALUE(SUBSTITUTE(SUBSTITUTE(TRIM('Sales_RAW(BEFORE)'!AG126), "%", ""), ",", ".")), 0) &gt; 1, IFERROR(VALUE(SUBSTITUTE(SUBSTITUTE(TRIM('Sales_RAW(BEFORE)'!AG126), "%", ""), ",", ".")), 0) / 100, IFERROR(VALUE(SUBSTITUTE(SUBSTITUTE(TRIM('Sales_RAW(BEFORE)'!AG126), "%", ""), ",", ".")), 0))</f>
        <v>0.08</v>
      </c>
      <c r="AJ123" s="6">
        <f t="shared" si="6"/>
        <v>933.86240000000009</v>
      </c>
      <c r="AK123" s="6">
        <f t="shared" si="7"/>
        <v>12607.142400000001</v>
      </c>
      <c r="AL123" s="6">
        <f>IFERROR(VALUE(SUBSTITUTE(SUBSTITUTE(SUBSTITUTE('Sales_RAW(BEFORE)'!AJ126,"$",""),"USD",""),",",".")),0)</f>
        <v>8</v>
      </c>
      <c r="AM123" s="3" t="str">
        <f>SUBSTITUTE(SUBSTITUTE(PROPER('Sales_RAW(BEFORE)'!AK126), "Fed Ex", "FedEx"),"Fedex","FedEx")</f>
        <v>Ups</v>
      </c>
      <c r="AN123" s="3" t="s">
        <v>2277</v>
      </c>
      <c r="AO123" s="3" t="str">
        <f>SUBSTITUTE('Sales_RAW(BEFORE)'!AM126,"kg","")</f>
        <v>22.08</v>
      </c>
      <c r="AP123" s="3" t="str">
        <f>_xlfn.LET(
  _xlpm.raw, UPPER(TRIM('Sales_RAW(BEFORE)'!AN126)),
  _xlpm.clean, RIGHT(_xlpm.raw, 1),
  IF(OR(_xlpm.raw="", _xlpm.raw="null"), "N/A", _xlpm.clean)
)</f>
        <v>A</v>
      </c>
      <c r="AQ123" s="3">
        <v>71</v>
      </c>
      <c r="AR123" s="3" t="str" cm="1">
        <f t="array" ref="AR123">_xlfn.LET(
  _xlpm.raw, LOWER(TRIM('Sales_RAW(BEFORE)'!AP126)),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123" s="3"/>
      <c r="AT123" s="3"/>
      <c r="AU123" s="3"/>
      <c r="AV123" s="8">
        <f>IF(IFERROR(VALUE(SUBSTITUTE(SUBSTITUTE(TRIM('Sales_RAW(BEFORE)'!AT126), "%", ""), ",", ".")), 0) &gt; 1, IFERROR(VALUE(SUBSTITUTE(SUBSTITUTE(TRIM('Sales_RAW(BEFORE)'!AT126), "%", ""), ",", ".")), 0) / 100, IFERROR(VALUE(SUBSTITUTE(SUBSTITUTE(TRIM('Sales_RAW(BEFORE)'!AT126), "%", ""), ",", ".")), 0))</f>
        <v>0.25</v>
      </c>
      <c r="AW123" s="6">
        <f>BA123*(_xlfn.XLOOKUP(N123,Employees!$A$2:$A$26,Employees!$E$2:$E$26,2))</f>
        <v>302.57141760000007</v>
      </c>
      <c r="AX123" s="3" t="str">
        <f>PROPER('Sales_RAW(BEFORE)'!AV126)</f>
        <v>Emma Jones</v>
      </c>
      <c r="AY123" s="3" t="str">
        <f t="shared" si="8"/>
        <v>Emma Jones</v>
      </c>
      <c r="AZ123" s="3"/>
      <c r="BA123" s="24">
        <f>AK123*(1-(_xlfn.XLOOKUP(G123, Exchange_Rates!$B$8:$F$8, Exchange_Rates!$B$9:$F$9, 0)+J123))</f>
        <v>10085.713920000002</v>
      </c>
      <c r="BB123" s="7" t="str" cm="1">
        <f t="array" ref="BB123">_xlfn.LET(
  _xlpm.raw_dt, SUBSTITUTE(TRIM(C123), ".", "/"),
  _xlpm.dt, IFERROR(DATEVALUE(_xlpm.raw_dt), C123),
  _xlpm.p_code, TRIM(E123),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Empty</v>
      </c>
      <c r="BC123" s="25">
        <f t="shared" si="9"/>
        <v>2521.4284800000005</v>
      </c>
    </row>
    <row r="124" spans="1:55" ht="15.75" thickBot="1" x14ac:dyDescent="0.3">
      <c r="A124" s="3" t="s">
        <v>2281</v>
      </c>
      <c r="B124" s="10">
        <v>45690</v>
      </c>
      <c r="C124" s="4">
        <f>DATE(2025,2,8)</f>
        <v>45696</v>
      </c>
      <c r="D124" s="3" t="str">
        <f>"P-" &amp; TEXT(VALUE(SUBSTITUTE(SUBSTITUTE(SUBSTITUTE(UPPER(TRIM('Sales_RAW(BEFORE)'!D127)), "P", ""), "-", ""), "_", "")),"000")</f>
        <v>P-017</v>
      </c>
      <c r="E124" s="3" t="str">
        <f>VLOOKUP(D124,Product_List!$A$2:$B$61,2,FALSE)</f>
        <v>Chair Max 17</v>
      </c>
      <c r="F124" s="3" t="str">
        <f>_xlfn.XLOOKUP(E124,Product_List!$B$2:$B$61,Product_List!$E$2:$E$61,2)</f>
        <v>BestParts</v>
      </c>
      <c r="G124" s="3" t="str">
        <f>VLOOKUP(E124,Product_List!$B$2:$C$61,2,FALSE)</f>
        <v>Software</v>
      </c>
      <c r="H124" s="3" t="str">
        <f>SUBSTITUTE(SUBSTITUTE('Sales_RAW(BEFORE)'!G127,"kom",""),".","")</f>
        <v>14</v>
      </c>
      <c r="I124" s="6">
        <f>VLOOKUP(E124,Product_List!$B$2:$D$61,3,FALSE)</f>
        <v>1313.33</v>
      </c>
      <c r="J124" s="5">
        <f>IF(IFERROR(VALUE(SUBSTITUTE(SUBSTITUTE(TRIM('Sales_RAW(BEFORE)'!I127), "%", ""), ",", ".")), 0) &gt; 1, IFERROR(VALUE(SUBSTITUTE(SUBSTITUTE(TRIM('Sales_RAW(BEFORE)'!I127), "%", ""), ",", ".")), 0) / 100, IFERROR(VALUE(SUBSTITUTE(SUBSTITUTE(TRIM('Sales_RAW(BEFORE)'!I127), "%", ""), ",", ".")), 0))</f>
        <v>0</v>
      </c>
      <c r="K124" s="6">
        <f t="shared" si="5"/>
        <v>18386.62</v>
      </c>
      <c r="L124" s="6" t="str" cm="1">
        <f t="array" ref="L124">_xlfn.LET(
  _xlpm.valuta, UPPER(TRIM('Sales_RAW(BEFORE)'!K127)),
  _xlfn.IFS(
    _xlpm.valuta = "", "",
    OR(_xlpm.valuta = "USD", _xlpm.valuta = "$"), "$",
    OR(_xlpm.valuta = "EUR", _xlpm.valuta = "€"), "€",
    TRUE, _xlpm.valuta
  )
)</f>
        <v>$</v>
      </c>
      <c r="M124" s="3" t="str">
        <f>"E" &amp; TEXT(VALUE(SUBSTITUTE(SUBSTITUTE(SUBSTITUTE(UPPER(TRIM('Sales_RAW(BEFORE)'!L127)), "EMP", ""), "E", ""), "-", "")),"000")</f>
        <v>E004</v>
      </c>
      <c r="N124" s="3" t="str">
        <f>_xlfn.XLOOKUP(M124,Employees!$D$2:$D$26,Employees!$A$2:$A$26)</f>
        <v>Sophia Johnson</v>
      </c>
      <c r="O124" s="3" t="str">
        <f>_xlfn.XLOOKUP(N124,Employees!$A$2:$A$26,Employees!$C$2:$C$26,2)</f>
        <v>Wholesale</v>
      </c>
      <c r="P124" s="3" t="str">
        <f>PROPER('Sales_RAW(BEFORE)'!N127)</f>
        <v>West</v>
      </c>
      <c r="Q124" s="3" t="str">
        <f>VLOOKUP(N124,Employees!$A$2:$B$26,2,FALSE)</f>
        <v>Houston</v>
      </c>
      <c r="R124" s="3" t="str">
        <f>PROPER('Sales_RAW(BEFORE)'!P127)</f>
        <v xml:space="preserve">   Globex Inc</v>
      </c>
      <c r="S124" s="3" t="str">
        <f>SUBSTITUTE(SUBSTITUTE('Sales_RAW(BEFORE)'!Q127,"EIN",""),":","")</f>
        <v>288439142</v>
      </c>
      <c r="T124" s="3" t="s">
        <v>722</v>
      </c>
      <c r="U124" s="3" t="s">
        <v>2287</v>
      </c>
      <c r="V124" s="3" t="s">
        <v>2288</v>
      </c>
      <c r="W124" s="3" t="s">
        <v>2289</v>
      </c>
      <c r="X124" s="3" t="s">
        <v>173</v>
      </c>
      <c r="Y124" s="3" t="str">
        <f>PROPER('Sales_RAW(BEFORE)'!W127)</f>
        <v>Paypal</v>
      </c>
      <c r="Z124" s="3" t="str">
        <f>PROPER('Sales_RAW(BEFORE)'!X127)</f>
        <v>Processing</v>
      </c>
      <c r="AA124" s="3" t="str" cm="1">
        <f t="array" ref="AA124">_xlfn.LET(
  _xlpm.val, TRIM(LOWER('Sales_RAW(BEFORE)'!Y127)),
  _xlfn.IFS(
    OR(_xlpm.val="yes", _xlpm.val="paid"), "Paid",
    OR(_xlpm.val="no", _xlpm.val="unpaid"), "Unpaid",
    OR(_xlpm.val="partial", _xlpm.val="partial paid"), "Partial",
    _xlpm.val="", "",
    TRUE, 'Sales_RAW(BEFORE)'!AY127
  )
)</f>
        <v>Unpaid</v>
      </c>
      <c r="AB124" s="3" t="s">
        <v>2290</v>
      </c>
      <c r="AC124" s="3" t="str">
        <f>PROPER('Sales_RAW(BEFORE)'!AA127)</f>
        <v>Online</v>
      </c>
      <c r="AD124" s="3" t="str">
        <f>SUBSTITUTE(SUBSTITUTE(SUBSTITUTE(SUBSTITUTE('Sales_RAW(BEFORE)'!AB127,"st",""),"q",""),"Q",""),"uarter","")</f>
        <v>4</v>
      </c>
      <c r="AE124" s="3" t="str">
        <f>TEXT(IFERROR(DATEVALUE('Sales_RAW(BEFORE)'!AC127 &amp; " 1"), IFERROR(DATE(2025, 'Sales_RAW(BEFORE)'!AC127, 1), 'Sales_RAW(BEFORE)'!AC127)), "mmmm")</f>
        <v>February</v>
      </c>
      <c r="AF124" s="3">
        <f>_xlfn.LET(
  _xlpm.raw, TRIM(SUBSTITUTE('Sales_RAW(BEFORE)'!AD127, "'", "")),
  _xlpm.num, IFERROR(VALUE(_xlpm.raw), 0),
  IF(_xlpm.num &lt; 100, 2000 + _xlpm.num, _xlpm.num)
)</f>
        <v>2025</v>
      </c>
      <c r="AG124" s="3" t="str">
        <f>PROPER('Sales_RAW(BEFORE)'!AE127)</f>
        <v>Net 60</v>
      </c>
      <c r="AH124" s="3" cm="1">
        <f t="array" ref="AH124">_xlfn.LET(
  _xlpm.val, LOWER(TRIM('Sales_RAW(BEFORE)'!AF127)),
  _xlfn.IFS(
    OR(_xlpm.val="", _xlpm.val="null", _xlpm.val="N/A", _xlpm.val="-", _xlpm.val="#N/A"), 0,
    ISNUMBER('Sales_RAW(BEFORE)'!AF127), 'Sales_RAW(BEFORE)'!AF127,
    TRUE, IFERROR(_xlfn.NUMBERVALUE(_xlpm.val), 0)
  )
)</f>
        <v>16</v>
      </c>
      <c r="AI124" s="5">
        <f>IF(IFERROR(VALUE(SUBSTITUTE(SUBSTITUTE(TRIM('Sales_RAW(BEFORE)'!AG127), "%", ""), ",", ".")), 0) &gt; 1, IFERROR(VALUE(SUBSTITUTE(SUBSTITUTE(TRIM('Sales_RAW(BEFORE)'!AG127), "%", ""), ",", ".")), 0) / 100, IFERROR(VALUE(SUBSTITUTE(SUBSTITUTE(TRIM('Sales_RAW(BEFORE)'!AG127), "%", ""), ",", ".")), 0))</f>
        <v>0.08</v>
      </c>
      <c r="AJ124" s="6">
        <f t="shared" si="6"/>
        <v>1470.9295999999999</v>
      </c>
      <c r="AK124" s="6">
        <f t="shared" si="7"/>
        <v>19857.549599999998</v>
      </c>
      <c r="AL124" s="6">
        <f>IFERROR(VALUE(SUBSTITUTE(SUBSTITUTE(SUBSTITUTE('Sales_RAW(BEFORE)'!AJ127,"$",""),"USD",""),",",".")),0)</f>
        <v>15.73</v>
      </c>
      <c r="AM124" s="3" t="str">
        <f>SUBSTITUTE(SUBSTITUTE(PROPER('Sales_RAW(BEFORE)'!AK127), "Fed Ex", "FedEx"),"Fedex","FedEx")</f>
        <v>Ups</v>
      </c>
      <c r="AN124" s="3" t="s">
        <v>2292</v>
      </c>
      <c r="AO124" s="3" t="str">
        <f>SUBSTITUTE('Sales_RAW(BEFORE)'!AM127,"kg","")</f>
        <v>12.3</v>
      </c>
      <c r="AP124" s="3" t="str">
        <f>_xlfn.LET(
  _xlpm.raw, UPPER(TRIM('Sales_RAW(BEFORE)'!AN127)),
  _xlpm.clean, RIGHT(_xlpm.raw, 1),
  IF(OR(_xlpm.raw="", _xlpm.raw="null"), "N/A", _xlpm.clean)
)</f>
        <v>B</v>
      </c>
      <c r="AQ124" s="3">
        <v>408</v>
      </c>
      <c r="AR124" s="3" t="str" cm="1">
        <f t="array" ref="AR124">_xlfn.LET(
  _xlpm.raw, LOWER(TRIM('Sales_RAW(BEFORE)'!AP127)),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124" s="3"/>
      <c r="AT124" s="3"/>
      <c r="AU124" s="3"/>
      <c r="AV124" s="8">
        <f>IF(IFERROR(VALUE(SUBSTITUTE(SUBSTITUTE(TRIM('Sales_RAW(BEFORE)'!AT127), "%", ""), ",", ".")), 0) &gt; 1, IFERROR(VALUE(SUBSTITUTE(SUBSTITUTE(TRIM('Sales_RAW(BEFORE)'!AT127), "%", ""), ",", ".")), 0) / 100, IFERROR(VALUE(SUBSTITUTE(SUBSTITUTE(TRIM('Sales_RAW(BEFORE)'!AT127), "%", ""), ",", ".")), 0))</f>
        <v>0.15</v>
      </c>
      <c r="AW124" s="6">
        <f>BA124*(_xlfn.XLOOKUP(N124,Employees!$A$2:$A$26,Employees!$E$2:$E$26,2))</f>
        <v>843.94585799999993</v>
      </c>
      <c r="AX124" s="3" t="str">
        <f>PROPER('Sales_RAW(BEFORE)'!AV127)</f>
        <v xml:space="preserve">  Robert Williams   </v>
      </c>
      <c r="AY124" s="3" t="str">
        <f t="shared" si="8"/>
        <v xml:space="preserve">  Robert Williams   </v>
      </c>
      <c r="AZ124" s="3"/>
      <c r="BA124" s="24">
        <f>AK124*(1-(_xlfn.XLOOKUP(G124, Exchange_Rates!$B$8:$F$8, Exchange_Rates!$B$9:$F$9, 0)+J124))</f>
        <v>16878.917159999997</v>
      </c>
      <c r="BB124" s="7" cm="1">
        <f t="array" ref="BB124">_xlfn.LET(
  _xlpm.raw_dt, SUBSTITUTE(TRIM(C124), ".", "/"),
  _xlpm.dt, IFERROR(DATEVALUE(_xlpm.raw_dt), C124),
  _xlpm.p_code, TRIM(E124),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46426</v>
      </c>
      <c r="BC124" s="25">
        <f t="shared" si="9"/>
        <v>2531.8375739999997</v>
      </c>
    </row>
    <row r="125" spans="1:55" ht="15.75" thickBot="1" x14ac:dyDescent="0.3">
      <c r="A125" s="3" t="s">
        <v>2295</v>
      </c>
      <c r="B125" s="10">
        <f>DATE(2026,2,13)</f>
        <v>46066</v>
      </c>
      <c r="C125" s="4">
        <v>46076</v>
      </c>
      <c r="D125" s="3" t="str">
        <f>"P-" &amp; TEXT(VALUE(SUBSTITUTE(SUBSTITUTE(SUBSTITUTE(UPPER(TRIM('Sales_RAW(BEFORE)'!D128)), "P", ""), "-", ""), "_", "")),"000")</f>
        <v>P-025</v>
      </c>
      <c r="E125" s="3" t="str">
        <f>VLOOKUP(D125,Product_List!$A$2:$B$61,2,FALSE)</f>
        <v>Chair Max 25</v>
      </c>
      <c r="F125" s="3" t="str">
        <f>_xlfn.XLOOKUP(E125,Product_List!$B$2:$B$61,Product_List!$E$2:$E$61,2)</f>
        <v>TechSupply Co</v>
      </c>
      <c r="G125" s="3" t="str">
        <f>VLOOKUP(E125,Product_List!$B$2:$C$61,2,FALSE)</f>
        <v>Software</v>
      </c>
      <c r="H125" s="3" t="str">
        <f>SUBSTITUTE(SUBSTITUTE('Sales_RAW(BEFORE)'!G128,"kom",""),".","")</f>
        <v xml:space="preserve">5 </v>
      </c>
      <c r="I125" s="6">
        <f>VLOOKUP(E125,Product_List!$B$2:$D$61,3,FALSE)</f>
        <v>430.47</v>
      </c>
      <c r="J125" s="5">
        <f>IF(IFERROR(VALUE(SUBSTITUTE(SUBSTITUTE(TRIM('Sales_RAW(BEFORE)'!I128), "%", ""), ",", ".")), 0) &gt; 1, IFERROR(VALUE(SUBSTITUTE(SUBSTITUTE(TRIM('Sales_RAW(BEFORE)'!I128), "%", ""), ",", ".")), 0) / 100, IFERROR(VALUE(SUBSTITUTE(SUBSTITUTE(TRIM('Sales_RAW(BEFORE)'!I128), "%", ""), ",", ".")), 0))</f>
        <v>0</v>
      </c>
      <c r="K125" s="6">
        <f t="shared" si="5"/>
        <v>2152.3500000000004</v>
      </c>
      <c r="L125" s="6" t="str" cm="1">
        <f t="array" ref="L125">_xlfn.LET(
  _xlpm.valuta, UPPER(TRIM('Sales_RAW(BEFORE)'!K128)),
  _xlfn.IFS(
    _xlpm.valuta = "", "",
    OR(_xlpm.valuta = "USD", _xlpm.valuta = "$"), "$",
    OR(_xlpm.valuta = "EUR", _xlpm.valuta = "€"), "€",
    TRUE, _xlpm.valuta
  )
)</f>
        <v>$</v>
      </c>
      <c r="M125" s="3" t="str">
        <f>"E" &amp; TEXT(VALUE(SUBSTITUTE(SUBSTITUTE(SUBSTITUTE(UPPER(TRIM('Sales_RAW(BEFORE)'!L128)), "EMP", ""), "E", ""), "-", "")),"000")</f>
        <v>E001</v>
      </c>
      <c r="N125" s="3" t="str">
        <f>_xlfn.XLOOKUP(M125,Employees!$D$2:$D$26,Employees!$A$2:$A$26)</f>
        <v>Sarah Wilson</v>
      </c>
      <c r="O125" s="3" t="str">
        <f>_xlfn.XLOOKUP(N125,Employees!$A$2:$A$26,Employees!$C$2:$C$26,2)</f>
        <v>Online</v>
      </c>
      <c r="P125" s="3" t="str">
        <f>PROPER('Sales_RAW(BEFORE)'!N128)</f>
        <v>North</v>
      </c>
      <c r="Q125" s="3" t="str">
        <f>VLOOKUP(N125,Employees!$A$2:$B$26,2,FALSE)</f>
        <v>Los Angeles</v>
      </c>
      <c r="R125" s="3" t="str">
        <f>PROPER('Sales_RAW(BEFORE)'!P128)</f>
        <v xml:space="preserve">Stark Inc.  </v>
      </c>
      <c r="S125" s="3" t="str">
        <f>SUBSTITUTE(SUBSTITUTE('Sales_RAW(BEFORE)'!Q128,"EIN",""),":","")</f>
        <v>882485433</v>
      </c>
      <c r="T125" s="3" t="s">
        <v>201</v>
      </c>
      <c r="U125" s="3" t="s">
        <v>2308</v>
      </c>
      <c r="V125" s="3" t="s">
        <v>2309</v>
      </c>
      <c r="W125" s="3" t="s">
        <v>2310</v>
      </c>
      <c r="X125" s="3" t="s">
        <v>173</v>
      </c>
      <c r="Y125" s="3" t="str">
        <f>PROPER('Sales_RAW(BEFORE)'!W128)</f>
        <v>Wire</v>
      </c>
      <c r="Z125" s="3" t="str">
        <f>PROPER('Sales_RAW(BEFORE)'!X128)</f>
        <v>Cancelled</v>
      </c>
      <c r="AA125" s="3" t="str" cm="1">
        <f t="array" ref="AA125">_xlfn.LET(
  _xlpm.val, TRIM(LOWER('Sales_RAW(BEFORE)'!Y128)),
  _xlfn.IFS(
    OR(_xlpm.val="yes", _xlpm.val="paid"), "Paid",
    OR(_xlpm.val="no", _xlpm.val="unpaid"), "Unpaid",
    OR(_xlpm.val="partial", _xlpm.val="partial paid"), "Partial",
    _xlpm.val="", "",
    TRUE, 'Sales_RAW(BEFORE)'!AY128
  )
)</f>
        <v>Paid</v>
      </c>
      <c r="AB125" s="3" t="s">
        <v>2311</v>
      </c>
      <c r="AC125" s="3" t="str">
        <f>PROPER('Sales_RAW(BEFORE)'!AA128)</f>
        <v>Online</v>
      </c>
      <c r="AD125" s="3" t="str">
        <f>SUBSTITUTE(SUBSTITUTE(SUBSTITUTE(SUBSTITUTE('Sales_RAW(BEFORE)'!AB128,"st",""),"q",""),"Q",""),"uarter","")</f>
        <v>2</v>
      </c>
      <c r="AE125" s="3" t="str">
        <f>TEXT(IFERROR(DATEVALUE('Sales_RAW(BEFORE)'!AC128 &amp; " 1"), IFERROR(DATE(2025, 'Sales_RAW(BEFORE)'!AC128, 1), 'Sales_RAW(BEFORE)'!AC128)), "mmmm")</f>
        <v>February</v>
      </c>
      <c r="AF125" s="3">
        <f>_xlfn.LET(
  _xlpm.raw, TRIM(SUBSTITUTE('Sales_RAW(BEFORE)'!AD128, "'", "")),
  _xlpm.num, IFERROR(VALUE(_xlpm.raw), 0),
  IF(_xlpm.num &lt; 100, 2000 + _xlpm.num, _xlpm.num)
)</f>
        <v>2026</v>
      </c>
      <c r="AG125" s="3" t="str">
        <f>PROPER('Sales_RAW(BEFORE)'!AE128)</f>
        <v>Immediate</v>
      </c>
      <c r="AH125" s="3" cm="1">
        <f t="array" ref="AH125">_xlfn.LET(
  _xlpm.val, LOWER(TRIM('Sales_RAW(BEFORE)'!AF128)),
  _xlfn.IFS(
    OR(_xlpm.val="", _xlpm.val="null", _xlpm.val="N/A", _xlpm.val="-", _xlpm.val="#N/A"), 0,
    ISNUMBER('Sales_RAW(BEFORE)'!AF128), 'Sales_RAW(BEFORE)'!AF128,
    TRUE, IFERROR(_xlfn.NUMBERVALUE(_xlpm.val), 0)
  )
)</f>
        <v>37</v>
      </c>
      <c r="AI125" s="5">
        <f>IF(IFERROR(VALUE(SUBSTITUTE(SUBSTITUTE(TRIM('Sales_RAW(BEFORE)'!AG128), "%", ""), ",", ".")), 0) &gt; 1, IFERROR(VALUE(SUBSTITUTE(SUBSTITUTE(TRIM('Sales_RAW(BEFORE)'!AG128), "%", ""), ",", ".")), 0) / 100, IFERROR(VALUE(SUBSTITUTE(SUBSTITUTE(TRIM('Sales_RAW(BEFORE)'!AG128), "%", ""), ",", ".")), 0))</f>
        <v>0.08</v>
      </c>
      <c r="AJ125" s="6">
        <f t="shared" si="6"/>
        <v>172.18800000000005</v>
      </c>
      <c r="AK125" s="6">
        <f t="shared" si="7"/>
        <v>2324.5380000000005</v>
      </c>
      <c r="AL125" s="6">
        <f>IFERROR(VALUE(SUBSTITUTE(SUBSTITUTE(SUBSTITUTE('Sales_RAW(BEFORE)'!AJ128,"$",""),"USD",""),",",".")),0)</f>
        <v>2.62</v>
      </c>
      <c r="AM125" s="3" t="str">
        <f>SUBSTITUTE(SUBSTITUTE(PROPER('Sales_RAW(BEFORE)'!AK128), "Fed Ex", "FedEx"),"Fedex","FedEx")</f>
        <v>Ups</v>
      </c>
      <c r="AN125" s="3" t="s">
        <v>2313</v>
      </c>
      <c r="AO125" s="3" t="str">
        <f>SUBSTITUTE('Sales_RAW(BEFORE)'!AM128,"kg","")</f>
        <v xml:space="preserve">4.3 </v>
      </c>
      <c r="AP125" s="3" t="str">
        <f>_xlfn.LET(
  _xlpm.raw, UPPER(TRIM('Sales_RAW(BEFORE)'!AN128)),
  _xlpm.clean, RIGHT(_xlpm.raw, 1),
  IF(OR(_xlpm.raw="", _xlpm.raw="null"), "N/A", _xlpm.clean)
)</f>
        <v>C</v>
      </c>
      <c r="AQ125" s="3">
        <v>385</v>
      </c>
      <c r="AR125" s="3" cm="1">
        <f t="array" ref="AR125">_xlfn.LET(
  _xlpm.raw, LOWER(TRIM('Sales_RAW(BEFORE)'!AP128)),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125" s="3"/>
      <c r="AT125" s="3"/>
      <c r="AU125" s="3"/>
      <c r="AV125" s="8">
        <f>IF(IFERROR(VALUE(SUBSTITUTE(SUBSTITUTE(TRIM('Sales_RAW(BEFORE)'!AT128), "%", ""), ",", ".")), 0) &gt; 1, IFERROR(VALUE(SUBSTITUTE(SUBSTITUTE(TRIM('Sales_RAW(BEFORE)'!AT128), "%", ""), ",", ".")), 0) / 100, IFERROR(VALUE(SUBSTITUTE(SUBSTITUTE(TRIM('Sales_RAW(BEFORE)'!AT128), "%", ""), ",", ".")), 0))</f>
        <v>0.25</v>
      </c>
      <c r="AW125" s="6">
        <f>BA125*(_xlfn.XLOOKUP(N125,Employees!$A$2:$A$26,Employees!$E$2:$E$26,2))</f>
        <v>59.275719000000009</v>
      </c>
      <c r="AX125" s="3" t="str">
        <f>PROPER('Sales_RAW(BEFORE)'!AV128)</f>
        <v xml:space="preserve">Laura Taylor </v>
      </c>
      <c r="AY125" s="3" t="str">
        <f t="shared" si="8"/>
        <v xml:space="preserve">Laura Taylor </v>
      </c>
      <c r="AZ125" s="3"/>
      <c r="BA125" s="24">
        <f>AK125*(1-(_xlfn.XLOOKUP(G125, Exchange_Rates!$B$8:$F$8, Exchange_Rates!$B$9:$F$9, 0)+J125))</f>
        <v>1975.8573000000004</v>
      </c>
      <c r="BB125" s="7" cm="1">
        <f t="array" ref="BB125">_xlfn.LET(
  _xlpm.raw_dt, SUBSTITUTE(TRIM(C125), ".", "/"),
  _xlpm.dt, IFERROR(DATEVALUE(_xlpm.raw_dt), C125),
  _xlpm.p_code, TRIM(E125),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46441</v>
      </c>
      <c r="BC125" s="25">
        <f t="shared" si="9"/>
        <v>493.96432500000009</v>
      </c>
    </row>
    <row r="126" spans="1:55" ht="15.75" thickBot="1" x14ac:dyDescent="0.3">
      <c r="A126" s="3" t="s">
        <v>2316</v>
      </c>
      <c r="B126" s="10">
        <v>46118</v>
      </c>
      <c r="C126" s="4">
        <f>DATE(2026,6,11)</f>
        <v>46184</v>
      </c>
      <c r="D126" s="3" t="str">
        <f>"P-" &amp; TEXT(VALUE(SUBSTITUTE(SUBSTITUTE(SUBSTITUTE(UPPER(TRIM('Sales_RAW(BEFORE)'!D129)), "P", ""), "-", ""), "_", "")),"000")</f>
        <v>P-012</v>
      </c>
      <c r="E126" s="3" t="str">
        <f>VLOOKUP(D126,Product_List!$A$2:$B$61,2,FALSE)</f>
        <v>Keyboard Basic 12</v>
      </c>
      <c r="F126" s="3" t="str">
        <f>_xlfn.XLOOKUP(E126,Product_List!$B$2:$B$61,Product_List!$E$2:$E$61,2)</f>
        <v>OfficeHub</v>
      </c>
      <c r="G126" s="3" t="str">
        <f>VLOOKUP(E126,Product_List!$B$2:$C$61,2,FALSE)</f>
        <v>Electronics</v>
      </c>
      <c r="H126" s="3" t="str">
        <f>SUBSTITUTE(SUBSTITUTE('Sales_RAW(BEFORE)'!G129,"kom",""),".","")</f>
        <v xml:space="preserve">20 </v>
      </c>
      <c r="I126" s="6">
        <f>VLOOKUP(E126,Product_List!$B$2:$D$61,3,FALSE)</f>
        <v>823.88</v>
      </c>
      <c r="J126" s="5">
        <f>IF(IFERROR(VALUE(SUBSTITUTE(SUBSTITUTE(TRIM('Sales_RAW(BEFORE)'!I129), "%", ""), ",", ".")), 0) &gt; 1, IFERROR(VALUE(SUBSTITUTE(SUBSTITUTE(TRIM('Sales_RAW(BEFORE)'!I129), "%", ""), ",", ".")), 0) / 100, IFERROR(VALUE(SUBSTITUTE(SUBSTITUTE(TRIM('Sales_RAW(BEFORE)'!I129), "%", ""), ",", ".")), 0))</f>
        <v>0.1</v>
      </c>
      <c r="K126" s="6">
        <f t="shared" si="5"/>
        <v>16477.599999999999</v>
      </c>
      <c r="L126" s="6" t="str" cm="1">
        <f t="array" ref="L126">_xlfn.LET(
  _xlpm.valuta, UPPER(TRIM('Sales_RAW(BEFORE)'!K129)),
  _xlfn.IFS(
    _xlpm.valuta = "", "",
    OR(_xlpm.valuta = "USD", _xlpm.valuta = "$"), "$",
    OR(_xlpm.valuta = "EUR", _xlpm.valuta = "€"), "€",
    TRUE, _xlpm.valuta
  )
)</f>
        <v>$</v>
      </c>
      <c r="M126" s="3" t="str">
        <f>"E" &amp; TEXT(VALUE(SUBSTITUTE(SUBSTITUTE(SUBSTITUTE(UPPER(TRIM('Sales_RAW(BEFORE)'!L129)), "EMP", ""), "E", ""), "-", "")),"000")</f>
        <v>E018</v>
      </c>
      <c r="N126" s="3" t="str">
        <f>_xlfn.XLOOKUP(M126,Employees!$D$2:$D$26,Employees!$A$2:$A$26)</f>
        <v>John Miller</v>
      </c>
      <c r="O126" s="3" t="str">
        <f>_xlfn.XLOOKUP(N126,Employees!$A$2:$A$26,Employees!$C$2:$C$26,2)</f>
        <v>Retail</v>
      </c>
      <c r="P126" s="3" t="str">
        <f>PROPER('Sales_RAW(BEFORE)'!N129)</f>
        <v>South</v>
      </c>
      <c r="Q126" s="3" t="str">
        <f>VLOOKUP(N126,Employees!$A$2:$B$26,2,FALSE)</f>
        <v>Houston</v>
      </c>
      <c r="R126" s="3" t="str">
        <f>PROPER('Sales_RAW(BEFORE)'!P129)</f>
        <v xml:space="preserve">   Initech Inc.</v>
      </c>
      <c r="S126" s="3" t="str">
        <f>SUBSTITUTE(SUBSTITUTE('Sales_RAW(BEFORE)'!Q129,"EIN",""),":","")</f>
        <v>362515695</v>
      </c>
      <c r="T126" s="3" t="s">
        <v>1359</v>
      </c>
      <c r="U126" s="3" t="s">
        <v>2324</v>
      </c>
      <c r="V126" s="3" t="s">
        <v>2325</v>
      </c>
      <c r="W126" s="3" t="s">
        <v>2326</v>
      </c>
      <c r="X126" s="3" t="s">
        <v>173</v>
      </c>
      <c r="Y126" s="3" t="str">
        <f>PROPER('Sales_RAW(BEFORE)'!W129)</f>
        <v>Credit Card</v>
      </c>
      <c r="Z126" s="3" t="str">
        <f>PROPER('Sales_RAW(BEFORE)'!X129)</f>
        <v>Delivered</v>
      </c>
      <c r="AA126" s="3" t="str" cm="1">
        <f t="array" ref="AA126">_xlfn.LET(
  _xlpm.val, TRIM(LOWER('Sales_RAW(BEFORE)'!Y129)),
  _xlfn.IFS(
    OR(_xlpm.val="yes", _xlpm.val="paid"), "Paid",
    OR(_xlpm.val="no", _xlpm.val="unpaid"), "Unpaid",
    OR(_xlpm.val="partial", _xlpm.val="partial paid"), "Partial",
    _xlpm.val="", "",
    TRUE, 'Sales_RAW(BEFORE)'!AY129
  )
)</f>
        <v>Paid</v>
      </c>
      <c r="AB126" s="3" t="s">
        <v>2327</v>
      </c>
      <c r="AC126" s="3" t="str">
        <f>PROPER('Sales_RAW(BEFORE)'!AA129)</f>
        <v>Store</v>
      </c>
      <c r="AD126" s="3" t="str">
        <f>SUBSTITUTE(SUBSTITUTE(SUBSTITUTE(SUBSTITUTE('Sales_RAW(BEFORE)'!AB129,"st",""),"q",""),"Q",""),"uarter","")</f>
        <v>1</v>
      </c>
      <c r="AE126" s="3" t="str">
        <f>TEXT(IFERROR(DATEVALUE('Sales_RAW(BEFORE)'!AC129 &amp; " 1"), IFERROR(DATE(2025, 'Sales_RAW(BEFORE)'!AC129, 1), 'Sales_RAW(BEFORE)'!AC129)), "mmmm")</f>
        <v>June</v>
      </c>
      <c r="AF126" s="3">
        <f>_xlfn.LET(
  _xlpm.raw, TRIM(SUBSTITUTE('Sales_RAW(BEFORE)'!AD129, "'", "")),
  _xlpm.num, IFERROR(VALUE(_xlpm.raw), 0),
  IF(_xlpm.num &lt; 100, 2000 + _xlpm.num, _xlpm.num)
)</f>
        <v>2026</v>
      </c>
      <c r="AG126" s="3" t="str">
        <f>PROPER('Sales_RAW(BEFORE)'!AE129)</f>
        <v>Immediate</v>
      </c>
      <c r="AH126" s="3" cm="1">
        <f t="array" ref="AH126">_xlfn.LET(
  _xlpm.val, LOWER(TRIM('Sales_RAW(BEFORE)'!AF129)),
  _xlfn.IFS(
    OR(_xlpm.val="", _xlpm.val="null", _xlpm.val="N/A", _xlpm.val="-", _xlpm.val="#N/A"), 0,
    ISNUMBER('Sales_RAW(BEFORE)'!AF129), 'Sales_RAW(BEFORE)'!AF129,
    TRUE, IFERROR(_xlfn.NUMBERVALUE(_xlpm.val), 0)
  )
)</f>
        <v>50</v>
      </c>
      <c r="AI126" s="5">
        <f>IF(IFERROR(VALUE(SUBSTITUTE(SUBSTITUTE(TRIM('Sales_RAW(BEFORE)'!AG129), "%", ""), ",", ".")), 0) &gt; 1, IFERROR(VALUE(SUBSTITUTE(SUBSTITUTE(TRIM('Sales_RAW(BEFORE)'!AG129), "%", ""), ",", ".")), 0) / 100, IFERROR(VALUE(SUBSTITUTE(SUBSTITUTE(TRIM('Sales_RAW(BEFORE)'!AG129), "%", ""), ",", ".")), 0))</f>
        <v>0.08</v>
      </c>
      <c r="AJ126" s="6">
        <f t="shared" si="6"/>
        <v>1318.2079999999999</v>
      </c>
      <c r="AK126" s="6">
        <f t="shared" si="7"/>
        <v>17795.807999999997</v>
      </c>
      <c r="AL126" s="6">
        <f>IFERROR(VALUE(SUBSTITUTE(SUBSTITUTE(SUBSTITUTE('Sales_RAW(BEFORE)'!AJ129,"$",""),"USD",""),",",".")),0)</f>
        <v>23.68</v>
      </c>
      <c r="AM126" s="3" t="str">
        <f>SUBSTITUTE(SUBSTITUTE(PROPER('Sales_RAW(BEFORE)'!AK129), "Fed Ex", "FedEx"),"Fedex","FedEx")</f>
        <v>Dhl</v>
      </c>
      <c r="AN126" s="3" t="s">
        <v>2329</v>
      </c>
      <c r="AO126" s="3" t="str">
        <f>SUBSTITUTE('Sales_RAW(BEFORE)'!AM129,"kg","")</f>
        <v xml:space="preserve">4.5 </v>
      </c>
      <c r="AP126" s="3" t="str">
        <f>_xlfn.LET(
  _xlpm.raw, UPPER(TRIM('Sales_RAW(BEFORE)'!AN129)),
  _xlpm.clean, RIGHT(_xlpm.raw, 1),
  IF(OR(_xlpm.raw="", _xlpm.raw="null"), "N/A", _xlpm.clean)
)</f>
        <v>A</v>
      </c>
      <c r="AQ126" s="3">
        <v>494</v>
      </c>
      <c r="AR126" s="3" cm="1">
        <f t="array" ref="AR126">_xlfn.LET(
  _xlpm.raw, LOWER(TRIM('Sales_RAW(BEFORE)'!AP129)),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126" s="3"/>
      <c r="AT126" s="3"/>
      <c r="AU126" s="3"/>
      <c r="AV126" s="8">
        <f>IF(IFERROR(VALUE(SUBSTITUTE(SUBSTITUTE(TRIM('Sales_RAW(BEFORE)'!AT129), "%", ""), ",", ".")), 0) &gt; 1, IFERROR(VALUE(SUBSTITUTE(SUBSTITUTE(TRIM('Sales_RAW(BEFORE)'!AT129), "%", ""), ",", ".")), 0) / 100, IFERROR(VALUE(SUBSTITUTE(SUBSTITUTE(TRIM('Sales_RAW(BEFORE)'!AT129), "%", ""), ",", ".")), 0))</f>
        <v>0</v>
      </c>
      <c r="AW126" s="6">
        <f>BA126*(_xlfn.XLOOKUP(N126,Employees!$A$2:$A$26,Employees!$E$2:$E$26,2))</f>
        <v>284.73292799999996</v>
      </c>
      <c r="AX126" s="3" t="str">
        <f>PROPER('Sales_RAW(BEFORE)'!AV129)</f>
        <v>Emily Smith</v>
      </c>
      <c r="AY126" s="3" t="str">
        <f t="shared" si="8"/>
        <v>Emily Smith</v>
      </c>
      <c r="AZ126" s="3"/>
      <c r="BA126" s="24">
        <f>AK126*(1-(_xlfn.XLOOKUP(G126, Exchange_Rates!$B$8:$F$8, Exchange_Rates!$B$9:$F$9, 0)+J126))</f>
        <v>14236.646399999998</v>
      </c>
      <c r="BB126" s="7" cm="1">
        <f t="array" ref="BB126">_xlfn.LET(
  _xlpm.raw_dt, SUBSTITUTE(TRIM(C126), ".", "/"),
  _xlpm.dt, IFERROR(DATEVALUE(_xlpm.raw_dt), C126),
  _xlpm.p_code, TRIM(E126),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47280</v>
      </c>
      <c r="BC126" s="25">
        <f t="shared" si="9"/>
        <v>0</v>
      </c>
    </row>
    <row r="127" spans="1:55" ht="15.75" thickBot="1" x14ac:dyDescent="0.3">
      <c r="A127" s="3" t="s">
        <v>2332</v>
      </c>
      <c r="B127" s="10">
        <v>45668</v>
      </c>
      <c r="C127" s="4">
        <f>DATE(2025,1,13)</f>
        <v>45670</v>
      </c>
      <c r="D127" s="3" t="str">
        <f>"P-" &amp; TEXT(VALUE(SUBSTITUTE(SUBSTITUTE(SUBSTITUTE(UPPER(TRIM('Sales_RAW(BEFORE)'!D130)), "P", ""), "-", ""), "_", "")),"000")</f>
        <v>P-043</v>
      </c>
      <c r="E127" s="3" t="str">
        <f>VLOOKUP(D127,Product_List!$A$2:$B$61,2,FALSE)</f>
        <v>Headphones X 43</v>
      </c>
      <c r="F127" s="3" t="str">
        <f>_xlfn.XLOOKUP(E127,Product_List!$B$2:$B$61,Product_List!$E$2:$E$61,2)</f>
        <v>Global Distrib</v>
      </c>
      <c r="G127" s="3" t="str">
        <f>VLOOKUP(E127,Product_List!$B$2:$C$61,2,FALSE)</f>
        <v>Equipment</v>
      </c>
      <c r="H127" s="3" t="str">
        <f>SUBSTITUTE(SUBSTITUTE('Sales_RAW(BEFORE)'!G130,"kom",""),".","")</f>
        <v xml:space="preserve">25 </v>
      </c>
      <c r="I127" s="6">
        <f>VLOOKUP(E127,Product_List!$B$2:$D$61,3,FALSE)</f>
        <v>156.69</v>
      </c>
      <c r="J127" s="5">
        <f>IF(IFERROR(VALUE(SUBSTITUTE(SUBSTITUTE(TRIM('Sales_RAW(BEFORE)'!I130), "%", ""), ",", ".")), 0) &gt; 1, IFERROR(VALUE(SUBSTITUTE(SUBSTITUTE(TRIM('Sales_RAW(BEFORE)'!I130), "%", ""), ",", ".")), 0) / 100, IFERROR(VALUE(SUBSTITUTE(SUBSTITUTE(TRIM('Sales_RAW(BEFORE)'!I130), "%", ""), ",", ".")), 0))</f>
        <v>0.05</v>
      </c>
      <c r="K127" s="6">
        <f t="shared" si="5"/>
        <v>3917.25</v>
      </c>
      <c r="L127" s="6" t="str" cm="1">
        <f t="array" ref="L127">_xlfn.LET(
  _xlpm.valuta, UPPER(TRIM('Sales_RAW(BEFORE)'!K130)),
  _xlfn.IFS(
    _xlpm.valuta = "", "",
    OR(_xlpm.valuta = "USD", _xlpm.valuta = "$"), "$",
    OR(_xlpm.valuta = "EUR", _xlpm.valuta = "€"), "€",
    TRUE, _xlpm.valuta
  )
)</f>
        <v>$</v>
      </c>
      <c r="M127" s="3" t="str">
        <f>"E" &amp; TEXT(VALUE(SUBSTITUTE(SUBSTITUTE(SUBSTITUTE(UPPER(TRIM('Sales_RAW(BEFORE)'!L130)), "EMP", ""), "E", ""), "-", "")),"000")</f>
        <v>E004</v>
      </c>
      <c r="N127" s="3" t="str">
        <f>_xlfn.XLOOKUP(M127,Employees!$D$2:$D$26,Employees!$A$2:$A$26)</f>
        <v>Sophia Johnson</v>
      </c>
      <c r="O127" s="3" t="str">
        <f>_xlfn.XLOOKUP(N127,Employees!$A$2:$A$26,Employees!$C$2:$C$26,2)</f>
        <v>Wholesale</v>
      </c>
      <c r="P127" s="3" t="str">
        <f>PROPER('Sales_RAW(BEFORE)'!N130)</f>
        <v>South</v>
      </c>
      <c r="Q127" s="3" t="str">
        <f>VLOOKUP(N127,Employees!$A$2:$B$26,2,FALSE)</f>
        <v>Houston</v>
      </c>
      <c r="R127" s="3" t="str">
        <f>PROPER('Sales_RAW(BEFORE)'!P130)</f>
        <v xml:space="preserve">Wayne Llc </v>
      </c>
      <c r="S127" s="3" t="str">
        <f>SUBSTITUTE(SUBSTITUTE('Sales_RAW(BEFORE)'!Q130,"EIN",""),":","")</f>
        <v>474714407</v>
      </c>
      <c r="T127" s="3" t="s">
        <v>876</v>
      </c>
      <c r="U127" s="3" t="s">
        <v>2342</v>
      </c>
      <c r="V127" s="3" t="s">
        <v>2343</v>
      </c>
      <c r="W127" s="3" t="s">
        <v>2344</v>
      </c>
      <c r="X127" s="3" t="s">
        <v>173</v>
      </c>
      <c r="Y127" s="3" t="str">
        <f>PROPER('Sales_RAW(BEFORE)'!W130)</f>
        <v>Wire Transfer</v>
      </c>
      <c r="Z127" s="3" t="str">
        <f>PROPER('Sales_RAW(BEFORE)'!X130)</f>
        <v>Pending</v>
      </c>
      <c r="AA127" s="3" t="str" cm="1">
        <f t="array" ref="AA127">_xlfn.LET(
  _xlpm.val, TRIM(LOWER('Sales_RAW(BEFORE)'!Y130)),
  _xlfn.IFS(
    OR(_xlpm.val="yes", _xlpm.val="paid"), "Paid",
    OR(_xlpm.val="no", _xlpm.val="unpaid"), "Unpaid",
    OR(_xlpm.val="partial", _xlpm.val="partial paid"), "Partial",
    _xlpm.val="", "",
    TRUE, 'Sales_RAW(BEFORE)'!AY130
  )
)</f>
        <v>Paid</v>
      </c>
      <c r="AB127" s="3" t="s">
        <v>2345</v>
      </c>
      <c r="AC127" s="3" t="str">
        <f>PROPER('Sales_RAW(BEFORE)'!AA130)</f>
        <v>Store</v>
      </c>
      <c r="AD127" s="3" t="str">
        <f>SUBSTITUTE(SUBSTITUTE(SUBSTITUTE(SUBSTITUTE('Sales_RAW(BEFORE)'!AB130,"st",""),"q",""),"Q",""),"uarter","")</f>
        <v>1</v>
      </c>
      <c r="AE127" s="3" t="str">
        <f>TEXT(IFERROR(DATEVALUE('Sales_RAW(BEFORE)'!AC130 &amp; " 1"), IFERROR(DATE(2025, 'Sales_RAW(BEFORE)'!AC130, 1), 'Sales_RAW(BEFORE)'!AC130)), "mmmm")</f>
        <v>January</v>
      </c>
      <c r="AF127" s="3">
        <f>_xlfn.LET(
  _xlpm.raw, TRIM(SUBSTITUTE('Sales_RAW(BEFORE)'!AD130, "'", "")),
  _xlpm.num, IFERROR(VALUE(_xlpm.raw), 0),
  IF(_xlpm.num &lt; 100, 2000 + _xlpm.num, _xlpm.num)
)</f>
        <v>2025</v>
      </c>
      <c r="AG127" s="3" t="str">
        <f>PROPER('Sales_RAW(BEFORE)'!AE130)</f>
        <v>Net 30</v>
      </c>
      <c r="AH127" s="3" cm="1">
        <f t="array" ref="AH127">_xlfn.LET(
  _xlpm.val, LOWER(TRIM('Sales_RAW(BEFORE)'!AF130)),
  _xlfn.IFS(
    OR(_xlpm.val="", _xlpm.val="null", _xlpm.val="N/A", _xlpm.val="-", _xlpm.val="#N/A"), 0,
    ISNUMBER('Sales_RAW(BEFORE)'!AF130), 'Sales_RAW(BEFORE)'!AF130,
    TRUE, IFERROR(_xlfn.NUMBERVALUE(_xlpm.val), 0)
  )
)</f>
        <v>76</v>
      </c>
      <c r="AI127" s="5">
        <f>IF(IFERROR(VALUE(SUBSTITUTE(SUBSTITUTE(TRIM('Sales_RAW(BEFORE)'!AG130), "%", ""), ",", ".")), 0) &gt; 1, IFERROR(VALUE(SUBSTITUTE(SUBSTITUTE(TRIM('Sales_RAW(BEFORE)'!AG130), "%", ""), ",", ".")), 0) / 100, IFERROR(VALUE(SUBSTITUTE(SUBSTITUTE(TRIM('Sales_RAW(BEFORE)'!AG130), "%", ""), ",", ".")), 0))</f>
        <v>0.08</v>
      </c>
      <c r="AJ127" s="6">
        <f t="shared" si="6"/>
        <v>313.38</v>
      </c>
      <c r="AK127" s="6">
        <f t="shared" si="7"/>
        <v>4230.63</v>
      </c>
      <c r="AL127" s="6">
        <f>IFERROR(VALUE(SUBSTITUTE(SUBSTITUTE(SUBSTITUTE('Sales_RAW(BEFORE)'!AJ130,"$",""),"USD",""),",",".")),0)</f>
        <v>19.47</v>
      </c>
      <c r="AM127" s="3" t="str">
        <f>SUBSTITUTE(SUBSTITUTE(PROPER('Sales_RAW(BEFORE)'!AK130), "Fed Ex", "FedEx"),"Fedex","FedEx")</f>
        <v>Usps</v>
      </c>
      <c r="AN127" s="3" t="s">
        <v>2347</v>
      </c>
      <c r="AO127" s="3" t="str">
        <f>SUBSTITUTE('Sales_RAW(BEFORE)'!AM130,"kg","")</f>
        <v>10,36</v>
      </c>
      <c r="AP127" s="3" t="str">
        <f>_xlfn.LET(
  _xlpm.raw, UPPER(TRIM('Sales_RAW(BEFORE)'!AN130)),
  _xlpm.clean, RIGHT(_xlpm.raw, 1),
  IF(OR(_xlpm.raw="", _xlpm.raw="null"), "N/A", _xlpm.clean)
)</f>
        <v>B</v>
      </c>
      <c r="AQ127" s="3">
        <v>259</v>
      </c>
      <c r="AR127" s="3" cm="1">
        <f t="array" ref="AR127">_xlfn.LET(
  _xlpm.raw, LOWER(TRIM('Sales_RAW(BEFORE)'!AP130)),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127" s="3"/>
      <c r="AT127" s="3"/>
      <c r="AU127" s="3"/>
      <c r="AV127" s="8">
        <f>IF(IFERROR(VALUE(SUBSTITUTE(SUBSTITUTE(TRIM('Sales_RAW(BEFORE)'!AT130), "%", ""), ",", ".")), 0) &gt; 1, IFERROR(VALUE(SUBSTITUTE(SUBSTITUTE(TRIM('Sales_RAW(BEFORE)'!AT130), "%", ""), ",", ".")), 0) / 100, IFERROR(VALUE(SUBSTITUTE(SUBSTITUTE(TRIM('Sales_RAW(BEFORE)'!AT130), "%", ""), ",", ".")), 0))</f>
        <v>0</v>
      </c>
      <c r="AW127" s="6">
        <f>BA127*(_xlfn.XLOOKUP(N127,Employees!$A$2:$A$26,Employees!$E$2:$E$26,2))</f>
        <v>179.80177500000002</v>
      </c>
      <c r="AX127" s="3" t="str">
        <f>PROPER('Sales_RAW(BEFORE)'!AV130)</f>
        <v>Olivia Davis</v>
      </c>
      <c r="AY127" s="3" t="str">
        <f t="shared" si="8"/>
        <v>Olivia Davis</v>
      </c>
      <c r="AZ127" s="3"/>
      <c r="BA127" s="24">
        <f>AK127*(1-(_xlfn.XLOOKUP(G127, Exchange_Rates!$B$8:$F$8, Exchange_Rates!$B$9:$F$9, 0)+J127))</f>
        <v>3596.0355</v>
      </c>
      <c r="BB127" s="7" cm="1">
        <f t="array" ref="BB127">_xlfn.LET(
  _xlpm.raw_dt, SUBSTITUTE(TRIM(C127), ".", "/"),
  _xlpm.dt, IFERROR(DATEVALUE(_xlpm.raw_dt), C127),
  _xlpm.p_code, TRIM(E127),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46035</v>
      </c>
      <c r="BC127" s="25">
        <f t="shared" si="9"/>
        <v>0</v>
      </c>
    </row>
    <row r="128" spans="1:55" ht="15.75" thickBot="1" x14ac:dyDescent="0.3">
      <c r="A128" s="3" t="s">
        <v>2350</v>
      </c>
      <c r="B128" s="10">
        <v>45724</v>
      </c>
      <c r="C128" s="4">
        <v>45738</v>
      </c>
      <c r="D128" s="3" t="str">
        <f>"P-" &amp; TEXT(VALUE(SUBSTITUTE(SUBSTITUTE(SUBSTITUTE(UPPER(TRIM('Sales_RAW(BEFORE)'!D131)), "P", ""), "-", ""), "_", "")),"000")</f>
        <v>P-027</v>
      </c>
      <c r="E128" s="3" t="str">
        <f>VLOOKUP(D128,Product_List!$A$2:$B$61,2,FALSE)</f>
        <v>Desk X 27</v>
      </c>
      <c r="F128" s="3" t="str">
        <f>_xlfn.XLOOKUP(E128,Product_List!$B$2:$B$61,Product_List!$E$2:$E$61,2)</f>
        <v>Global Distrib</v>
      </c>
      <c r="G128" s="3" t="str">
        <f>VLOOKUP(E128,Product_List!$B$2:$C$61,2,FALSE)</f>
        <v>Equipment</v>
      </c>
      <c r="H128" s="3" t="str">
        <f>SUBSTITUTE(SUBSTITUTE('Sales_RAW(BEFORE)'!G131,"kom",""),".","")</f>
        <v xml:space="preserve">12 </v>
      </c>
      <c r="I128" s="6">
        <f>VLOOKUP(E128,Product_List!$B$2:$D$61,3,FALSE)</f>
        <v>180.06</v>
      </c>
      <c r="J128" s="5">
        <f>IF(IFERROR(VALUE(SUBSTITUTE(SUBSTITUTE(TRIM('Sales_RAW(BEFORE)'!I131), "%", ""), ",", ".")), 0) &gt; 1, IFERROR(VALUE(SUBSTITUTE(SUBSTITUTE(TRIM('Sales_RAW(BEFORE)'!I131), "%", ""), ",", ".")), 0) / 100, IFERROR(VALUE(SUBSTITUTE(SUBSTITUTE(TRIM('Sales_RAW(BEFORE)'!I131), "%", ""), ",", ".")), 0))</f>
        <v>0.1</v>
      </c>
      <c r="K128" s="6">
        <f t="shared" si="5"/>
        <v>2160.7200000000003</v>
      </c>
      <c r="L128" s="6" t="str" cm="1">
        <f t="array" ref="L128">_xlfn.LET(
  _xlpm.valuta, UPPER(TRIM('Sales_RAW(BEFORE)'!K131)),
  _xlfn.IFS(
    _xlpm.valuta = "", "",
    OR(_xlpm.valuta = "USD", _xlpm.valuta = "$"), "$",
    OR(_xlpm.valuta = "EUR", _xlpm.valuta = "€"), "€",
    TRUE, _xlpm.valuta
  )
)</f>
        <v>$</v>
      </c>
      <c r="M128" s="3" t="str">
        <f>"E" &amp; TEXT(VALUE(SUBSTITUTE(SUBSTITUTE(SUBSTITUTE(UPPER(TRIM('Sales_RAW(BEFORE)'!L131)), "EMP", ""), "E", ""), "-", "")),"000")</f>
        <v>E022</v>
      </c>
      <c r="N128" s="3" t="str">
        <f>_xlfn.XLOOKUP(M128,Employees!$D$2:$D$26,Employees!$A$2:$A$26)</f>
        <v>Chris Williams</v>
      </c>
      <c r="O128" s="3" t="str">
        <f>_xlfn.XLOOKUP(N128,Employees!$A$2:$A$26,Employees!$C$2:$C$26,2)</f>
        <v>Sales</v>
      </c>
      <c r="P128" s="3" t="str">
        <f>PROPER('Sales_RAW(BEFORE)'!N131)</f>
        <v>West</v>
      </c>
      <c r="Q128" s="3" t="str">
        <f>VLOOKUP(N128,Employees!$A$2:$B$26,2,FALSE)</f>
        <v>Boston</v>
      </c>
      <c r="R128" s="3" t="str">
        <f>PROPER('Sales_RAW(BEFORE)'!P131)</f>
        <v>Umbrella Llc</v>
      </c>
      <c r="S128" s="3" t="str">
        <f>SUBSTITUTE(SUBSTITUTE('Sales_RAW(BEFORE)'!Q131,"EIN",""),":","")</f>
        <v>111001296</v>
      </c>
      <c r="T128" s="3" t="s">
        <v>1815</v>
      </c>
      <c r="U128" s="3" t="s">
        <v>2360</v>
      </c>
      <c r="V128" s="3" t="s">
        <v>2361</v>
      </c>
      <c r="W128" s="3" t="s">
        <v>2362</v>
      </c>
      <c r="X128" s="3" t="s">
        <v>173</v>
      </c>
      <c r="Y128" s="3" t="str">
        <f>PROPER('Sales_RAW(BEFORE)'!W131)</f>
        <v>Credit Card</v>
      </c>
      <c r="Z128" s="3" t="str">
        <f>PROPER('Sales_RAW(BEFORE)'!X131)</f>
        <v>Processing</v>
      </c>
      <c r="AA128" s="3" t="str" cm="1">
        <f t="array" ref="AA128">_xlfn.LET(
  _xlpm.val, TRIM(LOWER('Sales_RAW(BEFORE)'!Y131)),
  _xlfn.IFS(
    OR(_xlpm.val="yes", _xlpm.val="paid"), "Paid",
    OR(_xlpm.val="no", _xlpm.val="unpaid"), "Unpaid",
    OR(_xlpm.val="partial", _xlpm.val="partial paid"), "Partial",
    _xlpm.val="", "",
    TRUE, 'Sales_RAW(BEFORE)'!AY131
  )
)</f>
        <v>Partial</v>
      </c>
      <c r="AB128" s="3" t="s">
        <v>2363</v>
      </c>
      <c r="AC128" s="3" t="str">
        <f>PROPER('Sales_RAW(BEFORE)'!AA131)</f>
        <v>Phone</v>
      </c>
      <c r="AD128" s="3" t="str">
        <f>SUBSTITUTE(SUBSTITUTE(SUBSTITUTE(SUBSTITUTE('Sales_RAW(BEFORE)'!AB131,"st",""),"q",""),"Q",""),"uarter","")</f>
        <v>4</v>
      </c>
      <c r="AE128" s="3" t="str">
        <f>TEXT(IFERROR(DATEVALUE('Sales_RAW(BEFORE)'!AC131 &amp; " 1"), IFERROR(DATE(2025, 'Sales_RAW(BEFORE)'!AC131, 1), 'Sales_RAW(BEFORE)'!AC131)), "mmmm")</f>
        <v>March</v>
      </c>
      <c r="AF128" s="3">
        <f>_xlfn.LET(
  _xlpm.raw, TRIM(SUBSTITUTE('Sales_RAW(BEFORE)'!AD131, "'", "")),
  _xlpm.num, IFERROR(VALUE(_xlpm.raw), 0),
  IF(_xlpm.num &lt; 100, 2000 + _xlpm.num, _xlpm.num)
)</f>
        <v>2025</v>
      </c>
      <c r="AG128" s="3" t="str">
        <f>PROPER('Sales_RAW(BEFORE)'!AE131)</f>
        <v>Net 30</v>
      </c>
      <c r="AH128" s="3" cm="1">
        <f t="array" ref="AH128">_xlfn.LET(
  _xlpm.val, LOWER(TRIM('Sales_RAW(BEFORE)'!AF131)),
  _xlfn.IFS(
    OR(_xlpm.val="", _xlpm.val="null", _xlpm.val="N/A", _xlpm.val="-", _xlpm.val="#N/A"), 0,
    ISNUMBER('Sales_RAW(BEFORE)'!AF131), 'Sales_RAW(BEFORE)'!AF131,
    TRUE, IFERROR(_xlfn.NUMBERVALUE(_xlpm.val), 0)
  )
)</f>
        <v>0</v>
      </c>
      <c r="AI128" s="5">
        <f>IF(IFERROR(VALUE(SUBSTITUTE(SUBSTITUTE(TRIM('Sales_RAW(BEFORE)'!AG131), "%", ""), ",", ".")), 0) &gt; 1, IFERROR(VALUE(SUBSTITUTE(SUBSTITUTE(TRIM('Sales_RAW(BEFORE)'!AG131), "%", ""), ",", ".")), 0) / 100, IFERROR(VALUE(SUBSTITUTE(SUBSTITUTE(TRIM('Sales_RAW(BEFORE)'!AG131), "%", ""), ",", ".")), 0))</f>
        <v>0.08</v>
      </c>
      <c r="AJ128" s="6">
        <f t="shared" si="6"/>
        <v>172.85760000000002</v>
      </c>
      <c r="AK128" s="6">
        <f t="shared" si="7"/>
        <v>2333.5776000000001</v>
      </c>
      <c r="AL128" s="6">
        <f>IFERROR(VALUE(SUBSTITUTE(SUBSTITUTE(SUBSTITUTE('Sales_RAW(BEFORE)'!AJ131,"$",""),"USD",""),",",".")),0)</f>
        <v>20.86</v>
      </c>
      <c r="AM128" s="3" t="str">
        <f>SUBSTITUTE(SUBSTITUTE(PROPER('Sales_RAW(BEFORE)'!AK131), "Fed Ex", "FedEx"),"Fedex","FedEx")</f>
        <v>FedEx</v>
      </c>
      <c r="AN128" s="3" t="s">
        <v>2365</v>
      </c>
      <c r="AO128" s="3" t="str">
        <f>SUBSTITUTE('Sales_RAW(BEFORE)'!AM131,"kg","")</f>
        <v xml:space="preserve">16.6 </v>
      </c>
      <c r="AP128" s="3" t="str">
        <f>_xlfn.LET(
  _xlpm.raw, UPPER(TRIM('Sales_RAW(BEFORE)'!AN131)),
  _xlpm.clean, RIGHT(_xlpm.raw, 1),
  IF(OR(_xlpm.raw="", _xlpm.raw="null"), "N/A", _xlpm.clean)
)</f>
        <v>A</v>
      </c>
      <c r="AQ128" s="3">
        <v>473</v>
      </c>
      <c r="AR128" s="3" t="str" cm="1">
        <f t="array" ref="AR128">_xlfn.LET(
  _xlpm.raw, LOWER(TRIM('Sales_RAW(BEFORE)'!AP131)),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128" s="3"/>
      <c r="AT128" s="3"/>
      <c r="AU128" s="3"/>
      <c r="AV128" s="8">
        <f>IF(IFERROR(VALUE(SUBSTITUTE(SUBSTITUTE(TRIM('Sales_RAW(BEFORE)'!AT131), "%", ""), ",", ".")), 0) &gt; 1, IFERROR(VALUE(SUBSTITUTE(SUBSTITUTE(TRIM('Sales_RAW(BEFORE)'!AT131), "%", ""), ",", ".")), 0) / 100, IFERROR(VALUE(SUBSTITUTE(SUBSTITUTE(TRIM('Sales_RAW(BEFORE)'!AT131), "%", ""), ",", ".")), 0))</f>
        <v>0.15</v>
      </c>
      <c r="AW128" s="6">
        <f>BA128*(_xlfn.XLOOKUP(N128,Employees!$A$2:$A$26,Employees!$E$2:$E$26,2))</f>
        <v>56.005862399999998</v>
      </c>
      <c r="AX128" s="3" t="str">
        <f>PROPER('Sales_RAW(BEFORE)'!AV131)</f>
        <v>David Wilson</v>
      </c>
      <c r="AY128" s="3" t="str">
        <f t="shared" si="8"/>
        <v>David Wilson</v>
      </c>
      <c r="AZ128" s="3"/>
      <c r="BA128" s="24">
        <f>AK128*(1-(_xlfn.XLOOKUP(G128, Exchange_Rates!$B$8:$F$8, Exchange_Rates!$B$9:$F$9, 0)+J128))</f>
        <v>1866.8620800000001</v>
      </c>
      <c r="BB128" s="7" cm="1">
        <f t="array" ref="BB128">_xlfn.LET(
  _xlpm.raw_dt, SUBSTITUTE(TRIM(C128), ".", "/"),
  _xlpm.dt, IFERROR(DATEVALUE(_xlpm.raw_dt), C128),
  _xlpm.p_code, TRIM(E128),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46468</v>
      </c>
      <c r="BC128" s="25">
        <f t="shared" si="9"/>
        <v>280.029312</v>
      </c>
    </row>
    <row r="129" spans="1:55" ht="15.75" thickBot="1" x14ac:dyDescent="0.3">
      <c r="A129" s="3" t="s">
        <v>2369</v>
      </c>
      <c r="B129" s="10">
        <v>46033</v>
      </c>
      <c r="C129" s="4">
        <f>DATE(2026,1,13)</f>
        <v>46035</v>
      </c>
      <c r="D129" s="3" t="str">
        <f>"P-" &amp; TEXT(VALUE(SUBSTITUTE(SUBSTITUTE(SUBSTITUTE(UPPER(TRIM('Sales_RAW(BEFORE)'!D132)), "P", ""), "-", ""), "_", "")),"000")</f>
        <v>P-029</v>
      </c>
      <c r="E129" s="3" t="str">
        <f>VLOOKUP(D129,Product_List!$A$2:$B$61,2,FALSE)</f>
        <v>Keyboard Plus 29</v>
      </c>
      <c r="F129" s="3" t="str">
        <f>_xlfn.XLOOKUP(E129,Product_List!$B$2:$B$61,Product_List!$E$2:$E$61,2)</f>
        <v>OfficeHub</v>
      </c>
      <c r="G129" s="3" t="str">
        <f>VLOOKUP(E129,Product_List!$B$2:$C$61,2,FALSE)</f>
        <v>Software</v>
      </c>
      <c r="H129" s="3" t="str">
        <f>SUBSTITUTE(SUBSTITUTE('Sales_RAW(BEFORE)'!G132,"kom",""),".","")</f>
        <v xml:space="preserve">11 </v>
      </c>
      <c r="I129" s="6">
        <f>VLOOKUP(E129,Product_List!$B$2:$D$61,3,FALSE)</f>
        <v>1375.64</v>
      </c>
      <c r="J129" s="5">
        <f>IF(IFERROR(VALUE(SUBSTITUTE(SUBSTITUTE(TRIM('Sales_RAW(BEFORE)'!I132), "%", ""), ",", ".")), 0) &gt; 1, IFERROR(VALUE(SUBSTITUTE(SUBSTITUTE(TRIM('Sales_RAW(BEFORE)'!I132), "%", ""), ",", ".")), 0) / 100, IFERROR(VALUE(SUBSTITUTE(SUBSTITUTE(TRIM('Sales_RAW(BEFORE)'!I132), "%", ""), ",", ".")), 0))</f>
        <v>0.05</v>
      </c>
      <c r="K129" s="6">
        <f t="shared" si="5"/>
        <v>15132.04</v>
      </c>
      <c r="L129" s="6" t="str" cm="1">
        <f t="array" ref="L129">_xlfn.LET(
  _xlpm.valuta, UPPER(TRIM('Sales_RAW(BEFORE)'!K132)),
  _xlfn.IFS(
    _xlpm.valuta = "", "",
    OR(_xlpm.valuta = "USD", _xlpm.valuta = "$"), "$",
    OR(_xlpm.valuta = "EUR", _xlpm.valuta = "€"), "€",
    TRUE, _xlpm.valuta
  )
)</f>
        <v>$</v>
      </c>
      <c r="M129" s="3" t="str">
        <f>"E" &amp; TEXT(VALUE(SUBSTITUTE(SUBSTITUTE(SUBSTITUTE(UPPER(TRIM('Sales_RAW(BEFORE)'!L132)), "EMP", ""), "E", ""), "-", "")),"000")</f>
        <v>E009</v>
      </c>
      <c r="N129" s="3" t="str">
        <f>_xlfn.XLOOKUP(M129,Employees!$D$2:$D$26,Employees!$A$2:$A$26)</f>
        <v>Olivia Wilson</v>
      </c>
      <c r="O129" s="3" t="str">
        <f>_xlfn.XLOOKUP(N129,Employees!$A$2:$A$26,Employees!$C$2:$C$26,2)</f>
        <v>Wholesale</v>
      </c>
      <c r="P129" s="3" t="str">
        <f>PROPER('Sales_RAW(BEFORE)'!N132)</f>
        <v>North</v>
      </c>
      <c r="Q129" s="3" t="str">
        <f>VLOOKUP(N129,Employees!$A$2:$B$26,2,FALSE)</f>
        <v>Miami</v>
      </c>
      <c r="R129" s="3" t="str">
        <f>PROPER('Sales_RAW(BEFORE)'!P132)</f>
        <v>Initech Inc</v>
      </c>
      <c r="S129" s="3" t="str">
        <f>SUBSTITUTE(SUBSTITUTE('Sales_RAW(BEFORE)'!Q132,"EIN",""),":","")</f>
        <v xml:space="preserve"> 778813577</v>
      </c>
      <c r="T129" s="3" t="s">
        <v>1450</v>
      </c>
      <c r="U129" s="3" t="s">
        <v>2376</v>
      </c>
      <c r="V129" s="3" t="s">
        <v>2377</v>
      </c>
      <c r="W129" s="3" t="s">
        <v>2378</v>
      </c>
      <c r="X129" s="3" t="s">
        <v>173</v>
      </c>
      <c r="Y129" s="3" t="str">
        <f>PROPER('Sales_RAW(BEFORE)'!W132)</f>
        <v>Wire Transfer</v>
      </c>
      <c r="Z129" s="3" t="str">
        <f>PROPER('Sales_RAW(BEFORE)'!X132)</f>
        <v>Pending</v>
      </c>
      <c r="AA129" s="3" t="str" cm="1">
        <f t="array" ref="AA129">_xlfn.LET(
  _xlpm.val, TRIM(LOWER('Sales_RAW(BEFORE)'!Y132)),
  _xlfn.IFS(
    OR(_xlpm.val="yes", _xlpm.val="paid"), "Paid",
    OR(_xlpm.val="no", _xlpm.val="unpaid"), "Unpaid",
    OR(_xlpm.val="partial", _xlpm.val="partial paid"), "Partial",
    _xlpm.val="", "",
    TRUE, 'Sales_RAW(BEFORE)'!AY132
  )
)</f>
        <v>Partial</v>
      </c>
      <c r="AB129" s="3" t="s">
        <v>2379</v>
      </c>
      <c r="AC129" s="3" t="str">
        <f>PROPER('Sales_RAW(BEFORE)'!AA132)</f>
        <v>Store</v>
      </c>
      <c r="AD129" s="3" t="str">
        <f>SUBSTITUTE(SUBSTITUTE(SUBSTITUTE(SUBSTITUTE('Sales_RAW(BEFORE)'!AB132,"st",""),"q",""),"Q",""),"uarter","")</f>
        <v>1</v>
      </c>
      <c r="AE129" s="3" t="str">
        <f>TEXT(IFERROR(DATEVALUE('Sales_RAW(BEFORE)'!AC132 &amp; " 1"), IFERROR(DATE(2025, 'Sales_RAW(BEFORE)'!AC132, 1), 'Sales_RAW(BEFORE)'!AC132)), "mmmm")</f>
        <v>January</v>
      </c>
      <c r="AF129" s="3">
        <f>_xlfn.LET(
  _xlpm.raw, TRIM(SUBSTITUTE('Sales_RAW(BEFORE)'!AD132, "'", "")),
  _xlpm.num, IFERROR(VALUE(_xlpm.raw), 0),
  IF(_xlpm.num &lt; 100, 2000 + _xlpm.num, _xlpm.num)
)</f>
        <v>2026</v>
      </c>
      <c r="AG129" s="3" t="str">
        <f>PROPER('Sales_RAW(BEFORE)'!AE132)</f>
        <v>Net 30</v>
      </c>
      <c r="AH129" s="3" cm="1">
        <f t="array" ref="AH129">_xlfn.LET(
  _xlpm.val, LOWER(TRIM('Sales_RAW(BEFORE)'!AF132)),
  _xlfn.IFS(
    OR(_xlpm.val="", _xlpm.val="null", _xlpm.val="N/A", _xlpm.val="-", _xlpm.val="#N/A"), 0,
    ISNUMBER('Sales_RAW(BEFORE)'!AF132), 'Sales_RAW(BEFORE)'!AF132,
    TRUE, IFERROR(_xlfn.NUMBERVALUE(_xlpm.val), 0)
  )
)</f>
        <v>61</v>
      </c>
      <c r="AI129" s="5">
        <f>IF(IFERROR(VALUE(SUBSTITUTE(SUBSTITUTE(TRIM('Sales_RAW(BEFORE)'!AG132), "%", ""), ",", ".")), 0) &gt; 1, IFERROR(VALUE(SUBSTITUTE(SUBSTITUTE(TRIM('Sales_RAW(BEFORE)'!AG132), "%", ""), ",", ".")), 0) / 100, IFERROR(VALUE(SUBSTITUTE(SUBSTITUTE(TRIM('Sales_RAW(BEFORE)'!AG132), "%", ""), ",", ".")), 0))</f>
        <v>0.08</v>
      </c>
      <c r="AJ129" s="6">
        <f t="shared" si="6"/>
        <v>1210.5632000000001</v>
      </c>
      <c r="AK129" s="6">
        <f t="shared" si="7"/>
        <v>16342.603200000001</v>
      </c>
      <c r="AL129" s="6">
        <f>IFERROR(VALUE(SUBSTITUTE(SUBSTITUTE(SUBSTITUTE('Sales_RAW(BEFORE)'!AJ132,"$",""),"USD",""),",",".")),0)</f>
        <v>24.5</v>
      </c>
      <c r="AM129" s="3" t="str">
        <f>SUBSTITUTE(SUBSTITUTE(PROPER('Sales_RAW(BEFORE)'!AK132), "Fed Ex", "FedEx"),"Fedex","FedEx")</f>
        <v>Dhl</v>
      </c>
      <c r="AN129" s="3" t="s">
        <v>2380</v>
      </c>
      <c r="AO129" s="3" t="str">
        <f>SUBSTITUTE('Sales_RAW(BEFORE)'!AM132,"kg","")</f>
        <v xml:space="preserve">9.0 </v>
      </c>
      <c r="AP129" s="3" t="str">
        <f>_xlfn.LET(
  _xlpm.raw, UPPER(TRIM('Sales_RAW(BEFORE)'!AN132)),
  _xlpm.clean, RIGHT(_xlpm.raw, 1),
  IF(OR(_xlpm.raw="", _xlpm.raw="null"), "N/A", _xlpm.clean)
)</f>
        <v>A</v>
      </c>
      <c r="AQ129" s="3">
        <v>151</v>
      </c>
      <c r="AR129" s="3" cm="1">
        <f t="array" ref="AR129">_xlfn.LET(
  _xlpm.raw, LOWER(TRIM('Sales_RAW(BEFORE)'!AP132)),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29" s="3"/>
      <c r="AT129" s="3"/>
      <c r="AU129" s="3"/>
      <c r="AV129" s="8">
        <f>IF(IFERROR(VALUE(SUBSTITUTE(SUBSTITUTE(TRIM('Sales_RAW(BEFORE)'!AT132), "%", ""), ",", ".")), 0) &gt; 1, IFERROR(VALUE(SUBSTITUTE(SUBSTITUTE(TRIM('Sales_RAW(BEFORE)'!AT132), "%", ""), ",", ".")), 0) / 100, IFERROR(VALUE(SUBSTITUTE(SUBSTITUTE(TRIM('Sales_RAW(BEFORE)'!AT132), "%", ""), ",", ".")), 0))</f>
        <v>0.25</v>
      </c>
      <c r="AW129" s="6">
        <f>BA129*(_xlfn.XLOOKUP(N129,Employees!$A$2:$A$26,Employees!$E$2:$E$26,2))</f>
        <v>392.22247680000004</v>
      </c>
      <c r="AX129" s="3" t="str">
        <f>PROPER('Sales_RAW(BEFORE)'!AV132)</f>
        <v>Olivia Davis</v>
      </c>
      <c r="AY129" s="3" t="str">
        <f t="shared" si="8"/>
        <v>Olivia Davis</v>
      </c>
      <c r="AZ129" s="3"/>
      <c r="BA129" s="24">
        <f>AK129*(1-(_xlfn.XLOOKUP(G129, Exchange_Rates!$B$8:$F$8, Exchange_Rates!$B$9:$F$9, 0)+J129))</f>
        <v>13074.082560000003</v>
      </c>
      <c r="BB129" s="7" cm="1">
        <f t="array" ref="BB129">_xlfn.LET(
  _xlpm.raw_dt, SUBSTITUTE(TRIM(C129), ".", "/"),
  _xlpm.dt, IFERROR(DATEVALUE(_xlpm.raw_dt), C129),
  _xlpm.p_code, TRIM(E129),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46765</v>
      </c>
      <c r="BC129" s="25">
        <f t="shared" si="9"/>
        <v>3268.5206400000006</v>
      </c>
    </row>
    <row r="130" spans="1:55" ht="15.75" thickBot="1" x14ac:dyDescent="0.3">
      <c r="A130" s="3" t="s">
        <v>247</v>
      </c>
      <c r="B130" s="10">
        <v>46187</v>
      </c>
      <c r="C130" s="4">
        <v>46193</v>
      </c>
      <c r="D130" s="3" t="str">
        <f>"P-" &amp; TEXT(VALUE(SUBSTITUTE(SUBSTITUTE(SUBSTITUTE(UPPER(TRIM('Sales_RAW(BEFORE)'!D133)), "P", ""), "-", ""), "_", "")),"000")</f>
        <v>P-004</v>
      </c>
      <c r="E130" s="3" t="str">
        <f>VLOOKUP(D130,Product_List!$A$2:$B$61,2,FALSE)</f>
        <v>Printer Plus 4</v>
      </c>
      <c r="F130" s="3" t="str">
        <f>_xlfn.XLOOKUP(E130,Product_List!$B$2:$B$61,Product_List!$E$2:$E$61,2)</f>
        <v>OfficeHub</v>
      </c>
      <c r="G130" s="3" t="str">
        <f>VLOOKUP(E130,Product_List!$B$2:$C$61,2,FALSE)</f>
        <v>Electronics</v>
      </c>
      <c r="H130" s="3" t="str">
        <f>SUBSTITUTE(SUBSTITUTE('Sales_RAW(BEFORE)'!G133,"kom",""),".","")</f>
        <v xml:space="preserve">7 </v>
      </c>
      <c r="I130" s="6">
        <f>VLOOKUP(E130,Product_List!$B$2:$D$61,3,FALSE)</f>
        <v>364.79</v>
      </c>
      <c r="J130" s="5">
        <f>IF(IFERROR(VALUE(SUBSTITUTE(SUBSTITUTE(TRIM('Sales_RAW(BEFORE)'!I133), "%", ""), ",", ".")), 0) &gt; 1, IFERROR(VALUE(SUBSTITUTE(SUBSTITUTE(TRIM('Sales_RAW(BEFORE)'!I133), "%", ""), ",", ".")), 0) / 100, IFERROR(VALUE(SUBSTITUTE(SUBSTITUTE(TRIM('Sales_RAW(BEFORE)'!I133), "%", ""), ",", ".")), 0))</f>
        <v>0.1</v>
      </c>
      <c r="K130" s="6">
        <f t="shared" ref="K130:K189" si="10">IFERROR(H130*I130,0)</f>
        <v>2553.5300000000002</v>
      </c>
      <c r="L130" s="6" t="str" cm="1">
        <f t="array" ref="L130">_xlfn.LET(
  _xlpm.valuta, UPPER(TRIM('Sales_RAW(BEFORE)'!K133)),
  _xlfn.IFS(
    _xlpm.valuta = "", "",
    OR(_xlpm.valuta = "USD", _xlpm.valuta = "$"), "$",
    OR(_xlpm.valuta = "EUR", _xlpm.valuta = "€"), "€",
    TRUE, _xlpm.valuta
  )
)</f>
        <v>$</v>
      </c>
      <c r="M130" s="3" t="str">
        <f>"E" &amp; TEXT(VALUE(SUBSTITUTE(SUBSTITUTE(SUBSTITUTE(UPPER(TRIM('Sales_RAW(BEFORE)'!L133)), "EMP", ""), "E", ""), "-", "")),"000")</f>
        <v>E015</v>
      </c>
      <c r="N130" s="3" t="str">
        <f>_xlfn.XLOOKUP(M130,Employees!$D$2:$D$26,Employees!$A$2:$A$26)</f>
        <v>Sarah Jones</v>
      </c>
      <c r="O130" s="3" t="str">
        <f>_xlfn.XLOOKUP(N130,Employees!$A$2:$A$26,Employees!$C$2:$C$26,2)</f>
        <v>Wholesale</v>
      </c>
      <c r="P130" s="3" t="str">
        <f>PROPER('Sales_RAW(BEFORE)'!N133)</f>
        <v>South</v>
      </c>
      <c r="Q130" s="3" t="str">
        <f>VLOOKUP(N130,Employees!$A$2:$B$26,2,FALSE)</f>
        <v>Boston</v>
      </c>
      <c r="R130" s="3" t="str">
        <f>PROPER('Sales_RAW(BEFORE)'!P133)</f>
        <v xml:space="preserve"> Stark Inc.</v>
      </c>
      <c r="S130" s="3" t="str">
        <f>SUBSTITUTE(SUBSTITUTE('Sales_RAW(BEFORE)'!Q133,"EIN",""),":","")</f>
        <v xml:space="preserve"> 986739414</v>
      </c>
      <c r="T130" s="3" t="s">
        <v>258</v>
      </c>
      <c r="U130" s="3" t="s">
        <v>259</v>
      </c>
      <c r="V130" s="3" t="s">
        <v>260</v>
      </c>
      <c r="W130" s="3" t="s">
        <v>261</v>
      </c>
      <c r="X130" s="3" t="s">
        <v>173</v>
      </c>
      <c r="Y130" s="3" t="str">
        <f>PROPER('Sales_RAW(BEFORE)'!W133)</f>
        <v>Credit Card</v>
      </c>
      <c r="Z130" s="3" t="str">
        <f>PROPER('Sales_RAW(BEFORE)'!X133)</f>
        <v>Delivered</v>
      </c>
      <c r="AA130" s="3" t="str" cm="1">
        <f t="array" ref="AA130">_xlfn.LET(
  _xlpm.val, TRIM(LOWER('Sales_RAW(BEFORE)'!Y133)),
  _xlfn.IFS(
    OR(_xlpm.val="yes", _xlpm.val="paid"), "Paid",
    OR(_xlpm.val="no", _xlpm.val="unpaid"), "Unpaid",
    OR(_xlpm.val="partial", _xlpm.val="partial paid"), "Partial",
    _xlpm.val="", "",
    TRUE, 'Sales_RAW(BEFORE)'!AY133
  )
)</f>
        <v>Paid</v>
      </c>
      <c r="AB130" s="3" t="s">
        <v>262</v>
      </c>
      <c r="AC130" s="3" t="str">
        <f>PROPER('Sales_RAW(BEFORE)'!AA133)</f>
        <v>Online</v>
      </c>
      <c r="AD130" s="3" t="str">
        <f>SUBSTITUTE(SUBSTITUTE(SUBSTITUTE(SUBSTITUTE('Sales_RAW(BEFORE)'!AB133,"st",""),"q",""),"Q",""),"uarter","")</f>
        <v>3</v>
      </c>
      <c r="AE130" s="3" t="str">
        <f>TEXT(IFERROR(DATEVALUE('Sales_RAW(BEFORE)'!AC133 &amp; " 1"), IFERROR(DATE(2025, 'Sales_RAW(BEFORE)'!AC133, 1), 'Sales_RAW(BEFORE)'!AC133)), "mmmm")</f>
        <v>June</v>
      </c>
      <c r="AF130" s="3">
        <f>_xlfn.LET(
  _xlpm.raw, TRIM(SUBSTITUTE('Sales_RAW(BEFORE)'!AD133, "'", "")),
  _xlpm.num, IFERROR(VALUE(_xlpm.raw), 0),
  IF(_xlpm.num &lt; 100, 2000 + _xlpm.num, _xlpm.num)
)</f>
        <v>2026</v>
      </c>
      <c r="AG130" s="3" t="str">
        <f>PROPER('Sales_RAW(BEFORE)'!AE133)</f>
        <v>15</v>
      </c>
      <c r="AH130" s="3" cm="1">
        <f t="array" ref="AH130">_xlfn.LET(
  _xlpm.val, LOWER(TRIM('Sales_RAW(BEFORE)'!AF133)),
  _xlfn.IFS(
    OR(_xlpm.val="", _xlpm.val="null", _xlpm.val="N/A", _xlpm.val="-", _xlpm.val="#N/A"), 0,
    ISNUMBER('Sales_RAW(BEFORE)'!AF133), 'Sales_RAW(BEFORE)'!AF133,
    TRUE, IFERROR(_xlfn.NUMBERVALUE(_xlpm.val), 0)
  )
)</f>
        <v>34</v>
      </c>
      <c r="AI130" s="5">
        <f>IF(IFERROR(VALUE(SUBSTITUTE(SUBSTITUTE(TRIM('Sales_RAW(BEFORE)'!AG133), "%", ""), ",", ".")), 0) &gt; 1, IFERROR(VALUE(SUBSTITUTE(SUBSTITUTE(TRIM('Sales_RAW(BEFORE)'!AG133), "%", ""), ",", ".")), 0) / 100, IFERROR(VALUE(SUBSTITUTE(SUBSTITUTE(TRIM('Sales_RAW(BEFORE)'!AG133), "%", ""), ",", ".")), 0))</f>
        <v>0.08</v>
      </c>
      <c r="AJ130" s="6">
        <f t="shared" ref="AJ130:AJ190" si="11">K130*AI130</f>
        <v>204.28240000000002</v>
      </c>
      <c r="AK130" s="6">
        <f t="shared" ref="AK130:AK190" si="12">AJ130+K130</f>
        <v>2757.8124000000003</v>
      </c>
      <c r="AL130" s="6">
        <f>IFERROR(VALUE(SUBSTITUTE(SUBSTITUTE(SUBSTITUTE('Sales_RAW(BEFORE)'!AJ133,"$",""),"USD",""),",",".")),0)</f>
        <v>40.909999999999997</v>
      </c>
      <c r="AM130" s="3" t="str">
        <f>SUBSTITUTE(SUBSTITUTE(PROPER('Sales_RAW(BEFORE)'!AK133), "Fed Ex", "FedEx"),"Fedex","FedEx")</f>
        <v>Dhl</v>
      </c>
      <c r="AN130" s="3" t="s">
        <v>265</v>
      </c>
      <c r="AO130" s="3" t="str">
        <f>SUBSTITUTE('Sales_RAW(BEFORE)'!AM133,"kg","")</f>
        <v>22,73</v>
      </c>
      <c r="AP130" s="3" t="str">
        <f>_xlfn.LET(
  _xlpm.raw, UPPER(TRIM('Sales_RAW(BEFORE)'!AN133)),
  _xlpm.clean, RIGHT(_xlpm.raw, 1),
  IF(OR(_xlpm.raw="", _xlpm.raw="null"), "N/A", _xlpm.clean)
)</f>
        <v>C</v>
      </c>
      <c r="AQ130" s="3">
        <v>56</v>
      </c>
      <c r="AR130" s="3" cm="1">
        <f t="array" ref="AR130">_xlfn.LET(
  _xlpm.raw, LOWER(TRIM('Sales_RAW(BEFORE)'!AP133)),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30" s="3"/>
      <c r="AT130" s="3"/>
      <c r="AU130" s="3"/>
      <c r="AV130" s="8">
        <f>IF(IFERROR(VALUE(SUBSTITUTE(SUBSTITUTE(TRIM('Sales_RAW(BEFORE)'!AT133), "%", ""), ",", ".")), 0) &gt; 1, IFERROR(VALUE(SUBSTITUTE(SUBSTITUTE(TRIM('Sales_RAW(BEFORE)'!AT133), "%", ""), ",", ".")), 0) / 100, IFERROR(VALUE(SUBSTITUTE(SUBSTITUTE(TRIM('Sales_RAW(BEFORE)'!AT133), "%", ""), ",", ".")), 0))</f>
        <v>0.15</v>
      </c>
      <c r="AW130" s="6">
        <f>BA130*(_xlfn.XLOOKUP(N130,Employees!$A$2:$A$26,Employees!$E$2:$E$26,2))</f>
        <v>66.1874976</v>
      </c>
      <c r="AX130" s="3" t="str">
        <f>PROPER('Sales_RAW(BEFORE)'!AV133)</f>
        <v xml:space="preserve">  Sophia Johnson</v>
      </c>
      <c r="AY130" s="3" t="str">
        <f t="shared" si="8"/>
        <v xml:space="preserve">  Sophia Johnson</v>
      </c>
      <c r="AZ130" s="3"/>
      <c r="BA130" s="24">
        <f>AK130*(1-(_xlfn.XLOOKUP(G130, Exchange_Rates!$B$8:$F$8, Exchange_Rates!$B$9:$F$9, 0)+J130))</f>
        <v>2206.2499200000002</v>
      </c>
      <c r="BB130" s="7" cm="1">
        <f t="array" ref="BB130">_xlfn.LET(
  _xlpm.raw_dt, SUBSTITUTE(TRIM(C130), ".", "/"),
  _xlpm.dt, IFERROR(DATEVALUE(_xlpm.raw_dt), C130),
  _xlpm.p_code, TRIM(E130),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46924</v>
      </c>
      <c r="BC130" s="25">
        <f t="shared" si="9"/>
        <v>330.93748800000003</v>
      </c>
    </row>
    <row r="131" spans="1:55" ht="15.75" thickBot="1" x14ac:dyDescent="0.3">
      <c r="A131" s="3" t="s">
        <v>2382</v>
      </c>
      <c r="B131" s="10">
        <v>45871</v>
      </c>
      <c r="C131" s="4">
        <v>45908</v>
      </c>
      <c r="D131" s="3" t="str">
        <f>"P-" &amp; TEXT(VALUE(SUBSTITUTE(SUBSTITUTE(SUBSTITUTE(UPPER(TRIM('Sales_RAW(BEFORE)'!D134)), "P", ""), "-", ""), "_", "")),"000")</f>
        <v>P-028</v>
      </c>
      <c r="E131" s="3" t="str">
        <f>VLOOKUP(D131,Product_List!$A$2:$B$61,2,FALSE)</f>
        <v>Laptop X 28</v>
      </c>
      <c r="F131" s="3" t="str">
        <f>_xlfn.XLOOKUP(E131,Product_List!$B$2:$B$61,Product_List!$E$2:$E$61,2)</f>
        <v>BestParts</v>
      </c>
      <c r="G131" s="3" t="str">
        <f>VLOOKUP(E131,Product_List!$B$2:$C$61,2,FALSE)</f>
        <v>Furniture</v>
      </c>
      <c r="H131" s="3" t="str">
        <f>SUBSTITUTE(SUBSTITUTE('Sales_RAW(BEFORE)'!G134,"kom",""),".","")</f>
        <v>27</v>
      </c>
      <c r="I131" s="6">
        <f>VLOOKUP(E131,Product_List!$B$2:$D$61,3,FALSE)</f>
        <v>198.36</v>
      </c>
      <c r="J131" s="5">
        <f>IF(IFERROR(VALUE(SUBSTITUTE(SUBSTITUTE(TRIM('Sales_RAW(BEFORE)'!I134), "%", ""), ",", ".")), 0) &gt; 1, IFERROR(VALUE(SUBSTITUTE(SUBSTITUTE(TRIM('Sales_RAW(BEFORE)'!I134), "%", ""), ",", ".")), 0) / 100, IFERROR(VALUE(SUBSTITUTE(SUBSTITUTE(TRIM('Sales_RAW(BEFORE)'!I134), "%", ""), ",", ".")), 0))</f>
        <v>0</v>
      </c>
      <c r="K131" s="6">
        <f t="shared" si="10"/>
        <v>5355.72</v>
      </c>
      <c r="L131" s="6" t="str" cm="1">
        <f t="array" ref="L131">_xlfn.LET(
  _xlpm.valuta, UPPER(TRIM('Sales_RAW(BEFORE)'!K134)),
  _xlfn.IFS(
    _xlpm.valuta = "", "",
    OR(_xlpm.valuta = "USD", _xlpm.valuta = "$"), "$",
    OR(_xlpm.valuta = "EUR", _xlpm.valuta = "€"), "€",
    TRUE, _xlpm.valuta
  )
)</f>
        <v>$</v>
      </c>
      <c r="M131" s="3" t="str">
        <f>"E" &amp; TEXT(VALUE(SUBSTITUTE(SUBSTITUTE(SUBSTITUTE(UPPER(TRIM('Sales_RAW(BEFORE)'!L134)), "EMP", ""), "E", ""), "-", "")),"000")</f>
        <v>E007</v>
      </c>
      <c r="N131" s="3" t="str">
        <f>_xlfn.XLOOKUP(M131,Employees!$D$2:$D$26,Employees!$A$2:$A$26)</f>
        <v>Emma Johnson</v>
      </c>
      <c r="O131" s="3" t="str">
        <f>_xlfn.XLOOKUP(N131,Employees!$A$2:$A$26,Employees!$C$2:$C$26,2)</f>
        <v>Wholesale</v>
      </c>
      <c r="P131" s="3" t="str">
        <f>PROPER('Sales_RAW(BEFORE)'!N134)</f>
        <v>North</v>
      </c>
      <c r="Q131" s="3" t="str">
        <f>VLOOKUP(N131,Employees!$A$2:$B$26,2,FALSE)</f>
        <v>Seattle</v>
      </c>
      <c r="R131" s="3" t="str">
        <f>PROPER('Sales_RAW(BEFORE)'!P134)</f>
        <v xml:space="preserve">   Initech Inc</v>
      </c>
      <c r="S131" s="3" t="str">
        <f>SUBSTITUTE(SUBSTITUTE('Sales_RAW(BEFORE)'!Q134,"EIN",""),":","")</f>
        <v>576274096</v>
      </c>
      <c r="T131" s="3" t="s">
        <v>505</v>
      </c>
      <c r="U131" s="3" t="s">
        <v>2391</v>
      </c>
      <c r="V131" s="3" t="s">
        <v>2392</v>
      </c>
      <c r="W131" s="3" t="s">
        <v>2393</v>
      </c>
      <c r="X131" s="3" t="s">
        <v>173</v>
      </c>
      <c r="Y131" s="3" t="str">
        <f>PROPER('Sales_RAW(BEFORE)'!W134)</f>
        <v>Paypal</v>
      </c>
      <c r="Z131" s="3" t="str">
        <f>PROPER('Sales_RAW(BEFORE)'!X134)</f>
        <v>Cancelled</v>
      </c>
      <c r="AA131" s="3" t="str" cm="1">
        <f t="array" ref="AA131">_xlfn.LET(
  _xlpm.val, TRIM(LOWER('Sales_RAW(BEFORE)'!Y134)),
  _xlfn.IFS(
    OR(_xlpm.val="yes", _xlpm.val="paid"), "Paid",
    OR(_xlpm.val="no", _xlpm.val="unpaid"), "Unpaid",
    OR(_xlpm.val="partial", _xlpm.val="partial paid"), "Partial",
    _xlpm.val="", "",
    TRUE, 'Sales_RAW(BEFORE)'!AY134
  )
)</f>
        <v>Paid</v>
      </c>
      <c r="AB131" s="3" t="s">
        <v>2394</v>
      </c>
      <c r="AC131" s="3" t="str">
        <f>PROPER('Sales_RAW(BEFORE)'!AA134)</f>
        <v>Web</v>
      </c>
      <c r="AD131" s="3" t="str">
        <f>SUBSTITUTE(SUBSTITUTE(SUBSTITUTE(SUBSTITUTE('Sales_RAW(BEFORE)'!AB134,"st",""),"q",""),"Q",""),"uarter","")</f>
        <v xml:space="preserve">1 </v>
      </c>
      <c r="AE131" s="3" t="str">
        <f>TEXT(IFERROR(DATEVALUE('Sales_RAW(BEFORE)'!AC134 &amp; " 1"), IFERROR(DATE(2025, 'Sales_RAW(BEFORE)'!AC134, 1), 'Sales_RAW(BEFORE)'!AC134)), "mmmm")</f>
        <v>August</v>
      </c>
      <c r="AF131" s="3">
        <f>_xlfn.LET(
  _xlpm.raw, TRIM(SUBSTITUTE('Sales_RAW(BEFORE)'!AD134, "'", "")),
  _xlpm.num, IFERROR(VALUE(_xlpm.raw), 0),
  IF(_xlpm.num &lt; 100, 2000 + _xlpm.num, _xlpm.num)
)</f>
        <v>2025</v>
      </c>
      <c r="AG131" s="3" t="str">
        <f>PROPER('Sales_RAW(BEFORE)'!AE134)</f>
        <v>Net 60</v>
      </c>
      <c r="AH131" s="3" cm="1">
        <f t="array" ref="AH131">_xlfn.LET(
  _xlpm.val, LOWER(TRIM('Sales_RAW(BEFORE)'!AF134)),
  _xlfn.IFS(
    OR(_xlpm.val="", _xlpm.val="null", _xlpm.val="N/A", _xlpm.val="-", _xlpm.val="#N/A"), 0,
    ISNUMBER('Sales_RAW(BEFORE)'!AF134), 'Sales_RAW(BEFORE)'!AF134,
    TRUE, IFERROR(_xlfn.NUMBERVALUE(_xlpm.val), 0)
  )
)</f>
        <v>0</v>
      </c>
      <c r="AI131" s="5">
        <f>IF(IFERROR(VALUE(SUBSTITUTE(SUBSTITUTE(TRIM('Sales_RAW(BEFORE)'!AG134), "%", ""), ",", ".")), 0) &gt; 1, IFERROR(VALUE(SUBSTITUTE(SUBSTITUTE(TRIM('Sales_RAW(BEFORE)'!AG134), "%", ""), ",", ".")), 0) / 100, IFERROR(VALUE(SUBSTITUTE(SUBSTITUTE(TRIM('Sales_RAW(BEFORE)'!AG134), "%", ""), ",", ".")), 0))</f>
        <v>0.08</v>
      </c>
      <c r="AJ131" s="6">
        <f t="shared" si="11"/>
        <v>428.45760000000001</v>
      </c>
      <c r="AK131" s="6">
        <f t="shared" si="12"/>
        <v>5784.1776</v>
      </c>
      <c r="AL131" s="6">
        <f>IFERROR(VALUE(SUBSTITUTE(SUBSTITUTE(SUBSTITUTE('Sales_RAW(BEFORE)'!AJ134,"$",""),"USD",""),",",".")),0)</f>
        <v>9.9600000000000009</v>
      </c>
      <c r="AM131" s="3" t="str">
        <f>SUBSTITUTE(SUBSTITUTE(PROPER('Sales_RAW(BEFORE)'!AK134), "Fed Ex", "FedEx"),"Fedex","FedEx")</f>
        <v>FedEx</v>
      </c>
      <c r="AN131" s="3" t="s">
        <v>2396</v>
      </c>
      <c r="AO131" s="3" t="str">
        <f>SUBSTITUTE('Sales_RAW(BEFORE)'!AM134,"kg","")</f>
        <v xml:space="preserve">22.0 </v>
      </c>
      <c r="AP131" s="3" t="str">
        <f>_xlfn.LET(
  _xlpm.raw, UPPER(TRIM('Sales_RAW(BEFORE)'!AN134)),
  _xlpm.clean, RIGHT(_xlpm.raw, 1),
  IF(OR(_xlpm.raw="", _xlpm.raw="null"), "N/A", _xlpm.clean)
)</f>
        <v>B</v>
      </c>
      <c r="AQ131" s="3">
        <v>439</v>
      </c>
      <c r="AR131" s="3" cm="1">
        <f t="array" ref="AR131">_xlfn.LET(
  _xlpm.raw, LOWER(TRIM('Sales_RAW(BEFORE)'!AP134)),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31" s="3"/>
      <c r="AT131" s="3"/>
      <c r="AU131" s="3"/>
      <c r="AV131" s="8">
        <f>IF(IFERROR(VALUE(SUBSTITUTE(SUBSTITUTE(TRIM('Sales_RAW(BEFORE)'!AT134), "%", ""), ",", ".")), 0) &gt; 1, IFERROR(VALUE(SUBSTITUTE(SUBSTITUTE(TRIM('Sales_RAW(BEFORE)'!AT134), "%", ""), ",", ".")), 0) / 100, IFERROR(VALUE(SUBSTITUTE(SUBSTITUTE(TRIM('Sales_RAW(BEFORE)'!AT134), "%", ""), ",", ".")), 0))</f>
        <v>0.3</v>
      </c>
      <c r="AW131" s="6">
        <f>BA131*(_xlfn.XLOOKUP(N131,Employees!$A$2:$A$26,Employees!$E$2:$E$26,2))</f>
        <v>156.1727952</v>
      </c>
      <c r="AX131" s="3" t="str">
        <f>PROPER('Sales_RAW(BEFORE)'!AV134)</f>
        <v>Sophia Brown</v>
      </c>
      <c r="AY131" s="3" t="str">
        <f t="shared" ref="AY131:AY191" si="13">AX131</f>
        <v>Sophia Brown</v>
      </c>
      <c r="AZ131" s="3"/>
      <c r="BA131" s="24">
        <f>AK131*(1-(_xlfn.XLOOKUP(G131, Exchange_Rates!$B$8:$F$8, Exchange_Rates!$B$9:$F$9, 0)+J131))</f>
        <v>5205.7598399999997</v>
      </c>
      <c r="BB131" s="7" cm="1">
        <f t="array" ref="BB131">_xlfn.LET(
  _xlpm.raw_dt, SUBSTITUTE(TRIM(C131), ".", "/"),
  _xlpm.dt, IFERROR(DATEVALUE(_xlpm.raw_dt), C131),
  _xlpm.p_code, TRIM(E131),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47004</v>
      </c>
      <c r="BC131" s="25">
        <f t="shared" ref="BC131:BC191" si="14">BA131*AV131</f>
        <v>1561.727952</v>
      </c>
    </row>
    <row r="132" spans="1:55" ht="15.75" thickBot="1" x14ac:dyDescent="0.3">
      <c r="A132" s="3" t="s">
        <v>2399</v>
      </c>
      <c r="B132" s="10">
        <v>46044</v>
      </c>
      <c r="C132" s="4">
        <f>DATE(2026,1,27)</f>
        <v>46049</v>
      </c>
      <c r="D132" s="3" t="str">
        <f>"P-" &amp; TEXT(VALUE(SUBSTITUTE(SUBSTITUTE(SUBSTITUTE(UPPER(TRIM('Sales_RAW(BEFORE)'!D135)), "P", ""), "-", ""), "_", "")),"000")</f>
        <v>P-060</v>
      </c>
      <c r="E132" s="3" t="str">
        <f>VLOOKUP(D132,Product_List!$A$2:$B$61,2,FALSE)</f>
        <v>Desk Basic 60</v>
      </c>
      <c r="F132" s="3" t="str">
        <f>_xlfn.XLOOKUP(E132,Product_List!$B$2:$B$61,Product_List!$E$2:$E$61,2)</f>
        <v>Global Distrib</v>
      </c>
      <c r="G132" s="3" t="str">
        <f>VLOOKUP(E132,Product_List!$B$2:$C$61,2,FALSE)</f>
        <v>Electronics</v>
      </c>
      <c r="H132" s="3" t="str">
        <f>SUBSTITUTE(SUBSTITUTE('Sales_RAW(BEFORE)'!G135,"kom",""),".","")</f>
        <v xml:space="preserve">6 </v>
      </c>
      <c r="I132" s="6">
        <f>VLOOKUP(E132,Product_List!$B$2:$D$61,3,FALSE)</f>
        <v>334.59</v>
      </c>
      <c r="J132" s="5">
        <f>IF(IFERROR(VALUE(SUBSTITUTE(SUBSTITUTE(TRIM('Sales_RAW(BEFORE)'!I135), "%", ""), ",", ".")), 0) &gt; 1, IFERROR(VALUE(SUBSTITUTE(SUBSTITUTE(TRIM('Sales_RAW(BEFORE)'!I135), "%", ""), ",", ".")), 0) / 100, IFERROR(VALUE(SUBSTITUTE(SUBSTITUTE(TRIM('Sales_RAW(BEFORE)'!I135), "%", ""), ",", ".")), 0))</f>
        <v>0.1</v>
      </c>
      <c r="K132" s="6">
        <f t="shared" si="10"/>
        <v>2007.54</v>
      </c>
      <c r="L132" s="6" t="str" cm="1">
        <f t="array" ref="L132">_xlfn.LET(
  _xlpm.valuta, UPPER(TRIM('Sales_RAW(BEFORE)'!K135)),
  _xlfn.IFS(
    _xlpm.valuta = "", "",
    OR(_xlpm.valuta = "USD", _xlpm.valuta = "$"), "$",
    OR(_xlpm.valuta = "EUR", _xlpm.valuta = "€"), "€",
    TRUE, _xlpm.valuta
  )
)</f>
        <v>$</v>
      </c>
      <c r="M132" s="3" t="str">
        <f>"E" &amp; TEXT(VALUE(SUBSTITUTE(SUBSTITUTE(SUBSTITUTE(UPPER(TRIM('Sales_RAW(BEFORE)'!L135)), "EMP", ""), "E", ""), "-", "")),"000")</f>
        <v>E006</v>
      </c>
      <c r="N132" s="3" t="str">
        <f>_xlfn.XLOOKUP(M132,Employees!$D$2:$D$26,Employees!$A$2:$A$26)</f>
        <v>Emily Davis</v>
      </c>
      <c r="O132" s="3" t="str">
        <f>_xlfn.XLOOKUP(N132,Employees!$A$2:$A$26,Employees!$C$2:$C$26,2)</f>
        <v>Retail</v>
      </c>
      <c r="P132" s="3" t="str">
        <f>PROPER('Sales_RAW(BEFORE)'!N135)</f>
        <v>South</v>
      </c>
      <c r="Q132" s="3" t="str">
        <f>VLOOKUP(N132,Employees!$A$2:$B$26,2,FALSE)</f>
        <v>Houston</v>
      </c>
      <c r="R132" s="3" t="str">
        <f>PROPER('Sales_RAW(BEFORE)'!P135)</f>
        <v>Globex Inc</v>
      </c>
      <c r="S132" s="3" t="str">
        <f>SUBSTITUTE(SUBSTITUTE('Sales_RAW(BEFORE)'!Q135,"EIN",""),":","")</f>
        <v>563976881</v>
      </c>
      <c r="T132" s="3" t="s">
        <v>378</v>
      </c>
      <c r="U132" s="3" t="s">
        <v>2409</v>
      </c>
      <c r="V132" s="3" t="s">
        <v>2410</v>
      </c>
      <c r="W132" s="3" t="s">
        <v>2411</v>
      </c>
      <c r="X132" s="3" t="s">
        <v>173</v>
      </c>
      <c r="Y132" s="3" t="str">
        <f>PROPER('Sales_RAW(BEFORE)'!W135)</f>
        <v>Wire Transfer</v>
      </c>
      <c r="Z132" s="3" t="str">
        <f>PROPER('Sales_RAW(BEFORE)'!X135)</f>
        <v>Cancelled</v>
      </c>
      <c r="AA132" s="3" t="str" cm="1">
        <f t="array" ref="AA132">_xlfn.LET(
  _xlpm.val, TRIM(LOWER('Sales_RAW(BEFORE)'!Y135)),
  _xlfn.IFS(
    OR(_xlpm.val="yes", _xlpm.val="paid"), "Paid",
    OR(_xlpm.val="no", _xlpm.val="unpaid"), "Unpaid",
    OR(_xlpm.val="partial", _xlpm.val="partial paid"), "Partial",
    _xlpm.val="", "",
    TRUE, 'Sales_RAW(BEFORE)'!AY135
  )
)</f>
        <v>Paid</v>
      </c>
      <c r="AB132" s="3" t="s">
        <v>2412</v>
      </c>
      <c r="AC132" s="3" t="str">
        <f>PROPER('Sales_RAW(BEFORE)'!AA135)</f>
        <v>Phone</v>
      </c>
      <c r="AD132" s="3" t="str">
        <f>SUBSTITUTE(SUBSTITUTE(SUBSTITUTE(SUBSTITUTE('Sales_RAW(BEFORE)'!AB135,"st",""),"q",""),"Q",""),"uarter","")</f>
        <v>4</v>
      </c>
      <c r="AE132" s="3" t="str">
        <f>TEXT(IFERROR(DATEVALUE('Sales_RAW(BEFORE)'!AC135 &amp; " 1"), IFERROR(DATE(2025, 'Sales_RAW(BEFORE)'!AC135, 1), 'Sales_RAW(BEFORE)'!AC135)), "mmmm")</f>
        <v>January</v>
      </c>
      <c r="AF132" s="3">
        <f>_xlfn.LET(
  _xlpm.raw, TRIM(SUBSTITUTE('Sales_RAW(BEFORE)'!AD135, "'", "")),
  _xlpm.num, IFERROR(VALUE(_xlpm.raw), 0),
  IF(_xlpm.num &lt; 100, 2000 + _xlpm.num, _xlpm.num)
)</f>
        <v>2026</v>
      </c>
      <c r="AG132" s="3" t="str">
        <f>PROPER('Sales_RAW(BEFORE)'!AE135)</f>
        <v>Immediate</v>
      </c>
      <c r="AH132" s="3" cm="1">
        <f t="array" ref="AH132">_xlfn.LET(
  _xlpm.val, LOWER(TRIM('Sales_RAW(BEFORE)'!AF135)),
  _xlfn.IFS(
    OR(_xlpm.val="", _xlpm.val="null", _xlpm.val="N/A", _xlpm.val="-", _xlpm.val="#N/A"), 0,
    ISNUMBER('Sales_RAW(BEFORE)'!AF135), 'Sales_RAW(BEFORE)'!AF135,
    TRUE, IFERROR(_xlfn.NUMBERVALUE(_xlpm.val), 0)
  )
)</f>
        <v>29</v>
      </c>
      <c r="AI132" s="5">
        <f>IF(IFERROR(VALUE(SUBSTITUTE(SUBSTITUTE(TRIM('Sales_RAW(BEFORE)'!AG135), "%", ""), ",", ".")), 0) &gt; 1, IFERROR(VALUE(SUBSTITUTE(SUBSTITUTE(TRIM('Sales_RAW(BEFORE)'!AG135), "%", ""), ",", ".")), 0) / 100, IFERROR(VALUE(SUBSTITUTE(SUBSTITUTE(TRIM('Sales_RAW(BEFORE)'!AG135), "%", ""), ",", ".")), 0))</f>
        <v>0.08</v>
      </c>
      <c r="AJ132" s="6">
        <f t="shared" si="11"/>
        <v>160.60319999999999</v>
      </c>
      <c r="AK132" s="6">
        <f t="shared" si="12"/>
        <v>2168.1432</v>
      </c>
      <c r="AL132" s="6">
        <f>IFERROR(VALUE(SUBSTITUTE(SUBSTITUTE(SUBSTITUTE('Sales_RAW(BEFORE)'!AJ135,"$",""),"USD",""),",",".")),0)</f>
        <v>5.97</v>
      </c>
      <c r="AM132" s="3" t="str">
        <f>SUBSTITUTE(SUBSTITUTE(PROPER('Sales_RAW(BEFORE)'!AK135), "Fed Ex", "FedEx"),"Fedex","FedEx")</f>
        <v>Dhl</v>
      </c>
      <c r="AN132" s="3" t="s">
        <v>2414</v>
      </c>
      <c r="AO132" s="3" t="str">
        <f>SUBSTITUTE('Sales_RAW(BEFORE)'!AM135,"kg","")</f>
        <v>23,16</v>
      </c>
      <c r="AP132" s="3" t="str">
        <f>_xlfn.LET(
  _xlpm.raw, UPPER(TRIM('Sales_RAW(BEFORE)'!AN135)),
  _xlpm.clean, RIGHT(_xlpm.raw, 1),
  IF(OR(_xlpm.raw="", _xlpm.raw="null"), "N/A", _xlpm.clean)
)</f>
        <v>A</v>
      </c>
      <c r="AQ132" s="3">
        <v>88</v>
      </c>
      <c r="AR132" s="3" cm="1">
        <f t="array" ref="AR132">_xlfn.LET(
  _xlpm.raw, LOWER(TRIM('Sales_RAW(BEFORE)'!AP135)),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132" s="3"/>
      <c r="AT132" s="3"/>
      <c r="AU132" s="3"/>
      <c r="AV132" s="8">
        <f>IF(IFERROR(VALUE(SUBSTITUTE(SUBSTITUTE(TRIM('Sales_RAW(BEFORE)'!AT135), "%", ""), ",", ".")), 0) &gt; 1, IFERROR(VALUE(SUBSTITUTE(SUBSTITUTE(TRIM('Sales_RAW(BEFORE)'!AT135), "%", ""), ",", ".")), 0) / 100, IFERROR(VALUE(SUBSTITUTE(SUBSTITUTE(TRIM('Sales_RAW(BEFORE)'!AT135), "%", ""), ",", ".")), 0))</f>
        <v>0.15</v>
      </c>
      <c r="AW132" s="6">
        <f>BA132*(_xlfn.XLOOKUP(N132,Employees!$A$2:$A$26,Employees!$E$2:$E$26,2))</f>
        <v>86.725728000000004</v>
      </c>
      <c r="AX132" s="3" t="str">
        <f>PROPER('Sales_RAW(BEFORE)'!AV135)</f>
        <v>Emma Miller</v>
      </c>
      <c r="AY132" s="3" t="str">
        <f t="shared" si="13"/>
        <v>Emma Miller</v>
      </c>
      <c r="AZ132" s="3"/>
      <c r="BA132" s="24">
        <f>AK132*(1-(_xlfn.XLOOKUP(G132, Exchange_Rates!$B$8:$F$8, Exchange_Rates!$B$9:$F$9, 0)+J132))</f>
        <v>1734.5145600000001</v>
      </c>
      <c r="BB132" s="7" cm="1">
        <f t="array" ref="BB132">_xlfn.LET(
  _xlpm.raw_dt, SUBSTITUTE(TRIM(C132), ".", "/"),
  _xlpm.dt, IFERROR(DATEVALUE(_xlpm.raw_dt), C132),
  _xlpm.p_code, TRIM(E132),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47145</v>
      </c>
      <c r="BC132" s="25">
        <f t="shared" si="14"/>
        <v>260.17718400000001</v>
      </c>
    </row>
    <row r="133" spans="1:55" ht="15.75" thickBot="1" x14ac:dyDescent="0.3">
      <c r="A133" s="3" t="s">
        <v>2418</v>
      </c>
      <c r="B133" s="10">
        <f>DATE(2026,4,12)</f>
        <v>46124</v>
      </c>
      <c r="C133" s="4">
        <f>DATE(2026,4,22)</f>
        <v>46134</v>
      </c>
      <c r="D133" s="3" t="str">
        <f>"P-" &amp; TEXT(VALUE(SUBSTITUTE(SUBSTITUTE(SUBSTITUTE(UPPER(TRIM('Sales_RAW(BEFORE)'!D136)), "P", ""), "-", ""), "_", "")),"000")</f>
        <v>P-015</v>
      </c>
      <c r="E133" s="3" t="str">
        <f>VLOOKUP(D133,Product_List!$A$2:$B$61,2,FALSE)</f>
        <v>License Max 15</v>
      </c>
      <c r="F133" s="3" t="str">
        <f>_xlfn.XLOOKUP(E133,Product_List!$B$2:$B$61,Product_List!$E$2:$E$61,2)</f>
        <v>Global Distrib</v>
      </c>
      <c r="G133" s="3" t="str">
        <f>VLOOKUP(E133,Product_List!$B$2:$C$61,2,FALSE)</f>
        <v>Software</v>
      </c>
      <c r="H133" s="3" t="str">
        <f>SUBSTITUTE(SUBSTITUTE('Sales_RAW(BEFORE)'!G136,"kom",""),".","")</f>
        <v>37</v>
      </c>
      <c r="I133" s="6">
        <f>VLOOKUP(E133,Product_List!$B$2:$D$61,3,FALSE)</f>
        <v>545.57000000000005</v>
      </c>
      <c r="J133" s="5">
        <f>IF(IFERROR(VALUE(SUBSTITUTE(SUBSTITUTE(TRIM('Sales_RAW(BEFORE)'!I136), "%", ""), ",", ".")), 0) &gt; 1, IFERROR(VALUE(SUBSTITUTE(SUBSTITUTE(TRIM('Sales_RAW(BEFORE)'!I136), "%", ""), ",", ".")), 0) / 100, IFERROR(VALUE(SUBSTITUTE(SUBSTITUTE(TRIM('Sales_RAW(BEFORE)'!I136), "%", ""), ",", ".")), 0))</f>
        <v>0</v>
      </c>
      <c r="K133" s="6">
        <f t="shared" si="10"/>
        <v>20186.09</v>
      </c>
      <c r="L133" s="6" t="str" cm="1">
        <f t="array" ref="L133">_xlfn.LET(
  _xlpm.valuta, UPPER(TRIM('Sales_RAW(BEFORE)'!K136)),
  _xlfn.IFS(
    _xlpm.valuta = "", "",
    OR(_xlpm.valuta = "USD", _xlpm.valuta = "$"), "$",
    OR(_xlpm.valuta = "EUR", _xlpm.valuta = "€"), "€",
    TRUE, _xlpm.valuta
  )
)</f>
        <v>$</v>
      </c>
      <c r="M133" s="3" t="str">
        <f>"E" &amp; TEXT(VALUE(SUBSTITUTE(SUBSTITUTE(SUBSTITUTE(UPPER(TRIM('Sales_RAW(BEFORE)'!L136)), "EMP", ""), "E", ""), "-", "")),"000")</f>
        <v>E014</v>
      </c>
      <c r="N133" s="3" t="str">
        <f>_xlfn.XLOOKUP(M133,Employees!$D$2:$D$26,Employees!$A$2:$A$26)</f>
        <v>Sophia Brown</v>
      </c>
      <c r="O133" s="3" t="str">
        <f>_xlfn.XLOOKUP(N133,Employees!$A$2:$A$26,Employees!$C$2:$C$26,2)</f>
        <v>Online</v>
      </c>
      <c r="P133" s="3" t="str">
        <f>PROPER('Sales_RAW(BEFORE)'!N136)</f>
        <v>West</v>
      </c>
      <c r="Q133" s="3" t="str">
        <f>VLOOKUP(N133,Employees!$A$2:$B$26,2,FALSE)</f>
        <v>New York</v>
      </c>
      <c r="R133" s="3" t="str">
        <f>PROPER('Sales_RAW(BEFORE)'!P136)</f>
        <v xml:space="preserve">  Stark Inc.</v>
      </c>
      <c r="S133" s="3" t="str">
        <f>SUBSTITUTE(SUBSTITUTE('Sales_RAW(BEFORE)'!Q136,"EIN",""),":","")</f>
        <v>794990289</v>
      </c>
      <c r="T133" s="3" t="s">
        <v>1232</v>
      </c>
      <c r="U133" s="3" t="s">
        <v>2425</v>
      </c>
      <c r="V133" s="3" t="s">
        <v>2426</v>
      </c>
      <c r="W133" s="3" t="s">
        <v>2427</v>
      </c>
      <c r="X133" s="3" t="s">
        <v>173</v>
      </c>
      <c r="Y133" s="3" t="str">
        <f>PROPER('Sales_RAW(BEFORE)'!W136)</f>
        <v>Paypal</v>
      </c>
      <c r="Z133" s="3" t="str">
        <f>PROPER('Sales_RAW(BEFORE)'!X136)</f>
        <v>Pending</v>
      </c>
      <c r="AA133" s="3" t="str" cm="1">
        <f t="array" ref="AA133">_xlfn.LET(
  _xlpm.val, TRIM(LOWER('Sales_RAW(BEFORE)'!Y136)),
  _xlfn.IFS(
    OR(_xlpm.val="yes", _xlpm.val="paid"), "Paid",
    OR(_xlpm.val="no", _xlpm.val="unpaid"), "Unpaid",
    OR(_xlpm.val="partial", _xlpm.val="partial paid"), "Partial",
    _xlpm.val="", "",
    TRUE, 'Sales_RAW(BEFORE)'!AY136
  )
)</f>
        <v>Paid</v>
      </c>
      <c r="AB133" s="3" t="s">
        <v>2428</v>
      </c>
      <c r="AC133" s="3" t="str">
        <f>PROPER('Sales_RAW(BEFORE)'!AA136)</f>
        <v>Store</v>
      </c>
      <c r="AD133" s="3" t="str">
        <f>SUBSTITUTE(SUBSTITUTE(SUBSTITUTE(SUBSTITUTE('Sales_RAW(BEFORE)'!AB136,"st",""),"q",""),"Q",""),"uarter","")</f>
        <v>2</v>
      </c>
      <c r="AE133" s="3" t="str">
        <f>TEXT(IFERROR(DATEVALUE('Sales_RAW(BEFORE)'!AC136 &amp; " 1"), IFERROR(DATE(2025, 'Sales_RAW(BEFORE)'!AC136, 1), 'Sales_RAW(BEFORE)'!AC136)), "mmmm")</f>
        <v>April</v>
      </c>
      <c r="AF133" s="3">
        <f>_xlfn.LET(
  _xlpm.raw, TRIM(SUBSTITUTE('Sales_RAW(BEFORE)'!AD136, "'", "")),
  _xlpm.num, IFERROR(VALUE(_xlpm.raw), 0),
  IF(_xlpm.num &lt; 100, 2000 + _xlpm.num, _xlpm.num)
)</f>
        <v>2026</v>
      </c>
      <c r="AG133" s="3" t="str">
        <f>PROPER('Sales_RAW(BEFORE)'!AE136)</f>
        <v>Net 60</v>
      </c>
      <c r="AH133" s="3" cm="1">
        <f t="array" ref="AH133">_xlfn.LET(
  _xlpm.val, LOWER(TRIM('Sales_RAW(BEFORE)'!AF136)),
  _xlfn.IFS(
    OR(_xlpm.val="", _xlpm.val="null", _xlpm.val="N/A", _xlpm.val="-", _xlpm.val="#N/A"), 0,
    ISNUMBER('Sales_RAW(BEFORE)'!AF136), 'Sales_RAW(BEFORE)'!AF136,
    TRUE, IFERROR(_xlfn.NUMBERVALUE(_xlpm.val), 0)
  )
)</f>
        <v>0</v>
      </c>
      <c r="AI133" s="5">
        <f>IF(IFERROR(VALUE(SUBSTITUTE(SUBSTITUTE(TRIM('Sales_RAW(BEFORE)'!AG136), "%", ""), ",", ".")), 0) &gt; 1, IFERROR(VALUE(SUBSTITUTE(SUBSTITUTE(TRIM('Sales_RAW(BEFORE)'!AG136), "%", ""), ",", ".")), 0) / 100, IFERROR(VALUE(SUBSTITUTE(SUBSTITUTE(TRIM('Sales_RAW(BEFORE)'!AG136), "%", ""), ",", ".")), 0))</f>
        <v>0.08</v>
      </c>
      <c r="AJ133" s="6">
        <f t="shared" si="11"/>
        <v>1614.8872000000001</v>
      </c>
      <c r="AK133" s="6">
        <f t="shared" si="12"/>
        <v>21800.977200000001</v>
      </c>
      <c r="AL133" s="6">
        <f>IFERROR(VALUE(SUBSTITUTE(SUBSTITUTE(SUBSTITUTE('Sales_RAW(BEFORE)'!AJ136,"$",""),"USD",""),",",".")),0)</f>
        <v>24.48</v>
      </c>
      <c r="AM133" s="3" t="str">
        <f>SUBSTITUTE(SUBSTITUTE(PROPER('Sales_RAW(BEFORE)'!AK136), "Fed Ex", "FedEx"),"Fedex","FedEx")</f>
        <v>FedEx</v>
      </c>
      <c r="AN133" s="3" t="s">
        <v>2430</v>
      </c>
      <c r="AO133" s="3" t="str">
        <f>SUBSTITUTE('Sales_RAW(BEFORE)'!AM136,"kg","")</f>
        <v>12,3</v>
      </c>
      <c r="AP133" s="3" t="str">
        <f>_xlfn.LET(
  _xlpm.raw, UPPER(TRIM('Sales_RAW(BEFORE)'!AN136)),
  _xlpm.clean, RIGHT(_xlpm.raw, 1),
  IF(OR(_xlpm.raw="", _xlpm.raw="null"), "N/A", _xlpm.clean)
)</f>
        <v>B</v>
      </c>
      <c r="AQ133" s="3">
        <v>132</v>
      </c>
      <c r="AR133" s="3" t="str" cm="1">
        <f t="array" ref="AR133">_xlfn.LET(
  _xlpm.raw, LOWER(TRIM('Sales_RAW(BEFORE)'!AP136)),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133" s="3"/>
      <c r="AT133" s="3"/>
      <c r="AU133" s="3"/>
      <c r="AV133" s="8">
        <f>IF(IFERROR(VALUE(SUBSTITUTE(SUBSTITUTE(TRIM('Sales_RAW(BEFORE)'!AT136), "%", ""), ",", ".")), 0) &gt; 1, IFERROR(VALUE(SUBSTITUTE(SUBSTITUTE(TRIM('Sales_RAW(BEFORE)'!AT136), "%", ""), ",", ".")), 0) / 100, IFERROR(VALUE(SUBSTITUTE(SUBSTITUTE(TRIM('Sales_RAW(BEFORE)'!AT136), "%", ""), ",", ".")), 0))</f>
        <v>0.25</v>
      </c>
      <c r="AW133" s="6">
        <f>BA133*(_xlfn.XLOOKUP(N133,Employees!$A$2:$A$26,Employees!$E$2:$E$26,2))</f>
        <v>555.92491859999996</v>
      </c>
      <c r="AX133" s="3" t="str">
        <f>PROPER('Sales_RAW(BEFORE)'!AV136)</f>
        <v>Daniel Taylor</v>
      </c>
      <c r="AY133" s="3" t="str">
        <f t="shared" si="13"/>
        <v>Daniel Taylor</v>
      </c>
      <c r="AZ133" s="3"/>
      <c r="BA133" s="24">
        <f>AK133*(1-(_xlfn.XLOOKUP(G133, Exchange_Rates!$B$8:$F$8, Exchange_Rates!$B$9:$F$9, 0)+J133))</f>
        <v>18530.830620000001</v>
      </c>
      <c r="BB133" s="7" cm="1">
        <f t="array" ref="BB133">_xlfn.LET(
  _xlpm.raw_dt, SUBSTITUTE(TRIM(C133), ".", "/"),
  _xlpm.dt, IFERROR(DATEVALUE(_xlpm.raw_dt), C133),
  _xlpm.p_code, TRIM(E133),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46865</v>
      </c>
      <c r="BC133" s="25">
        <f t="shared" si="14"/>
        <v>4632.7076550000002</v>
      </c>
    </row>
    <row r="134" spans="1:55" ht="15.75" thickBot="1" x14ac:dyDescent="0.3">
      <c r="A134" s="3" t="s">
        <v>2434</v>
      </c>
      <c r="B134" s="10">
        <v>45730</v>
      </c>
      <c r="C134" s="4">
        <v>45734</v>
      </c>
      <c r="D134" s="3" t="str">
        <f>"P-" &amp; TEXT(VALUE(SUBSTITUTE(SUBSTITUTE(SUBSTITUTE(UPPER(TRIM('Sales_RAW(BEFORE)'!D137)), "P", ""), "-", ""), "_", "")),"000")</f>
        <v>P-015</v>
      </c>
      <c r="E134" s="3" t="str">
        <f>VLOOKUP(D134,Product_List!$A$2:$B$61,2,FALSE)</f>
        <v>License Max 15</v>
      </c>
      <c r="F134" s="3" t="str">
        <f>_xlfn.XLOOKUP(E134,Product_List!$B$2:$B$61,Product_List!$E$2:$E$61,2)</f>
        <v>Global Distrib</v>
      </c>
      <c r="G134" s="3" t="str">
        <f>VLOOKUP(E134,Product_List!$B$2:$C$61,2,FALSE)</f>
        <v>Software</v>
      </c>
      <c r="H134" s="3" t="str">
        <f>SUBSTITUTE(SUBSTITUTE('Sales_RAW(BEFORE)'!G137,"kom",""),".","")</f>
        <v>18</v>
      </c>
      <c r="I134" s="6">
        <f>VLOOKUP(E134,Product_List!$B$2:$D$61,3,FALSE)</f>
        <v>545.57000000000005</v>
      </c>
      <c r="J134" s="5">
        <f>IF(IFERROR(VALUE(SUBSTITUTE(SUBSTITUTE(TRIM('Sales_RAW(BEFORE)'!I137), "%", ""), ",", ".")), 0) &gt; 1, IFERROR(VALUE(SUBSTITUTE(SUBSTITUTE(TRIM('Sales_RAW(BEFORE)'!I137), "%", ""), ",", ".")), 0) / 100, IFERROR(VALUE(SUBSTITUTE(SUBSTITUTE(TRIM('Sales_RAW(BEFORE)'!I137), "%", ""), ",", ".")), 0))</f>
        <v>0.1</v>
      </c>
      <c r="K134" s="6">
        <f t="shared" si="10"/>
        <v>9820.26</v>
      </c>
      <c r="L134" s="6" t="str" cm="1">
        <f t="array" ref="L134">_xlfn.LET(
  _xlpm.valuta, UPPER(TRIM('Sales_RAW(BEFORE)'!K137)),
  _xlfn.IFS(
    _xlpm.valuta = "", "",
    OR(_xlpm.valuta = "USD", _xlpm.valuta = "$"), "$",
    OR(_xlpm.valuta = "EUR", _xlpm.valuta = "€"), "€",
    TRUE, _xlpm.valuta
  )
)</f>
        <v>$</v>
      </c>
      <c r="M134" s="3" t="str">
        <f>"E" &amp; TEXT(VALUE(SUBSTITUTE(SUBSTITUTE(SUBSTITUTE(UPPER(TRIM('Sales_RAW(BEFORE)'!L137)), "EMP", ""), "E", ""), "-", "")),"000")</f>
        <v>E005</v>
      </c>
      <c r="N134" s="3" t="str">
        <f>_xlfn.XLOOKUP(M134,Employees!$D$2:$D$26,Employees!$A$2:$A$26)</f>
        <v>Laura Williams</v>
      </c>
      <c r="O134" s="3" t="str">
        <f>_xlfn.XLOOKUP(N134,Employees!$A$2:$A$26,Employees!$C$2:$C$26,2)</f>
        <v>Online</v>
      </c>
      <c r="P134" s="3" t="str">
        <f>PROPER('Sales_RAW(BEFORE)'!N137)</f>
        <v>North</v>
      </c>
      <c r="Q134" s="3" t="str">
        <f>VLOOKUP(N134,Employees!$A$2:$B$26,2,FALSE)</f>
        <v>Houston</v>
      </c>
      <c r="R134" s="3" t="str">
        <f>PROPER('Sales_RAW(BEFORE)'!P137)</f>
        <v xml:space="preserve"> Globex Inc</v>
      </c>
      <c r="S134" s="3" t="str">
        <f>SUBSTITUTE(SUBSTITUTE('Sales_RAW(BEFORE)'!Q137,"EIN",""),":","")</f>
        <v xml:space="preserve"> 268745410</v>
      </c>
      <c r="T134" s="3" t="s">
        <v>142</v>
      </c>
      <c r="U134" s="3" t="s">
        <v>2442</v>
      </c>
      <c r="V134" s="3" t="s">
        <v>2443</v>
      </c>
      <c r="W134" s="3" t="s">
        <v>2444</v>
      </c>
      <c r="X134" s="3" t="s">
        <v>173</v>
      </c>
      <c r="Y134" s="3" t="str">
        <f>PROPER('Sales_RAW(BEFORE)'!W137)</f>
        <v>Cash</v>
      </c>
      <c r="Z134" s="3" t="str">
        <f>PROPER('Sales_RAW(BEFORE)'!X137)</f>
        <v>Delivered</v>
      </c>
      <c r="AA134" s="3" t="str" cm="1">
        <f t="array" ref="AA134">_xlfn.LET(
  _xlpm.val, TRIM(LOWER('Sales_RAW(BEFORE)'!Y137)),
  _xlfn.IFS(
    OR(_xlpm.val="yes", _xlpm.val="paid"), "Paid",
    OR(_xlpm.val="no", _xlpm.val="unpaid"), "Unpaid",
    OR(_xlpm.val="partial", _xlpm.val="partial paid"), "Partial",
    _xlpm.val="", "",
    TRUE, 'Sales_RAW(BEFORE)'!AY137
  )
)</f>
        <v>Paid</v>
      </c>
      <c r="AB134" s="3" t="s">
        <v>2445</v>
      </c>
      <c r="AC134" s="3" t="str">
        <f>PROPER('Sales_RAW(BEFORE)'!AA137)</f>
        <v>Online</v>
      </c>
      <c r="AD134" s="3" t="str">
        <f>SUBSTITUTE(SUBSTITUTE(SUBSTITUTE(SUBSTITUTE('Sales_RAW(BEFORE)'!AB137,"st",""),"q",""),"Q",""),"uarter","")</f>
        <v>3</v>
      </c>
      <c r="AE134" s="3" t="str">
        <f>TEXT(IFERROR(DATEVALUE('Sales_RAW(BEFORE)'!AC137 &amp; " 1"), IFERROR(DATE(2025, 'Sales_RAW(BEFORE)'!AC137, 1), 'Sales_RAW(BEFORE)'!AC137)), "mmmm")</f>
        <v>March</v>
      </c>
      <c r="AF134" s="3">
        <f>_xlfn.LET(
  _xlpm.raw, TRIM(SUBSTITUTE('Sales_RAW(BEFORE)'!AD137, "'", "")),
  _xlpm.num, IFERROR(VALUE(_xlpm.raw), 0),
  IF(_xlpm.num &lt; 100, 2000 + _xlpm.num, _xlpm.num)
)</f>
        <v>2025</v>
      </c>
      <c r="AG134" s="3" t="str">
        <f>PROPER('Sales_RAW(BEFORE)'!AE137)</f>
        <v>Net 30</v>
      </c>
      <c r="AH134" s="3" cm="1">
        <f t="array" ref="AH134">_xlfn.LET(
  _xlpm.val, LOWER(TRIM('Sales_RAW(BEFORE)'!AF137)),
  _xlfn.IFS(
    OR(_xlpm.val="", _xlpm.val="null", _xlpm.val="N/A", _xlpm.val="-", _xlpm.val="#N/A"), 0,
    ISNUMBER('Sales_RAW(BEFORE)'!AF137), 'Sales_RAW(BEFORE)'!AF137,
    TRUE, IFERROR(_xlfn.NUMBERVALUE(_xlpm.val), 0)
  )
)</f>
        <v>27</v>
      </c>
      <c r="AI134" s="5">
        <f>IF(IFERROR(VALUE(SUBSTITUTE(SUBSTITUTE(TRIM('Sales_RAW(BEFORE)'!AG137), "%", ""), ",", ".")), 0) &gt; 1, IFERROR(VALUE(SUBSTITUTE(SUBSTITUTE(TRIM('Sales_RAW(BEFORE)'!AG137), "%", ""), ",", ".")), 0) / 100, IFERROR(VALUE(SUBSTITUTE(SUBSTITUTE(TRIM('Sales_RAW(BEFORE)'!AG137), "%", ""), ",", ".")), 0))</f>
        <v>0.08</v>
      </c>
      <c r="AJ134" s="6">
        <f t="shared" si="11"/>
        <v>785.62080000000003</v>
      </c>
      <c r="AK134" s="6">
        <f t="shared" si="12"/>
        <v>10605.880800000001</v>
      </c>
      <c r="AL134" s="6">
        <f>IFERROR(VALUE(SUBSTITUTE(SUBSTITUTE(SUBSTITUTE('Sales_RAW(BEFORE)'!AJ137,"$",""),"USD",""),",",".")),0)</f>
        <v>8.64</v>
      </c>
      <c r="AM134" s="3" t="str">
        <f>SUBSTITUTE(SUBSTITUTE(PROPER('Sales_RAW(BEFORE)'!AK137), "Fed Ex", "FedEx"),"Fedex","FedEx")</f>
        <v>Ups</v>
      </c>
      <c r="AN134" s="3" t="s">
        <v>2447</v>
      </c>
      <c r="AO134" s="3" t="str">
        <f>SUBSTITUTE('Sales_RAW(BEFORE)'!AM137,"kg","")</f>
        <v>3.99</v>
      </c>
      <c r="AP134" s="3" t="str">
        <f>_xlfn.LET(
  _xlpm.raw, UPPER(TRIM('Sales_RAW(BEFORE)'!AN137)),
  _xlpm.clean, RIGHT(_xlpm.raw, 1),
  IF(OR(_xlpm.raw="", _xlpm.raw="null"), "N/A", _xlpm.clean)
)</f>
        <v>A</v>
      </c>
      <c r="AQ134" s="3">
        <v>363</v>
      </c>
      <c r="AR134" s="3" cm="1">
        <f t="array" ref="AR134">_xlfn.LET(
  _xlpm.raw, LOWER(TRIM('Sales_RAW(BEFORE)'!AP137)),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34" s="3"/>
      <c r="AT134" s="3"/>
      <c r="AU134" s="3"/>
      <c r="AV134" s="8">
        <f>IF(IFERROR(VALUE(SUBSTITUTE(SUBSTITUTE(TRIM('Sales_RAW(BEFORE)'!AT137), "%", ""), ",", ".")), 0) &gt; 1, IFERROR(VALUE(SUBSTITUTE(SUBSTITUTE(TRIM('Sales_RAW(BEFORE)'!AT137), "%", ""), ",", ".")), 0) / 100, IFERROR(VALUE(SUBSTITUTE(SUBSTITUTE(TRIM('Sales_RAW(BEFORE)'!AT137), "%", ""), ",", ".")), 0))</f>
        <v>0</v>
      </c>
      <c r="AW134" s="6">
        <f>BA134*(_xlfn.XLOOKUP(N134,Employees!$A$2:$A$26,Employees!$E$2:$E$26,2))</f>
        <v>238.63231800000003</v>
      </c>
      <c r="AX134" s="3" t="str">
        <f>PROPER('Sales_RAW(BEFORE)'!AV137)</f>
        <v xml:space="preserve">  Sophia Davis</v>
      </c>
      <c r="AY134" s="3" t="str">
        <f t="shared" si="13"/>
        <v xml:space="preserve">  Sophia Davis</v>
      </c>
      <c r="AZ134" s="3"/>
      <c r="BA134" s="24">
        <f>AK134*(1-(_xlfn.XLOOKUP(G134, Exchange_Rates!$B$8:$F$8, Exchange_Rates!$B$9:$F$9, 0)+J134))</f>
        <v>7954.4106000000011</v>
      </c>
      <c r="BB134" s="7" cm="1">
        <f t="array" ref="BB134">_xlfn.LET(
  _xlpm.raw_dt, SUBSTITUTE(TRIM(C134), ".", "/"),
  _xlpm.dt, IFERROR(DATEVALUE(_xlpm.raw_dt), C134),
  _xlpm.p_code, TRIM(E134),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46464</v>
      </c>
      <c r="BC134" s="25">
        <f t="shared" si="14"/>
        <v>0</v>
      </c>
    </row>
    <row r="135" spans="1:55" ht="15.75" thickBot="1" x14ac:dyDescent="0.3">
      <c r="A135" s="3" t="s">
        <v>2451</v>
      </c>
      <c r="B135" s="10">
        <f>DATE(2025,4,7)</f>
        <v>45754</v>
      </c>
      <c r="C135" s="4">
        <v>45763</v>
      </c>
      <c r="D135" s="3" t="str">
        <f>"P-" &amp; TEXT(VALUE(SUBSTITUTE(SUBSTITUTE(SUBSTITUTE(UPPER(TRIM('Sales_RAW(BEFORE)'!D138)), "P", ""), "-", ""), "_", "")),"000")</f>
        <v>P-044</v>
      </c>
      <c r="E135" s="3" t="str">
        <f>VLOOKUP(D135,Product_List!$A$2:$B$61,2,FALSE)</f>
        <v>Desk Max 44</v>
      </c>
      <c r="F135" s="3" t="str">
        <f>_xlfn.XLOOKUP(E135,Product_List!$B$2:$B$61,Product_List!$E$2:$E$61,2)</f>
        <v>TechSupply Co</v>
      </c>
      <c r="G135" s="3" t="str">
        <f>VLOOKUP(E135,Product_List!$B$2:$C$61,2,FALSE)</f>
        <v>Electronics</v>
      </c>
      <c r="H135" s="3" t="str">
        <f>SUBSTITUTE(SUBSTITUTE('Sales_RAW(BEFORE)'!G138,"kom",""),".","")</f>
        <v xml:space="preserve">3 </v>
      </c>
      <c r="I135" s="6">
        <f>VLOOKUP(E135,Product_List!$B$2:$D$61,3,FALSE)</f>
        <v>110.12</v>
      </c>
      <c r="J135" s="5">
        <f>IF(IFERROR(VALUE(SUBSTITUTE(SUBSTITUTE(TRIM('Sales_RAW(BEFORE)'!I138), "%", ""), ",", ".")), 0) &gt; 1, IFERROR(VALUE(SUBSTITUTE(SUBSTITUTE(TRIM('Sales_RAW(BEFORE)'!I138), "%", ""), ",", ".")), 0) / 100, IFERROR(VALUE(SUBSTITUTE(SUBSTITUTE(TRIM('Sales_RAW(BEFORE)'!I138), "%", ""), ",", ".")), 0))</f>
        <v>0.05</v>
      </c>
      <c r="K135" s="6">
        <f t="shared" si="10"/>
        <v>330.36</v>
      </c>
      <c r="L135" s="6" t="str" cm="1">
        <f t="array" ref="L135">_xlfn.LET(
  _xlpm.valuta, UPPER(TRIM('Sales_RAW(BEFORE)'!K138)),
  _xlfn.IFS(
    _xlpm.valuta = "", "",
    OR(_xlpm.valuta = "USD", _xlpm.valuta = "$"), "$",
    OR(_xlpm.valuta = "EUR", _xlpm.valuta = "€"), "€",
    TRUE, _xlpm.valuta
  )
)</f>
        <v>$</v>
      </c>
      <c r="M135" s="3" t="str">
        <f>"E" &amp; TEXT(VALUE(SUBSTITUTE(SUBSTITUTE(SUBSTITUTE(UPPER(TRIM('Sales_RAW(BEFORE)'!L138)), "EMP", ""), "E", ""), "-", "")),"000")</f>
        <v>E020</v>
      </c>
      <c r="N135" s="3" t="str">
        <f>_xlfn.XLOOKUP(M135,Employees!$D$2:$D$26,Employees!$A$2:$A$26)</f>
        <v>Robert Taylor</v>
      </c>
      <c r="O135" s="3" t="str">
        <f>_xlfn.XLOOKUP(N135,Employees!$A$2:$A$26,Employees!$C$2:$C$26,2)</f>
        <v>Retail</v>
      </c>
      <c r="P135" s="3" t="str">
        <f>PROPER('Sales_RAW(BEFORE)'!N138)</f>
        <v>North</v>
      </c>
      <c r="Q135" s="3" t="str">
        <f>VLOOKUP(N135,Employees!$A$2:$B$26,2,FALSE)</f>
        <v>New York</v>
      </c>
      <c r="R135" s="3" t="str">
        <f>PROPER('Sales_RAW(BEFORE)'!P138)</f>
        <v>Umbrella Inc</v>
      </c>
      <c r="S135" s="3" t="str">
        <f>SUBSTITUTE(SUBSTITUTE('Sales_RAW(BEFORE)'!Q138,"EIN",""),":","")</f>
        <v xml:space="preserve"> 127108113</v>
      </c>
      <c r="T135" s="3" t="s">
        <v>1395</v>
      </c>
      <c r="U135" s="3" t="s">
        <v>2460</v>
      </c>
      <c r="V135" s="3" t="s">
        <v>2461</v>
      </c>
      <c r="W135" s="3" t="s">
        <v>2462</v>
      </c>
      <c r="X135" s="3" t="s">
        <v>173</v>
      </c>
      <c r="Y135" s="3" t="str">
        <f>PROPER('Sales_RAW(BEFORE)'!W138)</f>
        <v>Wire</v>
      </c>
      <c r="Z135" s="3" t="str">
        <f>PROPER('Sales_RAW(BEFORE)'!X138)</f>
        <v>Delivered</v>
      </c>
      <c r="AA135" s="3" t="str" cm="1">
        <f t="array" ref="AA135">_xlfn.LET(
  _xlpm.val, TRIM(LOWER('Sales_RAW(BEFORE)'!Y138)),
  _xlfn.IFS(
    OR(_xlpm.val="yes", _xlpm.val="paid"), "Paid",
    OR(_xlpm.val="no", _xlpm.val="unpaid"), "Unpaid",
    OR(_xlpm.val="partial", _xlpm.val="partial paid"), "Partial",
    _xlpm.val="", "",
    TRUE, 'Sales_RAW(BEFORE)'!AY138
  )
)</f>
        <v>Paid</v>
      </c>
      <c r="AB135" s="3" t="s">
        <v>2463</v>
      </c>
      <c r="AC135" s="3" t="str">
        <f>PROPER('Sales_RAW(BEFORE)'!AA138)</f>
        <v>Online</v>
      </c>
      <c r="AD135" s="3" t="str">
        <f>SUBSTITUTE(SUBSTITUTE(SUBSTITUTE(SUBSTITUTE('Sales_RAW(BEFORE)'!AB138,"st",""),"q",""),"Q",""),"uarter","")</f>
        <v xml:space="preserve">1 </v>
      </c>
      <c r="AE135" s="3" t="str">
        <f>TEXT(IFERROR(DATEVALUE('Sales_RAW(BEFORE)'!AC138 &amp; " 1"), IFERROR(DATE(2025, 'Sales_RAW(BEFORE)'!AC138, 1), 'Sales_RAW(BEFORE)'!AC138)), "mmmm")</f>
        <v>April</v>
      </c>
      <c r="AF135" s="3">
        <f>_xlfn.LET(
  _xlpm.raw, TRIM(SUBSTITUTE('Sales_RAW(BEFORE)'!AD138, "'", "")),
  _xlpm.num, IFERROR(VALUE(_xlpm.raw), 0),
  IF(_xlpm.num &lt; 100, 2000 + _xlpm.num, _xlpm.num)
)</f>
        <v>2025</v>
      </c>
      <c r="AG135" s="3" t="str">
        <f>PROPER('Sales_RAW(BEFORE)'!AE138)</f>
        <v>Immediate</v>
      </c>
      <c r="AH135" s="3" cm="1">
        <f t="array" ref="AH135">_xlfn.LET(
  _xlpm.val, LOWER(TRIM('Sales_RAW(BEFORE)'!AF138)),
  _xlfn.IFS(
    OR(_xlpm.val="", _xlpm.val="null", _xlpm.val="N/A", _xlpm.val="-", _xlpm.val="#N/A"), 0,
    ISNUMBER('Sales_RAW(BEFORE)'!AF138), 'Sales_RAW(BEFORE)'!AF138,
    TRUE, IFERROR(_xlfn.NUMBERVALUE(_xlpm.val), 0)
  )
)</f>
        <v>75</v>
      </c>
      <c r="AI135" s="5">
        <f>IF(IFERROR(VALUE(SUBSTITUTE(SUBSTITUTE(TRIM('Sales_RAW(BEFORE)'!AG138), "%", ""), ",", ".")), 0) &gt; 1, IFERROR(VALUE(SUBSTITUTE(SUBSTITUTE(TRIM('Sales_RAW(BEFORE)'!AG138), "%", ""), ",", ".")), 0) / 100, IFERROR(VALUE(SUBSTITUTE(SUBSTITUTE(TRIM('Sales_RAW(BEFORE)'!AG138), "%", ""), ",", ".")), 0))</f>
        <v>0.08</v>
      </c>
      <c r="AJ135" s="6">
        <f t="shared" si="11"/>
        <v>26.428800000000003</v>
      </c>
      <c r="AK135" s="6">
        <f t="shared" si="12"/>
        <v>356.78880000000004</v>
      </c>
      <c r="AL135" s="6">
        <f>IFERROR(VALUE(SUBSTITUTE(SUBSTITUTE(SUBSTITUTE('Sales_RAW(BEFORE)'!AJ138,"$",""),"USD",""),",",".")),0)</f>
        <v>14.26</v>
      </c>
      <c r="AM135" s="3" t="str">
        <f>SUBSTITUTE(SUBSTITUTE(PROPER('Sales_RAW(BEFORE)'!AK138), "Fed Ex", "FedEx"),"Fedex","FedEx")</f>
        <v>Ups</v>
      </c>
      <c r="AN135" s="3" t="s">
        <v>2464</v>
      </c>
      <c r="AO135" s="3" t="str">
        <f>SUBSTITUTE('Sales_RAW(BEFORE)'!AM138,"kg","")</f>
        <v>5,86</v>
      </c>
      <c r="AP135" s="3" t="str">
        <f>_xlfn.LET(
  _xlpm.raw, UPPER(TRIM('Sales_RAW(BEFORE)'!AN138)),
  _xlpm.clean, RIGHT(_xlpm.raw, 1),
  IF(OR(_xlpm.raw="", _xlpm.raw="null"), "N/A", _xlpm.clean)
)</f>
        <v>A</v>
      </c>
      <c r="AQ135" s="3">
        <v>186</v>
      </c>
      <c r="AR135" s="3" cm="1">
        <f t="array" ref="AR135">_xlfn.LET(
  _xlpm.raw, LOWER(TRIM('Sales_RAW(BEFORE)'!AP138)),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135" s="3"/>
      <c r="AT135" s="3"/>
      <c r="AU135" s="3"/>
      <c r="AV135" s="8">
        <f>IF(IFERROR(VALUE(SUBSTITUTE(SUBSTITUTE(TRIM('Sales_RAW(BEFORE)'!AT138), "%", ""), ",", ".")), 0) &gt; 1, IFERROR(VALUE(SUBSTITUTE(SUBSTITUTE(TRIM('Sales_RAW(BEFORE)'!AT138), "%", ""), ",", ".")), 0) / 100, IFERROR(VALUE(SUBSTITUTE(SUBSTITUTE(TRIM('Sales_RAW(BEFORE)'!AT138), "%", ""), ",", ".")), 0))</f>
        <v>0.15</v>
      </c>
      <c r="AW135" s="6">
        <f>BA135*(_xlfn.XLOOKUP(N135,Employees!$A$2:$A$26,Employees!$E$2:$E$26,2))</f>
        <v>9.0981144</v>
      </c>
      <c r="AX135" s="3" t="str">
        <f>PROPER('Sales_RAW(BEFORE)'!AV138)</f>
        <v xml:space="preserve">  Emily Davis</v>
      </c>
      <c r="AY135" s="3" t="str">
        <f t="shared" si="13"/>
        <v xml:space="preserve">  Emily Davis</v>
      </c>
      <c r="AZ135" s="3"/>
      <c r="BA135" s="24">
        <f>AK135*(1-(_xlfn.XLOOKUP(G135, Exchange_Rates!$B$8:$F$8, Exchange_Rates!$B$9:$F$9, 0)+J135))</f>
        <v>303.27048000000002</v>
      </c>
      <c r="BB135" s="7" cm="1">
        <f t="array" ref="BB135">_xlfn.LET(
  _xlpm.raw_dt, SUBSTITUTE(TRIM(C135), ".", "/"),
  _xlpm.dt, IFERROR(DATEVALUE(_xlpm.raw_dt), C135),
  _xlpm.p_code, TRIM(E135),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46859</v>
      </c>
      <c r="BC135" s="25">
        <f t="shared" si="14"/>
        <v>45.490572</v>
      </c>
    </row>
    <row r="136" spans="1:55" ht="15.75" thickBot="1" x14ac:dyDescent="0.3">
      <c r="A136" s="3" t="s">
        <v>2468</v>
      </c>
      <c r="B136" s="10">
        <v>46144</v>
      </c>
      <c r="C136" s="4">
        <f>DATE(2026,5,12)</f>
        <v>46154</v>
      </c>
      <c r="D136" s="3" t="str">
        <f>"P-" &amp; TEXT(VALUE(SUBSTITUTE(SUBSTITUTE(SUBSTITUTE(UPPER(TRIM('Sales_RAW(BEFORE)'!D140)), "P", ""), "-", ""), "_", "")),"000")</f>
        <v>P-041</v>
      </c>
      <c r="E136" s="3" t="str">
        <f>VLOOKUP(D136,Product_List!$A$2:$B$61,2,FALSE)</f>
        <v>Monitor X 41</v>
      </c>
      <c r="F136" s="3" t="str">
        <f>_xlfn.XLOOKUP(E136,Product_List!$B$2:$B$61,Product_List!$E$2:$E$61,2)</f>
        <v>TechSupply Co</v>
      </c>
      <c r="G136" s="3" t="str">
        <f>VLOOKUP(E136,Product_List!$B$2:$C$61,2,FALSE)</f>
        <v>Software</v>
      </c>
      <c r="H136" s="3" t="str">
        <f>SUBSTITUTE(SUBSTITUTE('Sales_RAW(BEFORE)'!G140,"kom",""),".","")</f>
        <v xml:space="preserve">5 </v>
      </c>
      <c r="I136" s="6">
        <f>VLOOKUP(E136,Product_List!$B$2:$D$61,3,FALSE)</f>
        <v>247.64</v>
      </c>
      <c r="J136" s="5">
        <f>IF(IFERROR(VALUE(SUBSTITUTE(SUBSTITUTE(TRIM('Sales_RAW(BEFORE)'!I140), "%", ""), ",", ".")), 0) &gt; 1, IFERROR(VALUE(SUBSTITUTE(SUBSTITUTE(TRIM('Sales_RAW(BEFORE)'!I140), "%", ""), ",", ".")), 0) / 100, IFERROR(VALUE(SUBSTITUTE(SUBSTITUTE(TRIM('Sales_RAW(BEFORE)'!I140), "%", ""), ",", ".")), 0))</f>
        <v>0</v>
      </c>
      <c r="K136" s="6">
        <f t="shared" si="10"/>
        <v>1238.1999999999998</v>
      </c>
      <c r="L136" s="6" t="str" cm="1">
        <f t="array" ref="L136">_xlfn.LET(
  _xlpm.valuta, UPPER(TRIM('Sales_RAW(BEFORE)'!K140)),
  _xlfn.IFS(
    _xlpm.valuta = "", "",
    OR(_xlpm.valuta = "USD", _xlpm.valuta = "$"), "$",
    OR(_xlpm.valuta = "EUR", _xlpm.valuta = "€"), "€",
    TRUE, _xlpm.valuta
  )
)</f>
        <v>$</v>
      </c>
      <c r="M136" s="3" t="str">
        <f>"E" &amp; TEXT(VALUE(SUBSTITUTE(SUBSTITUTE(SUBSTITUTE(UPPER(TRIM('Sales_RAW(BEFORE)'!L140)), "EMP", ""), "E", ""), "-", "")),"000")</f>
        <v>E014</v>
      </c>
      <c r="N136" s="3" t="str">
        <f>_xlfn.XLOOKUP(M136,Employees!$D$2:$D$26,Employees!$A$2:$A$26)</f>
        <v>Sophia Brown</v>
      </c>
      <c r="O136" s="3" t="str">
        <f>_xlfn.XLOOKUP(N136,Employees!$A$2:$A$26,Employees!$C$2:$C$26,2)</f>
        <v>Online</v>
      </c>
      <c r="P136" s="3" t="str">
        <f>PROPER('Sales_RAW(BEFORE)'!N140)</f>
        <v>North</v>
      </c>
      <c r="Q136" s="3" t="str">
        <f>VLOOKUP(N136,Employees!$A$2:$B$26,2,FALSE)</f>
        <v>New York</v>
      </c>
      <c r="R136" s="3" t="str">
        <f>PROPER('Sales_RAW(BEFORE)'!P140)</f>
        <v>Acme Inc.</v>
      </c>
      <c r="S136" s="3" t="str">
        <f>SUBSTITUTE(SUBSTITUTE('Sales_RAW(BEFORE)'!Q140,"EIN",""),":","")</f>
        <v xml:space="preserve"> 989203659</v>
      </c>
      <c r="T136" s="3" t="s">
        <v>1815</v>
      </c>
      <c r="U136" s="3" t="s">
        <v>2477</v>
      </c>
      <c r="V136" s="3" t="s">
        <v>2478</v>
      </c>
      <c r="W136" s="3" t="s">
        <v>2479</v>
      </c>
      <c r="X136" s="3" t="s">
        <v>173</v>
      </c>
      <c r="Y136" s="3" t="str">
        <f>PROPER('Sales_RAW(BEFORE)'!W140)</f>
        <v>Wire</v>
      </c>
      <c r="Z136" s="3" t="str">
        <f>PROPER('Sales_RAW(BEFORE)'!X140)</f>
        <v>Cancelled</v>
      </c>
      <c r="AA136" s="3" t="str" cm="1">
        <f t="array" ref="AA136">_xlfn.LET(
  _xlpm.val, TRIM(LOWER('Sales_RAW(BEFORE)'!Y140)),
  _xlfn.IFS(
    OR(_xlpm.val="yes", _xlpm.val="paid"), "Paid",
    OR(_xlpm.val="no", _xlpm.val="unpaid"), "Unpaid",
    OR(_xlpm.val="partial", _xlpm.val="partial paid"), "Partial",
    _xlpm.val="", "",
    TRUE, 'Sales_RAW(BEFORE)'!AY140
  )
)</f>
        <v>Unpaid</v>
      </c>
      <c r="AB136" s="3" t="s">
        <v>2480</v>
      </c>
      <c r="AC136" s="3" t="str">
        <f>PROPER('Sales_RAW(BEFORE)'!AA140)</f>
        <v>Web</v>
      </c>
      <c r="AD136" s="3" t="str">
        <f>SUBSTITUTE(SUBSTITUTE(SUBSTITUTE(SUBSTITUTE('Sales_RAW(BEFORE)'!AB140,"st",""),"q",""),"Q",""),"uarter","")</f>
        <v xml:space="preserve">1 </v>
      </c>
      <c r="AE136" s="3" t="str">
        <f>TEXT(IFERROR(DATEVALUE('Sales_RAW(BEFORE)'!AC140 &amp; " 1"), IFERROR(DATE(2025, 'Sales_RAW(BEFORE)'!AC140, 1), 'Sales_RAW(BEFORE)'!AC140)), "mmmm")</f>
        <v>May</v>
      </c>
      <c r="AF136" s="3">
        <f>_xlfn.LET(
  _xlpm.raw, TRIM(SUBSTITUTE('Sales_RAW(BEFORE)'!AD140, "'", "")),
  _xlpm.num, IFERROR(VALUE(_xlpm.raw), 0),
  IF(_xlpm.num &lt; 100, 2000 + _xlpm.num, _xlpm.num)
)</f>
        <v>2026</v>
      </c>
      <c r="AG136" s="3" t="str">
        <f>PROPER('Sales_RAW(BEFORE)'!AE140)</f>
        <v>Net 30</v>
      </c>
      <c r="AH136" s="3" cm="1">
        <f t="array" ref="AH136">_xlfn.LET(
  _xlpm.val, LOWER(TRIM('Sales_RAW(BEFORE)'!AF140)),
  _xlfn.IFS(
    OR(_xlpm.val="", _xlpm.val="null", _xlpm.val="N/A", _xlpm.val="-", _xlpm.val="#N/A"), 0,
    ISNUMBER('Sales_RAW(BEFORE)'!AF140), 'Sales_RAW(BEFORE)'!AF140,
    TRUE, IFERROR(_xlfn.NUMBERVALUE(_xlpm.val), 0)
  )
)</f>
        <v>78</v>
      </c>
      <c r="AI136" s="5">
        <f>IF(IFERROR(VALUE(SUBSTITUTE(SUBSTITUTE(TRIM('Sales_RAW(BEFORE)'!AG140), "%", ""), ",", ".")), 0) &gt; 1, IFERROR(VALUE(SUBSTITUTE(SUBSTITUTE(TRIM('Sales_RAW(BEFORE)'!AG140), "%", ""), ",", ".")), 0) / 100, IFERROR(VALUE(SUBSTITUTE(SUBSTITUTE(TRIM('Sales_RAW(BEFORE)'!AG140), "%", ""), ",", ".")), 0))</f>
        <v>0.08</v>
      </c>
      <c r="AJ136" s="6">
        <f t="shared" si="11"/>
        <v>99.055999999999983</v>
      </c>
      <c r="AK136" s="6">
        <f t="shared" si="12"/>
        <v>1337.2559999999999</v>
      </c>
      <c r="AL136" s="6">
        <f>IFERROR(VALUE(SUBSTITUTE(SUBSTITUTE(SUBSTITUTE('Sales_RAW(BEFORE)'!AJ140,"$",""),"USD",""),",",".")),0)</f>
        <v>0</v>
      </c>
      <c r="AM136" s="3" t="str">
        <f>SUBSTITUTE(SUBSTITUTE(PROPER('Sales_RAW(BEFORE)'!AK140), "Fed Ex", "FedEx"),"Fedex","FedEx")</f>
        <v>Ups</v>
      </c>
      <c r="AN136" s="3" t="s">
        <v>2481</v>
      </c>
      <c r="AO136" s="3" t="str">
        <f>SUBSTITUTE('Sales_RAW(BEFORE)'!AM140,"kg","")</f>
        <v>16.24</v>
      </c>
      <c r="AP136" s="3" t="str">
        <f>_xlfn.LET(
  _xlpm.raw, UPPER(TRIM('Sales_RAW(BEFORE)'!AN140)),
  _xlpm.clean, RIGHT(_xlpm.raw, 1),
  IF(OR(_xlpm.raw="", _xlpm.raw="null"), "N/A", _xlpm.clean)
)</f>
        <v>A</v>
      </c>
      <c r="AQ136" s="3">
        <v>477</v>
      </c>
      <c r="AR136" s="3" t="str" cm="1">
        <f t="array" ref="AR136">_xlfn.LET(
  _xlpm.raw, LOWER(TRIM('Sales_RAW(BEFORE)'!AP140)),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136" s="3"/>
      <c r="AT136" s="3"/>
      <c r="AU136" s="3"/>
      <c r="AV136" s="8">
        <f>IF(IFERROR(VALUE(SUBSTITUTE(SUBSTITUTE(TRIM('Sales_RAW(BEFORE)'!AT140), "%", ""), ",", ".")), 0) &gt; 1, IFERROR(VALUE(SUBSTITUTE(SUBSTITUTE(TRIM('Sales_RAW(BEFORE)'!AT140), "%", ""), ",", ".")), 0) / 100, IFERROR(VALUE(SUBSTITUTE(SUBSTITUTE(TRIM('Sales_RAW(BEFORE)'!AT140), "%", ""), ",", ".")), 0))</f>
        <v>0.18</v>
      </c>
      <c r="AW136" s="6">
        <f>BA136*(_xlfn.XLOOKUP(N136,Employees!$A$2:$A$26,Employees!$E$2:$E$26,2))</f>
        <v>34.100027999999995</v>
      </c>
      <c r="AX136" s="3" t="str">
        <f>PROPER('Sales_RAW(BEFORE)'!AV140)</f>
        <v>David Wilson</v>
      </c>
      <c r="AY136" s="3" t="str">
        <f t="shared" si="13"/>
        <v>David Wilson</v>
      </c>
      <c r="AZ136" s="3"/>
      <c r="BA136" s="24">
        <f>AK136*(1-(_xlfn.XLOOKUP(G136, Exchange_Rates!$B$8:$F$8, Exchange_Rates!$B$9:$F$9, 0)+J136))</f>
        <v>1136.6675999999998</v>
      </c>
      <c r="BB136" s="7" cm="1">
        <f t="array" ref="BB136">_xlfn.LET(
  _xlpm.raw_dt, SUBSTITUTE(TRIM(C136), ".", "/"),
  _xlpm.dt, IFERROR(DATEVALUE(_xlpm.raw_dt), C136),
  _xlpm.p_code, TRIM(E136),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46885</v>
      </c>
      <c r="BC136" s="25">
        <f t="shared" si="14"/>
        <v>204.60016799999994</v>
      </c>
    </row>
    <row r="137" spans="1:55" ht="15.75" thickBot="1" x14ac:dyDescent="0.3">
      <c r="A137" s="3" t="s">
        <v>2484</v>
      </c>
      <c r="B137" s="10">
        <v>46055</v>
      </c>
      <c r="C137" s="4">
        <v>46061</v>
      </c>
      <c r="D137" s="3" t="str">
        <f>"P-" &amp; TEXT(VALUE(SUBSTITUTE(SUBSTITUTE(SUBSTITUTE(UPPER(TRIM('Sales_RAW(BEFORE)'!D141)), "P", ""), "-", ""), "_", "")),"000")</f>
        <v>P-022</v>
      </c>
      <c r="E137" s="3" t="str">
        <f>VLOOKUP(D137,Product_List!$A$2:$B$61,2,FALSE)</f>
        <v>Desk Basic 22</v>
      </c>
      <c r="F137" s="3" t="str">
        <f>_xlfn.XLOOKUP(E137,Product_List!$B$2:$B$61,Product_List!$E$2:$E$61,2)</f>
        <v>BestParts</v>
      </c>
      <c r="G137" s="3" t="str">
        <f>VLOOKUP(E137,Product_List!$B$2:$C$61,2,FALSE)</f>
        <v>Furniture</v>
      </c>
      <c r="H137" s="3" t="str">
        <f>SUBSTITUTE(SUBSTITUTE('Sales_RAW(BEFORE)'!G141,"kom",""),".","")</f>
        <v xml:space="preserve">7 </v>
      </c>
      <c r="I137" s="6">
        <f>VLOOKUP(E137,Product_List!$B$2:$D$61,3,FALSE)</f>
        <v>893.58</v>
      </c>
      <c r="J137" s="5">
        <f>IF(IFERROR(VALUE(SUBSTITUTE(SUBSTITUTE(TRIM('Sales_RAW(BEFORE)'!I141), "%", ""), ",", ".")), 0) &gt; 1, IFERROR(VALUE(SUBSTITUTE(SUBSTITUTE(TRIM('Sales_RAW(BEFORE)'!I141), "%", ""), ",", ".")), 0) / 100, IFERROR(VALUE(SUBSTITUTE(SUBSTITUTE(TRIM('Sales_RAW(BEFORE)'!I141), "%", ""), ",", ".")), 0))</f>
        <v>0</v>
      </c>
      <c r="K137" s="6">
        <f t="shared" si="10"/>
        <v>6255.06</v>
      </c>
      <c r="L137" s="6" t="str" cm="1">
        <f t="array" ref="L137">_xlfn.LET(
  _xlpm.valuta, UPPER(TRIM('Sales_RAW(BEFORE)'!K141)),
  _xlfn.IFS(
    _xlpm.valuta = "", "",
    OR(_xlpm.valuta = "USD", _xlpm.valuta = "$"), "$",
    OR(_xlpm.valuta = "EUR", _xlpm.valuta = "€"), "€",
    TRUE, _xlpm.valuta
  )
)</f>
        <v>$</v>
      </c>
      <c r="M137" s="3" t="str">
        <f>"E" &amp; TEXT(VALUE(SUBSTITUTE(SUBSTITUTE(SUBSTITUTE(UPPER(TRIM('Sales_RAW(BEFORE)'!L141)), "EMP", ""), "E", ""), "-", "")),"000")</f>
        <v>E001</v>
      </c>
      <c r="N137" s="3" t="str">
        <f>_xlfn.XLOOKUP(M137,Employees!$D$2:$D$26,Employees!$A$2:$A$26)</f>
        <v>Sarah Wilson</v>
      </c>
      <c r="O137" s="3" t="str">
        <f>_xlfn.XLOOKUP(N137,Employees!$A$2:$A$26,Employees!$C$2:$C$26,2)</f>
        <v>Online</v>
      </c>
      <c r="P137" s="3" t="str">
        <f>PROPER('Sales_RAW(BEFORE)'!N141)</f>
        <v>West</v>
      </c>
      <c r="Q137" s="3" t="str">
        <f>VLOOKUP(N137,Employees!$A$2:$B$26,2,FALSE)</f>
        <v>Los Angeles</v>
      </c>
      <c r="R137" s="3" t="str">
        <f>PROPER('Sales_RAW(BEFORE)'!P141)</f>
        <v xml:space="preserve">Globex Ltd.  </v>
      </c>
      <c r="S137" s="3" t="str">
        <f>SUBSTITUTE(SUBSTITUTE('Sales_RAW(BEFORE)'!Q141,"EIN",""),":","")</f>
        <v xml:space="preserve"> 808835586</v>
      </c>
      <c r="T137" s="3" t="s">
        <v>229</v>
      </c>
      <c r="U137" s="3" t="s">
        <v>2492</v>
      </c>
      <c r="V137" s="3" t="s">
        <v>2493</v>
      </c>
      <c r="W137" s="3" t="s">
        <v>2494</v>
      </c>
      <c r="X137" s="3" t="s">
        <v>173</v>
      </c>
      <c r="Y137" s="3" t="str">
        <f>PROPER('Sales_RAW(BEFORE)'!W141)</f>
        <v>Credit Card</v>
      </c>
      <c r="Z137" s="3" t="str">
        <f>PROPER('Sales_RAW(BEFORE)'!X141)</f>
        <v>Cancelled</v>
      </c>
      <c r="AA137" s="3" t="str" cm="1">
        <f t="array" ref="AA137">_xlfn.LET(
  _xlpm.val, TRIM(LOWER('Sales_RAW(BEFORE)'!Y141)),
  _xlfn.IFS(
    OR(_xlpm.val="yes", _xlpm.val="paid"), "Paid",
    OR(_xlpm.val="no", _xlpm.val="unpaid"), "Unpaid",
    OR(_xlpm.val="partial", _xlpm.val="partial paid"), "Partial",
    _xlpm.val="", "",
    TRUE, 'Sales_RAW(BEFORE)'!AY141
  )
)</f>
        <v>Unpaid</v>
      </c>
      <c r="AB137" s="3" t="s">
        <v>2495</v>
      </c>
      <c r="AC137" s="3" t="str">
        <f>PROPER('Sales_RAW(BEFORE)'!AA141)</f>
        <v>Online</v>
      </c>
      <c r="AD137" s="3" t="str">
        <f>SUBSTITUTE(SUBSTITUTE(SUBSTITUTE(SUBSTITUTE('Sales_RAW(BEFORE)'!AB141,"st",""),"q",""),"Q",""),"uarter","")</f>
        <v>1</v>
      </c>
      <c r="AE137" s="3" t="str">
        <f>TEXT(IFERROR(DATEVALUE('Sales_RAW(BEFORE)'!AC141 &amp; " 1"), IFERROR(DATE(2025, 'Sales_RAW(BEFORE)'!AC141, 1), 'Sales_RAW(BEFORE)'!AC141)), "mmmm")</f>
        <v>February</v>
      </c>
      <c r="AF137" s="3">
        <f>_xlfn.LET(
  _xlpm.raw, TRIM(SUBSTITUTE('Sales_RAW(BEFORE)'!AD141, "'", "")),
  _xlpm.num, IFERROR(VALUE(_xlpm.raw), 0),
  IF(_xlpm.num &lt; 100, 2000 + _xlpm.num, _xlpm.num)
)</f>
        <v>2026</v>
      </c>
      <c r="AG137" s="3" t="str">
        <f>PROPER('Sales_RAW(BEFORE)'!AE141)</f>
        <v>15</v>
      </c>
      <c r="AH137" s="3" cm="1">
        <f t="array" ref="AH137">_xlfn.LET(
  _xlpm.val, LOWER(TRIM('Sales_RAW(BEFORE)'!AF141)),
  _xlfn.IFS(
    OR(_xlpm.val="", _xlpm.val="null", _xlpm.val="N/A", _xlpm.val="-", _xlpm.val="#N/A"), 0,
    ISNUMBER('Sales_RAW(BEFORE)'!AF141), 'Sales_RAW(BEFORE)'!AF141,
    TRUE, IFERROR(_xlfn.NUMBERVALUE(_xlpm.val), 0)
  )
)</f>
        <v>49</v>
      </c>
      <c r="AI137" s="5">
        <f>IF(IFERROR(VALUE(SUBSTITUTE(SUBSTITUTE(TRIM('Sales_RAW(BEFORE)'!AG141), "%", ""), ",", ".")), 0) &gt; 1, IFERROR(VALUE(SUBSTITUTE(SUBSTITUTE(TRIM('Sales_RAW(BEFORE)'!AG141), "%", ""), ",", ".")), 0) / 100, IFERROR(VALUE(SUBSTITUTE(SUBSTITUTE(TRIM('Sales_RAW(BEFORE)'!AG141), "%", ""), ",", ".")), 0))</f>
        <v>0.08</v>
      </c>
      <c r="AJ137" s="6">
        <f t="shared" si="11"/>
        <v>500.40480000000002</v>
      </c>
      <c r="AK137" s="6">
        <f t="shared" si="12"/>
        <v>6755.4648000000007</v>
      </c>
      <c r="AL137" s="6">
        <f>IFERROR(VALUE(SUBSTITUTE(SUBSTITUTE(SUBSTITUTE('Sales_RAW(BEFORE)'!AJ141,"$",""),"USD",""),",",".")),0)</f>
        <v>18.23</v>
      </c>
      <c r="AM137" s="3" t="str">
        <f>SUBSTITUTE(SUBSTITUTE(PROPER('Sales_RAW(BEFORE)'!AK141), "Fed Ex", "FedEx"),"Fedex","FedEx")</f>
        <v>FedEx</v>
      </c>
      <c r="AN137" s="3" t="s">
        <v>2496</v>
      </c>
      <c r="AO137" s="3" t="str">
        <f>SUBSTITUTE('Sales_RAW(BEFORE)'!AM141,"kg","")</f>
        <v xml:space="preserve">1.6 </v>
      </c>
      <c r="AP137" s="3" t="str">
        <f>_xlfn.LET(
  _xlpm.raw, UPPER(TRIM('Sales_RAW(BEFORE)'!AN141)),
  _xlpm.clean, RIGHT(_xlpm.raw, 1),
  IF(OR(_xlpm.raw="", _xlpm.raw="null"), "N/A", _xlpm.clean)
)</f>
        <v>B</v>
      </c>
      <c r="AQ137" s="3">
        <v>348</v>
      </c>
      <c r="AR137" s="3" cm="1">
        <f t="array" ref="AR137">_xlfn.LET(
  _xlpm.raw, LOWER(TRIM('Sales_RAW(BEFORE)'!AP141)),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137" s="3"/>
      <c r="AT137" s="3"/>
      <c r="AU137" s="3"/>
      <c r="AV137" s="8">
        <f>IF(IFERROR(VALUE(SUBSTITUTE(SUBSTITUTE(TRIM('Sales_RAW(BEFORE)'!AT141), "%", ""), ",", ".")), 0) &gt; 1, IFERROR(VALUE(SUBSTITUTE(SUBSTITUTE(TRIM('Sales_RAW(BEFORE)'!AT141), "%", ""), ",", ".")), 0) / 100, IFERROR(VALUE(SUBSTITUTE(SUBSTITUTE(TRIM('Sales_RAW(BEFORE)'!AT141), "%", ""), ",", ".")), 0))</f>
        <v>0.18</v>
      </c>
      <c r="AW137" s="6">
        <f>BA137*(_xlfn.XLOOKUP(N137,Employees!$A$2:$A$26,Employees!$E$2:$E$26,2))</f>
        <v>182.39754960000002</v>
      </c>
      <c r="AX137" s="3" t="str">
        <f>PROPER('Sales_RAW(BEFORE)'!AV141)</f>
        <v xml:space="preserve">Chris Taylor </v>
      </c>
      <c r="AY137" s="3" t="str">
        <f t="shared" si="13"/>
        <v xml:space="preserve">Chris Taylor </v>
      </c>
      <c r="AZ137" s="3"/>
      <c r="BA137" s="24">
        <f>AK137*(1-(_xlfn.XLOOKUP(G137, Exchange_Rates!$B$8:$F$8, Exchange_Rates!$B$9:$F$9, 0)+J137))</f>
        <v>6079.9183200000007</v>
      </c>
      <c r="BB137" s="7" cm="1">
        <f t="array" ref="BB137">_xlfn.LET(
  _xlpm.raw_dt, SUBSTITUTE(TRIM(C137), ".", "/"),
  _xlpm.dt, IFERROR(DATEVALUE(_xlpm.raw_dt), C137),
  _xlpm.p_code, TRIM(E137),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46426</v>
      </c>
      <c r="BC137" s="25">
        <f t="shared" si="14"/>
        <v>1094.3852976000001</v>
      </c>
    </row>
    <row r="138" spans="1:55" ht="15.75" thickBot="1" x14ac:dyDescent="0.3">
      <c r="A138" s="3" t="s">
        <v>2500</v>
      </c>
      <c r="B138" s="10">
        <v>46081</v>
      </c>
      <c r="C138" s="4">
        <v>46091</v>
      </c>
      <c r="D138" s="3" t="str">
        <f>"P-" &amp; TEXT(VALUE(SUBSTITUTE(SUBSTITUTE(SUBSTITUTE(UPPER(TRIM('Sales_RAW(BEFORE)'!D142)), "P", ""), "-", ""), "_", "")),"000")</f>
        <v>P-018</v>
      </c>
      <c r="E138" s="3" t="str">
        <f>VLOOKUP(D138,Product_List!$A$2:$B$61,2,FALSE)</f>
        <v>License Basic 18</v>
      </c>
      <c r="F138" s="3" t="str">
        <f>_xlfn.XLOOKUP(E138,Product_List!$B$2:$B$61,Product_List!$E$2:$E$61,2)</f>
        <v>Global Distrib</v>
      </c>
      <c r="G138" s="3" t="str">
        <f>VLOOKUP(E138,Product_List!$B$2:$C$61,2,FALSE)</f>
        <v>Equipment</v>
      </c>
      <c r="H138" s="3" t="str">
        <f>SUBSTITUTE(SUBSTITUTE('Sales_RAW(BEFORE)'!G142,"kom",""),".","")</f>
        <v xml:space="preserve">36 </v>
      </c>
      <c r="I138" s="6">
        <f>VLOOKUP(E138,Product_List!$B$2:$D$61,3,FALSE)</f>
        <v>1470.36</v>
      </c>
      <c r="J138" s="5">
        <f>IF(IFERROR(VALUE(SUBSTITUTE(SUBSTITUTE(TRIM('Sales_RAW(BEFORE)'!I142), "%", ""), ",", ".")), 0) &gt; 1, IFERROR(VALUE(SUBSTITUTE(SUBSTITUTE(TRIM('Sales_RAW(BEFORE)'!I142), "%", ""), ",", ".")), 0) / 100, IFERROR(VALUE(SUBSTITUTE(SUBSTITUTE(TRIM('Sales_RAW(BEFORE)'!I142), "%", ""), ",", ".")), 0))</f>
        <v>0</v>
      </c>
      <c r="K138" s="6">
        <f t="shared" si="10"/>
        <v>52932.959999999999</v>
      </c>
      <c r="L138" s="6" t="str" cm="1">
        <f t="array" ref="L138">_xlfn.LET(
  _xlpm.valuta, UPPER(TRIM('Sales_RAW(BEFORE)'!K142)),
  _xlfn.IFS(
    _xlpm.valuta = "", "",
    OR(_xlpm.valuta = "USD", _xlpm.valuta = "$"), "$",
    OR(_xlpm.valuta = "EUR", _xlpm.valuta = "€"), "€",
    TRUE, _xlpm.valuta
  )
)</f>
        <v>$</v>
      </c>
      <c r="M138" s="3" t="str">
        <f>"E" &amp; TEXT(VALUE(SUBSTITUTE(SUBSTITUTE(SUBSTITUTE(UPPER(TRIM('Sales_RAW(BEFORE)'!L142)), "EMP", ""), "E", ""), "-", "")),"000")</f>
        <v>E012</v>
      </c>
      <c r="N138" s="3" t="str">
        <f>_xlfn.XLOOKUP(M138,Employees!$D$2:$D$26,Employees!$A$2:$A$26)</f>
        <v>John Smith</v>
      </c>
      <c r="O138" s="3" t="str">
        <f>_xlfn.XLOOKUP(N138,Employees!$A$2:$A$26,Employees!$C$2:$C$26,2)</f>
        <v>Sales</v>
      </c>
      <c r="P138" s="3" t="str">
        <f>PROPER('Sales_RAW(BEFORE)'!N142)</f>
        <v>East</v>
      </c>
      <c r="Q138" s="3" t="str">
        <f>VLOOKUP(N138,Employees!$A$2:$B$26,2,FALSE)</f>
        <v>Miami</v>
      </c>
      <c r="R138" s="3" t="str">
        <f>PROPER('Sales_RAW(BEFORE)'!P142)</f>
        <v xml:space="preserve">Acme Inc  </v>
      </c>
      <c r="S138" s="3" t="str">
        <f>SUBSTITUTE(SUBSTITUTE('Sales_RAW(BEFORE)'!Q142,"EIN",""),":","")</f>
        <v xml:space="preserve"> 291755379</v>
      </c>
      <c r="T138" s="3" t="s">
        <v>1359</v>
      </c>
      <c r="U138" s="3" t="s">
        <v>2507</v>
      </c>
      <c r="V138" s="3" t="s">
        <v>2508</v>
      </c>
      <c r="W138" s="3" t="s">
        <v>142</v>
      </c>
      <c r="X138" s="3" t="s">
        <v>173</v>
      </c>
      <c r="Y138" s="3" t="str">
        <f>PROPER('Sales_RAW(BEFORE)'!W142)</f>
        <v>Credit Card</v>
      </c>
      <c r="Z138" s="3" t="str">
        <f>PROPER('Sales_RAW(BEFORE)'!X142)</f>
        <v>Delivered</v>
      </c>
      <c r="AA138" s="3" t="str" cm="1">
        <f t="array" ref="AA138">_xlfn.LET(
  _xlpm.val, TRIM(LOWER('Sales_RAW(BEFORE)'!Y142)),
  _xlfn.IFS(
    OR(_xlpm.val="yes", _xlpm.val="paid"), "Paid",
    OR(_xlpm.val="no", _xlpm.val="unpaid"), "Unpaid",
    OR(_xlpm.val="partial", _xlpm.val="partial paid"), "Partial",
    _xlpm.val="", "",
    TRUE, 'Sales_RAW(BEFORE)'!AY142
  )
)</f>
        <v>Paid</v>
      </c>
      <c r="AB138" s="3" t="s">
        <v>2509</v>
      </c>
      <c r="AC138" s="3" t="str">
        <f>PROPER('Sales_RAW(BEFORE)'!AA142)</f>
        <v>Online</v>
      </c>
      <c r="AD138" s="3" t="str">
        <f>SUBSTITUTE(SUBSTITUTE(SUBSTITUTE(SUBSTITUTE('Sales_RAW(BEFORE)'!AB142,"st",""),"q",""),"Q",""),"uarter","")</f>
        <v>1</v>
      </c>
      <c r="AE138" s="3" t="str">
        <f>TEXT(IFERROR(DATEVALUE('Sales_RAW(BEFORE)'!AC142 &amp; " 1"), IFERROR(DATE(2025, 'Sales_RAW(BEFORE)'!AC142, 1), 'Sales_RAW(BEFORE)'!AC142)), "mmmm")</f>
        <v>February</v>
      </c>
      <c r="AF138" s="3">
        <f>_xlfn.LET(
  _xlpm.raw, TRIM(SUBSTITUTE('Sales_RAW(BEFORE)'!AD142, "'", "")),
  _xlpm.num, IFERROR(VALUE(_xlpm.raw), 0),
  IF(_xlpm.num &lt; 100, 2000 + _xlpm.num, _xlpm.num)
)</f>
        <v>2026</v>
      </c>
      <c r="AG138" s="3" t="str">
        <f>PROPER('Sales_RAW(BEFORE)'!AE142)</f>
        <v>Net 60</v>
      </c>
      <c r="AH138" s="3" cm="1">
        <f t="array" ref="AH138">_xlfn.LET(
  _xlpm.val, LOWER(TRIM('Sales_RAW(BEFORE)'!AF142)),
  _xlfn.IFS(
    OR(_xlpm.val="", _xlpm.val="null", _xlpm.val="N/A", _xlpm.val="-", _xlpm.val="#N/A"), 0,
    ISNUMBER('Sales_RAW(BEFORE)'!AF142), 'Sales_RAW(BEFORE)'!AF142,
    TRUE, IFERROR(_xlfn.NUMBERVALUE(_xlpm.val), 0)
  )
)</f>
        <v>90</v>
      </c>
      <c r="AI138" s="5">
        <f>IF(IFERROR(VALUE(SUBSTITUTE(SUBSTITUTE(TRIM('Sales_RAW(BEFORE)'!AG142), "%", ""), ",", ".")), 0) &gt; 1, IFERROR(VALUE(SUBSTITUTE(SUBSTITUTE(TRIM('Sales_RAW(BEFORE)'!AG142), "%", ""), ",", ".")), 0) / 100, IFERROR(VALUE(SUBSTITUTE(SUBSTITUTE(TRIM('Sales_RAW(BEFORE)'!AG142), "%", ""), ",", ".")), 0))</f>
        <v>0.08</v>
      </c>
      <c r="AJ138" s="6">
        <f t="shared" si="11"/>
        <v>4234.6368000000002</v>
      </c>
      <c r="AK138" s="6">
        <f t="shared" si="12"/>
        <v>57167.596799999999</v>
      </c>
      <c r="AL138" s="6">
        <f>IFERROR(VALUE(SUBSTITUTE(SUBSTITUTE(SUBSTITUTE('Sales_RAW(BEFORE)'!AJ142,"$",""),"USD",""),",",".")),0)</f>
        <v>16.920000000000002</v>
      </c>
      <c r="AM138" s="3" t="str">
        <f>SUBSTITUTE(SUBSTITUTE(PROPER('Sales_RAW(BEFORE)'!AK142), "Fed Ex", "FedEx"),"Fedex","FedEx")</f>
        <v>Dhl</v>
      </c>
      <c r="AN138" s="3" t="s">
        <v>2511</v>
      </c>
      <c r="AO138" s="3" t="str">
        <f>SUBSTITUTE('Sales_RAW(BEFORE)'!AM142,"kg","")</f>
        <v>2.65</v>
      </c>
      <c r="AP138" s="3" t="str">
        <f>_xlfn.LET(
  _xlpm.raw, UPPER(TRIM('Sales_RAW(BEFORE)'!AN142)),
  _xlpm.clean, RIGHT(_xlpm.raw, 1),
  IF(OR(_xlpm.raw="", _xlpm.raw="null"), "N/A", _xlpm.clean)
)</f>
        <v>B</v>
      </c>
      <c r="AQ138" s="3">
        <v>122</v>
      </c>
      <c r="AR138" s="3" cm="1">
        <f t="array" ref="AR138">_xlfn.LET(
  _xlpm.raw, LOWER(TRIM('Sales_RAW(BEFORE)'!AP142)),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38" s="3"/>
      <c r="AT138" s="3"/>
      <c r="AU138" s="3"/>
      <c r="AV138" s="8">
        <f>IF(IFERROR(VALUE(SUBSTITUTE(SUBSTITUTE(TRIM('Sales_RAW(BEFORE)'!AT142), "%", ""), ",", ".")), 0) &gt; 1, IFERROR(VALUE(SUBSTITUTE(SUBSTITUTE(TRIM('Sales_RAW(BEFORE)'!AT142), "%", ""), ",", ".")), 0) / 100, IFERROR(VALUE(SUBSTITUTE(SUBSTITUTE(TRIM('Sales_RAW(BEFORE)'!AT142), "%", ""), ",", ".")), 0))</f>
        <v>0.18</v>
      </c>
      <c r="AW138" s="6">
        <f>BA138*(_xlfn.XLOOKUP(N138,Employees!$A$2:$A$26,Employees!$E$2:$E$26,2))</f>
        <v>1029.0167424000001</v>
      </c>
      <c r="AX138" s="3" t="str">
        <f>PROPER('Sales_RAW(BEFORE)'!AV142)</f>
        <v xml:space="preserve">  Emily Williams</v>
      </c>
      <c r="AY138" s="3" t="str">
        <f t="shared" si="13"/>
        <v xml:space="preserve">  Emily Williams</v>
      </c>
      <c r="AZ138" s="3"/>
      <c r="BA138" s="24">
        <f>AK138*(1-(_xlfn.XLOOKUP(G138, Exchange_Rates!$B$8:$F$8, Exchange_Rates!$B$9:$F$9, 0)+J138))</f>
        <v>51450.837120000004</v>
      </c>
      <c r="BB138" s="7" cm="1">
        <f t="array" ref="BB138">_xlfn.LET(
  _xlpm.raw_dt, SUBSTITUTE(TRIM(C138), ".", "/"),
  _xlpm.dt, IFERROR(DATEVALUE(_xlpm.raw_dt), C138),
  _xlpm.p_code, TRIM(E138),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46456</v>
      </c>
      <c r="BC138" s="25">
        <f t="shared" si="14"/>
        <v>9261.1506816000001</v>
      </c>
    </row>
    <row r="139" spans="1:55" ht="15.75" thickBot="1" x14ac:dyDescent="0.3">
      <c r="A139" s="3" t="s">
        <v>2514</v>
      </c>
      <c r="B139" s="10">
        <v>45826</v>
      </c>
      <c r="C139" s="4">
        <f>DATE(2025,6,29)</f>
        <v>45837</v>
      </c>
      <c r="D139" s="3" t="str">
        <f>"P-" &amp; TEXT(VALUE(SUBSTITUTE(SUBSTITUTE(SUBSTITUTE(UPPER(TRIM('Sales_RAW(BEFORE)'!D143)), "P", ""), "-", ""), "_", "")),"000")</f>
        <v>P-002</v>
      </c>
      <c r="E139" s="3" t="str">
        <f>VLOOKUP(D139,Product_List!$A$2:$B$61,2,FALSE)</f>
        <v>Monitor Max 2</v>
      </c>
      <c r="F139" s="3" t="str">
        <f>_xlfn.XLOOKUP(E139,Product_List!$B$2:$B$61,Product_List!$E$2:$E$61,2)</f>
        <v>BestParts</v>
      </c>
      <c r="G139" s="3" t="str">
        <f>VLOOKUP(E139,Product_List!$B$2:$C$61,2,FALSE)</f>
        <v>Electronics</v>
      </c>
      <c r="H139" s="3" t="str">
        <f>SUBSTITUTE(SUBSTITUTE('Sales_RAW(BEFORE)'!G143,"kom",""),".","")</f>
        <v xml:space="preserve">25 </v>
      </c>
      <c r="I139" s="6">
        <f>VLOOKUP(E139,Product_List!$B$2:$D$61,3,FALSE)</f>
        <v>551.70000000000005</v>
      </c>
      <c r="J139" s="5">
        <f>IF(IFERROR(VALUE(SUBSTITUTE(SUBSTITUTE(TRIM('Sales_RAW(BEFORE)'!I143), "%", ""), ",", ".")), 0) &gt; 1, IFERROR(VALUE(SUBSTITUTE(SUBSTITUTE(TRIM('Sales_RAW(BEFORE)'!I143), "%", ""), ",", ".")), 0) / 100, IFERROR(VALUE(SUBSTITUTE(SUBSTITUTE(TRIM('Sales_RAW(BEFORE)'!I143), "%", ""), ",", ".")), 0))</f>
        <v>0.1</v>
      </c>
      <c r="K139" s="6">
        <f t="shared" si="10"/>
        <v>13792.500000000002</v>
      </c>
      <c r="L139" s="6" t="str" cm="1">
        <f t="array" ref="L139">_xlfn.LET(
  _xlpm.valuta, UPPER(TRIM('Sales_RAW(BEFORE)'!K143)),
  _xlfn.IFS(
    _xlpm.valuta = "", "",
    OR(_xlpm.valuta = "USD", _xlpm.valuta = "$"), "$",
    OR(_xlpm.valuta = "EUR", _xlpm.valuta = "€"), "€",
    TRUE, _xlpm.valuta
  )
)</f>
        <v>$</v>
      </c>
      <c r="M139" s="3" t="str">
        <f>"E" &amp; TEXT(VALUE(SUBSTITUTE(SUBSTITUTE(SUBSTITUTE(UPPER(TRIM('Sales_RAW(BEFORE)'!L143)), "EMP", ""), "E", ""), "-", "")),"000")</f>
        <v>E002</v>
      </c>
      <c r="N139" s="3" t="str">
        <f>_xlfn.XLOOKUP(M139,Employees!$D$2:$D$26,Employees!$A$2:$A$26)</f>
        <v>Sarah Wilson</v>
      </c>
      <c r="O139" s="3" t="str">
        <f>_xlfn.XLOOKUP(N139,Employees!$A$2:$A$26,Employees!$C$2:$C$26,2)</f>
        <v>Online</v>
      </c>
      <c r="P139" s="3" t="str">
        <f>PROPER('Sales_RAW(BEFORE)'!N143)</f>
        <v>South</v>
      </c>
      <c r="Q139" s="3" t="str">
        <f>VLOOKUP(N139,Employees!$A$2:$B$26,2,FALSE)</f>
        <v>Los Angeles</v>
      </c>
      <c r="R139" s="3" t="str">
        <f>PROPER('Sales_RAW(BEFORE)'!P143)</f>
        <v>Acme Inc</v>
      </c>
      <c r="S139" s="3" t="str">
        <f>SUBSTITUTE(SUBSTITUTE('Sales_RAW(BEFORE)'!Q143,"EIN",""),":","")</f>
        <v xml:space="preserve"> 700169015</v>
      </c>
      <c r="T139" s="3" t="s">
        <v>400</v>
      </c>
      <c r="U139" s="3" t="s">
        <v>2522</v>
      </c>
      <c r="V139" s="3" t="s">
        <v>2523</v>
      </c>
      <c r="W139" s="3" t="s">
        <v>2524</v>
      </c>
      <c r="X139" s="3" t="s">
        <v>173</v>
      </c>
      <c r="Y139" s="3" t="str">
        <f>PROPER('Sales_RAW(BEFORE)'!W143)</f>
        <v>Wire</v>
      </c>
      <c r="Z139" s="3" t="str">
        <f>PROPER('Sales_RAW(BEFORE)'!X143)</f>
        <v>Processing</v>
      </c>
      <c r="AA139" s="3" t="str" cm="1">
        <f t="array" ref="AA139">_xlfn.LET(
  _xlpm.val, TRIM(LOWER('Sales_RAW(BEFORE)'!Y143)),
  _xlfn.IFS(
    OR(_xlpm.val="yes", _xlpm.val="paid"), "Paid",
    OR(_xlpm.val="no", _xlpm.val="unpaid"), "Unpaid",
    OR(_xlpm.val="partial", _xlpm.val="partial paid"), "Partial",
    _xlpm.val="", "",
    TRUE, 'Sales_RAW(BEFORE)'!AY143
  )
)</f>
        <v>Paid</v>
      </c>
      <c r="AB139" s="3" t="s">
        <v>2525</v>
      </c>
      <c r="AC139" s="3" t="str">
        <f>PROPER('Sales_RAW(BEFORE)'!AA143)</f>
        <v>Web</v>
      </c>
      <c r="AD139" s="3" t="str">
        <f>SUBSTITUTE(SUBSTITUTE(SUBSTITUTE(SUBSTITUTE('Sales_RAW(BEFORE)'!AB143,"st",""),"q",""),"Q",""),"uarter","")</f>
        <v>4</v>
      </c>
      <c r="AE139" s="3" t="str">
        <f>TEXT(IFERROR(DATEVALUE('Sales_RAW(BEFORE)'!AC143 &amp; " 1"), IFERROR(DATE(2025, 'Sales_RAW(BEFORE)'!AC143, 1), 'Sales_RAW(BEFORE)'!AC143)), "mmmm")</f>
        <v>June</v>
      </c>
      <c r="AF139" s="3">
        <f>_xlfn.LET(
  _xlpm.raw, TRIM(SUBSTITUTE('Sales_RAW(BEFORE)'!AD143, "'", "")),
  _xlpm.num, IFERROR(VALUE(_xlpm.raw), 0),
  IF(_xlpm.num &lt; 100, 2000 + _xlpm.num, _xlpm.num)
)</f>
        <v>2025</v>
      </c>
      <c r="AG139" s="3" t="str">
        <f>PROPER('Sales_RAW(BEFORE)'!AE143)</f>
        <v>Immediate</v>
      </c>
      <c r="AH139" s="3" cm="1">
        <f t="array" ref="AH139">_xlfn.LET(
  _xlpm.val, LOWER(TRIM('Sales_RAW(BEFORE)'!AF143)),
  _xlfn.IFS(
    OR(_xlpm.val="", _xlpm.val="null", _xlpm.val="N/A", _xlpm.val="-", _xlpm.val="#N/A"), 0,
    ISNUMBER('Sales_RAW(BEFORE)'!AF143), 'Sales_RAW(BEFORE)'!AF143,
    TRUE, IFERROR(_xlfn.NUMBERVALUE(_xlpm.val), 0)
  )
)</f>
        <v>63</v>
      </c>
      <c r="AI139" s="5">
        <f>IF(IFERROR(VALUE(SUBSTITUTE(SUBSTITUTE(TRIM('Sales_RAW(BEFORE)'!AG143), "%", ""), ",", ".")), 0) &gt; 1, IFERROR(VALUE(SUBSTITUTE(SUBSTITUTE(TRIM('Sales_RAW(BEFORE)'!AG143), "%", ""), ",", ".")), 0) / 100, IFERROR(VALUE(SUBSTITUTE(SUBSTITUTE(TRIM('Sales_RAW(BEFORE)'!AG143), "%", ""), ",", ".")), 0))</f>
        <v>0.08</v>
      </c>
      <c r="AJ139" s="6">
        <f t="shared" si="11"/>
        <v>1103.4000000000001</v>
      </c>
      <c r="AK139" s="6">
        <f t="shared" si="12"/>
        <v>14895.900000000001</v>
      </c>
      <c r="AL139" s="6">
        <f>IFERROR(VALUE(SUBSTITUTE(SUBSTITUTE(SUBSTITUTE('Sales_RAW(BEFORE)'!AJ143,"$",""),"USD",""),",",".")),0)</f>
        <v>18.18</v>
      </c>
      <c r="AM139" s="3" t="str">
        <f>SUBSTITUTE(SUBSTITUTE(PROPER('Sales_RAW(BEFORE)'!AK143), "Fed Ex", "FedEx"),"Fedex","FedEx")</f>
        <v>Usps</v>
      </c>
      <c r="AN139" s="3" t="s">
        <v>2527</v>
      </c>
      <c r="AO139" s="3" t="str">
        <f>SUBSTITUTE('Sales_RAW(BEFORE)'!AM143,"kg","")</f>
        <v>4.99</v>
      </c>
      <c r="AP139" s="3" t="str">
        <f>_xlfn.LET(
  _xlpm.raw, UPPER(TRIM('Sales_RAW(BEFORE)'!AN143)),
  _xlpm.clean, RIGHT(_xlpm.raw, 1),
  IF(OR(_xlpm.raw="", _xlpm.raw="null"), "N/A", _xlpm.clean)
)</f>
        <v>A</v>
      </c>
      <c r="AQ139" s="3">
        <v>398</v>
      </c>
      <c r="AR139" s="3" cm="1">
        <f t="array" ref="AR139">_xlfn.LET(
  _xlpm.raw, LOWER(TRIM('Sales_RAW(BEFORE)'!AP143)),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139" s="3"/>
      <c r="AT139" s="3"/>
      <c r="AU139" s="3"/>
      <c r="AV139" s="8">
        <f>IF(IFERROR(VALUE(SUBSTITUTE(SUBSTITUTE(TRIM('Sales_RAW(BEFORE)'!AT143), "%", ""), ",", ".")), 0) &gt; 1, IFERROR(VALUE(SUBSTITUTE(SUBSTITUTE(TRIM('Sales_RAW(BEFORE)'!AT143), "%", ""), ",", ".")), 0) / 100, IFERROR(VALUE(SUBSTITUTE(SUBSTITUTE(TRIM('Sales_RAW(BEFORE)'!AT143), "%", ""), ",", ".")), 0))</f>
        <v>0.25</v>
      </c>
      <c r="AW139" s="6">
        <f>BA139*(_xlfn.XLOOKUP(N139,Employees!$A$2:$A$26,Employees!$E$2:$E$26,2))</f>
        <v>357.5016</v>
      </c>
      <c r="AX139" s="3" t="str">
        <f>PROPER('Sales_RAW(BEFORE)'!AV143)</f>
        <v>David Williams</v>
      </c>
      <c r="AY139" s="3" t="str">
        <f t="shared" si="13"/>
        <v>David Williams</v>
      </c>
      <c r="AZ139" s="3"/>
      <c r="BA139" s="24">
        <f>AK139*(1-(_xlfn.XLOOKUP(G139, Exchange_Rates!$B$8:$F$8, Exchange_Rates!$B$9:$F$9, 0)+J139))</f>
        <v>11916.720000000001</v>
      </c>
      <c r="BB139" s="7" cm="1">
        <f t="array" ref="BB139">_xlfn.LET(
  _xlpm.raw_dt, SUBSTITUTE(TRIM(C139), ".", "/"),
  _xlpm.dt, IFERROR(DATEVALUE(_xlpm.raw_dt), C139),
  _xlpm.p_code, TRIM(E139),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46202</v>
      </c>
      <c r="BC139" s="25">
        <f t="shared" si="14"/>
        <v>2979.1800000000003</v>
      </c>
    </row>
    <row r="140" spans="1:55" ht="15.75" thickBot="1" x14ac:dyDescent="0.3">
      <c r="A140" s="3" t="s">
        <v>2530</v>
      </c>
      <c r="B140" s="10">
        <v>46242</v>
      </c>
      <c r="C140" s="4">
        <v>46254</v>
      </c>
      <c r="D140" s="3" t="str">
        <f>"P-" &amp; TEXT(VALUE(SUBSTITUTE(SUBSTITUTE(SUBSTITUTE(UPPER(TRIM('Sales_RAW(BEFORE)'!D144)), "P", ""), "-", ""), "_", "")),"000")</f>
        <v>P-029</v>
      </c>
      <c r="E140" s="3" t="str">
        <f>VLOOKUP(D140,Product_List!$A$2:$B$61,2,FALSE)</f>
        <v>Keyboard Plus 29</v>
      </c>
      <c r="F140" s="3" t="str">
        <f>_xlfn.XLOOKUP(E140,Product_List!$B$2:$B$61,Product_List!$E$2:$E$61,2)</f>
        <v>OfficeHub</v>
      </c>
      <c r="G140" s="3" t="str">
        <f>VLOOKUP(E140,Product_List!$B$2:$C$61,2,FALSE)</f>
        <v>Software</v>
      </c>
      <c r="H140" s="3" t="str">
        <f>SUBSTITUTE(SUBSTITUTE('Sales_RAW(BEFORE)'!G144,"kom",""),".","")</f>
        <v>34</v>
      </c>
      <c r="I140" s="6">
        <f>VLOOKUP(E140,Product_List!$B$2:$D$61,3,FALSE)</f>
        <v>1375.64</v>
      </c>
      <c r="J140" s="5">
        <f>IF(IFERROR(VALUE(SUBSTITUTE(SUBSTITUTE(TRIM('Sales_RAW(BEFORE)'!I144), "%", ""), ",", ".")), 0) &gt; 1, IFERROR(VALUE(SUBSTITUTE(SUBSTITUTE(TRIM('Sales_RAW(BEFORE)'!I144), "%", ""), ",", ".")), 0) / 100, IFERROR(VALUE(SUBSTITUTE(SUBSTITUTE(TRIM('Sales_RAW(BEFORE)'!I144), "%", ""), ",", ".")), 0))</f>
        <v>0.1</v>
      </c>
      <c r="K140" s="6">
        <f t="shared" si="10"/>
        <v>46771.76</v>
      </c>
      <c r="L140" s="6" t="str" cm="1">
        <f t="array" ref="L140">_xlfn.LET(
  _xlpm.valuta, UPPER(TRIM('Sales_RAW(BEFORE)'!K144)),
  _xlfn.IFS(
    _xlpm.valuta = "", "",
    OR(_xlpm.valuta = "USD", _xlpm.valuta = "$"), "$",
    OR(_xlpm.valuta = "EUR", _xlpm.valuta = "€"), "€",
    TRUE, _xlpm.valuta
  )
)</f>
        <v>$</v>
      </c>
      <c r="M140" s="3" t="str">
        <f>"E" &amp; TEXT(VALUE(SUBSTITUTE(SUBSTITUTE(SUBSTITUTE(UPPER(TRIM('Sales_RAW(BEFORE)'!L144)), "EMP", ""), "E", ""), "-", "")),"000")</f>
        <v>E009</v>
      </c>
      <c r="N140" s="3" t="str">
        <f>_xlfn.XLOOKUP(M140,Employees!$D$2:$D$26,Employees!$A$2:$A$26)</f>
        <v>Olivia Wilson</v>
      </c>
      <c r="O140" s="3" t="str">
        <f>_xlfn.XLOOKUP(N140,Employees!$A$2:$A$26,Employees!$C$2:$C$26,2)</f>
        <v>Wholesale</v>
      </c>
      <c r="P140" s="3" t="str">
        <f>PROPER('Sales_RAW(BEFORE)'!N144)</f>
        <v>East</v>
      </c>
      <c r="Q140" s="3" t="str">
        <f>VLOOKUP(N140,Employees!$A$2:$B$26,2,FALSE)</f>
        <v>Miami</v>
      </c>
      <c r="R140" s="3" t="str">
        <f>PROPER('Sales_RAW(BEFORE)'!P144)</f>
        <v xml:space="preserve">   Globex Inc.</v>
      </c>
      <c r="S140" s="3" t="str">
        <f>SUBSTITUTE(SUBSTITUTE('Sales_RAW(BEFORE)'!Q144,"EIN",""),":","")</f>
        <v xml:space="preserve"> 421388142</v>
      </c>
      <c r="T140" s="3" t="s">
        <v>646</v>
      </c>
      <c r="U140" s="3" t="s">
        <v>2538</v>
      </c>
      <c r="V140" s="3" t="s">
        <v>2539</v>
      </c>
      <c r="W140" s="3" t="s">
        <v>2540</v>
      </c>
      <c r="X140" s="3" t="s">
        <v>173</v>
      </c>
      <c r="Y140" s="3" t="str">
        <f>PROPER('Sales_RAW(BEFORE)'!W144)</f>
        <v>Paypal</v>
      </c>
      <c r="Z140" s="3" t="str">
        <f>PROPER('Sales_RAW(BEFORE)'!X144)</f>
        <v>Processing</v>
      </c>
      <c r="AA140" s="3" t="str" cm="1">
        <f t="array" ref="AA140">_xlfn.LET(
  _xlpm.val, TRIM(LOWER('Sales_RAW(BEFORE)'!Y144)),
  _xlfn.IFS(
    OR(_xlpm.val="yes", _xlpm.val="paid"), "Paid",
    OR(_xlpm.val="no", _xlpm.val="unpaid"), "Unpaid",
    OR(_xlpm.val="partial", _xlpm.val="partial paid"), "Partial",
    _xlpm.val="", "",
    TRUE, 'Sales_RAW(BEFORE)'!AY144
  )
)</f>
        <v>Paid</v>
      </c>
      <c r="AB140" s="3" t="s">
        <v>2541</v>
      </c>
      <c r="AC140" s="3" t="str">
        <f>PROPER('Sales_RAW(BEFORE)'!AA144)</f>
        <v>Store</v>
      </c>
      <c r="AD140" s="3" t="str">
        <f>SUBSTITUTE(SUBSTITUTE(SUBSTITUTE(SUBSTITUTE('Sales_RAW(BEFORE)'!AB144,"st",""),"q",""),"Q",""),"uarter","")</f>
        <v>2</v>
      </c>
      <c r="AE140" s="3" t="str">
        <f>TEXT(IFERROR(DATEVALUE('Sales_RAW(BEFORE)'!AC144 &amp; " 1"), IFERROR(DATE(2025, 'Sales_RAW(BEFORE)'!AC144, 1), 'Sales_RAW(BEFORE)'!AC144)), "mmmm")</f>
        <v>August</v>
      </c>
      <c r="AF140" s="3">
        <f>_xlfn.LET(
  _xlpm.raw, TRIM(SUBSTITUTE('Sales_RAW(BEFORE)'!AD144, "'", "")),
  _xlpm.num, IFERROR(VALUE(_xlpm.raw), 0),
  IF(_xlpm.num &lt; 100, 2000 + _xlpm.num, _xlpm.num)
)</f>
        <v>2026</v>
      </c>
      <c r="AG140" s="3" t="str">
        <f>PROPER('Sales_RAW(BEFORE)'!AE144)</f>
        <v>15</v>
      </c>
      <c r="AH140" s="3" cm="1">
        <f t="array" ref="AH140">_xlfn.LET(
  _xlpm.val, LOWER(TRIM('Sales_RAW(BEFORE)'!AF144)),
  _xlfn.IFS(
    OR(_xlpm.val="", _xlpm.val="null", _xlpm.val="N/A", _xlpm.val="-", _xlpm.val="#N/A"), 0,
    ISNUMBER('Sales_RAW(BEFORE)'!AF144), 'Sales_RAW(BEFORE)'!AF144,
    TRUE, IFERROR(_xlfn.NUMBERVALUE(_xlpm.val), 0)
  )
)</f>
        <v>6</v>
      </c>
      <c r="AI140" s="5">
        <f>IF(IFERROR(VALUE(SUBSTITUTE(SUBSTITUTE(TRIM('Sales_RAW(BEFORE)'!AG144), "%", ""), ",", ".")), 0) &gt; 1, IFERROR(VALUE(SUBSTITUTE(SUBSTITUTE(TRIM('Sales_RAW(BEFORE)'!AG144), "%", ""), ",", ".")), 0) / 100, IFERROR(VALUE(SUBSTITUTE(SUBSTITUTE(TRIM('Sales_RAW(BEFORE)'!AG144), "%", ""), ",", ".")), 0))</f>
        <v>0.08</v>
      </c>
      <c r="AJ140" s="6">
        <f t="shared" si="11"/>
        <v>3741.7408</v>
      </c>
      <c r="AK140" s="6">
        <f t="shared" si="12"/>
        <v>50513.500800000002</v>
      </c>
      <c r="AL140" s="6">
        <f>IFERROR(VALUE(SUBSTITUTE(SUBSTITUTE(SUBSTITUTE('Sales_RAW(BEFORE)'!AJ144,"$",""),"USD",""),",",".")),0)</f>
        <v>13.86</v>
      </c>
      <c r="AM140" s="3" t="str">
        <f>SUBSTITUTE(SUBSTITUTE(PROPER('Sales_RAW(BEFORE)'!AK144), "Fed Ex", "FedEx"),"Fedex","FedEx")</f>
        <v>Usps</v>
      </c>
      <c r="AN140" s="3" t="s">
        <v>2542</v>
      </c>
      <c r="AO140" s="3" t="str">
        <f>SUBSTITUTE('Sales_RAW(BEFORE)'!AM144,"kg","")</f>
        <v>26,31</v>
      </c>
      <c r="AP140" s="3" t="str">
        <f>_xlfn.LET(
  _xlpm.raw, UPPER(TRIM('Sales_RAW(BEFORE)'!AN144)),
  _xlpm.clean, RIGHT(_xlpm.raw, 1),
  IF(OR(_xlpm.raw="", _xlpm.raw="null"), "N/A", _xlpm.clean)
)</f>
        <v>C</v>
      </c>
      <c r="AQ140" s="3">
        <v>239</v>
      </c>
      <c r="AR140" s="3" cm="1">
        <f t="array" ref="AR140">_xlfn.LET(
  _xlpm.raw, LOWER(TRIM('Sales_RAW(BEFORE)'!AP144)),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140" s="3"/>
      <c r="AT140" s="3"/>
      <c r="AU140" s="3"/>
      <c r="AV140" s="8">
        <f>IF(IFERROR(VALUE(SUBSTITUTE(SUBSTITUTE(TRIM('Sales_RAW(BEFORE)'!AT144), "%", ""), ",", ".")), 0) &gt; 1, IFERROR(VALUE(SUBSTITUTE(SUBSTITUTE(TRIM('Sales_RAW(BEFORE)'!AT144), "%", ""), ",", ".")), 0) / 100, IFERROR(VALUE(SUBSTITUTE(SUBSTITUTE(TRIM('Sales_RAW(BEFORE)'!AT144), "%", ""), ",", ".")), 0))</f>
        <v>0.25</v>
      </c>
      <c r="AW140" s="6">
        <f>BA140*(_xlfn.XLOOKUP(N140,Employees!$A$2:$A$26,Employees!$E$2:$E$26,2))</f>
        <v>1136.553768</v>
      </c>
      <c r="AX140" s="3" t="str">
        <f>PROPER('Sales_RAW(BEFORE)'!AV144)</f>
        <v>Ryan Miller</v>
      </c>
      <c r="AY140" s="3" t="str">
        <f t="shared" si="13"/>
        <v>Ryan Miller</v>
      </c>
      <c r="AZ140" s="3"/>
      <c r="BA140" s="24">
        <f>AK140*(1-(_xlfn.XLOOKUP(G140, Exchange_Rates!$B$8:$F$8, Exchange_Rates!$B$9:$F$9, 0)+J140))</f>
        <v>37885.125599999999</v>
      </c>
      <c r="BB140" s="7" cm="1">
        <f t="array" ref="BB140">_xlfn.LET(
  _xlpm.raw_dt, SUBSTITUTE(TRIM(C140), ".", "/"),
  _xlpm.dt, IFERROR(DATEVALUE(_xlpm.raw_dt), C140),
  _xlpm.p_code, TRIM(E140),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46985</v>
      </c>
      <c r="BC140" s="25">
        <f t="shared" si="14"/>
        <v>9471.2813999999998</v>
      </c>
    </row>
    <row r="141" spans="1:55" ht="15.75" thickBot="1" x14ac:dyDescent="0.3">
      <c r="A141" s="3" t="s">
        <v>2545</v>
      </c>
      <c r="B141" s="10">
        <v>46085</v>
      </c>
      <c r="C141" s="4">
        <v>46237</v>
      </c>
      <c r="D141" s="3" t="str">
        <f>"P-" &amp; TEXT(VALUE(SUBSTITUTE(SUBSTITUTE(SUBSTITUTE(UPPER(TRIM('Sales_RAW(BEFORE)'!D145)), "P", ""), "-", ""), "_", "")),"000")</f>
        <v>P-056</v>
      </c>
      <c r="E141" s="3" t="str">
        <f>VLOOKUP(D141,Product_List!$A$2:$B$61,2,FALSE)</f>
        <v>Keyboard X 56</v>
      </c>
      <c r="F141" s="3" t="str">
        <f>_xlfn.XLOOKUP(E141,Product_List!$B$2:$B$61,Product_List!$E$2:$E$61,2)</f>
        <v>OfficeHub</v>
      </c>
      <c r="G141" s="3" t="str">
        <f>VLOOKUP(E141,Product_List!$B$2:$C$61,2,FALSE)</f>
        <v>Software</v>
      </c>
      <c r="H141" s="3" t="str">
        <f>SUBSTITUTE(SUBSTITUTE('Sales_RAW(BEFORE)'!G145,"kom",""),".","")</f>
        <v xml:space="preserve">26 </v>
      </c>
      <c r="I141" s="6">
        <f>VLOOKUP(E141,Product_List!$B$2:$D$61,3,FALSE)</f>
        <v>1111.1099999999999</v>
      </c>
      <c r="J141" s="5">
        <f>IF(IFERROR(VALUE(SUBSTITUTE(SUBSTITUTE(TRIM('Sales_RAW(BEFORE)'!I145), "%", ""), ",", ".")), 0) &gt; 1, IFERROR(VALUE(SUBSTITUTE(SUBSTITUTE(TRIM('Sales_RAW(BEFORE)'!I145), "%", ""), ",", ".")), 0) / 100, IFERROR(VALUE(SUBSTITUTE(SUBSTITUTE(TRIM('Sales_RAW(BEFORE)'!I145), "%", ""), ",", ".")), 0))</f>
        <v>0.1</v>
      </c>
      <c r="K141" s="6">
        <f t="shared" si="10"/>
        <v>28888.859999999997</v>
      </c>
      <c r="L141" s="6" t="str" cm="1">
        <f t="array" ref="L141">_xlfn.LET(
  _xlpm.valuta, UPPER(TRIM('Sales_RAW(BEFORE)'!K145)),
  _xlfn.IFS(
    _xlpm.valuta = "", "",
    OR(_xlpm.valuta = "USD", _xlpm.valuta = "$"), "$",
    OR(_xlpm.valuta = "EUR", _xlpm.valuta = "€"), "€",
    TRUE, _xlpm.valuta
  )
)</f>
        <v>$</v>
      </c>
      <c r="M141" s="3" t="str">
        <f>"E" &amp; TEXT(VALUE(SUBSTITUTE(SUBSTITUTE(SUBSTITUTE(UPPER(TRIM('Sales_RAW(BEFORE)'!L145)), "EMP", ""), "E", ""), "-", "")),"000")</f>
        <v>E008</v>
      </c>
      <c r="N141" s="3" t="str">
        <f>_xlfn.XLOOKUP(M141,Employees!$D$2:$D$26,Employees!$A$2:$A$26)</f>
        <v>Michael Williams</v>
      </c>
      <c r="O141" s="3" t="str">
        <f>_xlfn.XLOOKUP(N141,Employees!$A$2:$A$26,Employees!$C$2:$C$26,2)</f>
        <v>Wholesale</v>
      </c>
      <c r="P141" s="3" t="str">
        <f>PROPER('Sales_RAW(BEFORE)'!N145)</f>
        <v>North</v>
      </c>
      <c r="Q141" s="3" t="str">
        <f>VLOOKUP(N141,Employees!$A$2:$B$26,2,FALSE)</f>
        <v>New York</v>
      </c>
      <c r="R141" s="3" t="str">
        <f>PROPER('Sales_RAW(BEFORE)'!P145)</f>
        <v>Stark Inc</v>
      </c>
      <c r="S141" s="3" t="str">
        <f>SUBSTITUTE(SUBSTITUTE('Sales_RAW(BEFORE)'!Q145,"EIN",""),":","")</f>
        <v xml:space="preserve"> 452437055</v>
      </c>
      <c r="T141" s="3" t="s">
        <v>1232</v>
      </c>
      <c r="U141" s="3" t="s">
        <v>2554</v>
      </c>
      <c r="V141" s="3" t="s">
        <v>2555</v>
      </c>
      <c r="W141" s="3" t="s">
        <v>2556</v>
      </c>
      <c r="X141" s="3" t="s">
        <v>173</v>
      </c>
      <c r="Y141" s="3" t="str">
        <f>PROPER('Sales_RAW(BEFORE)'!W145)</f>
        <v>Wire Transfer</v>
      </c>
      <c r="Z141" s="3" t="str">
        <f>PROPER('Sales_RAW(BEFORE)'!X145)</f>
        <v>Delivered</v>
      </c>
      <c r="AA141" s="3" t="str" cm="1">
        <f t="array" ref="AA141">_xlfn.LET(
  _xlpm.val, TRIM(LOWER('Sales_RAW(BEFORE)'!Y145)),
  _xlfn.IFS(
    OR(_xlpm.val="yes", _xlpm.val="paid"), "Paid",
    OR(_xlpm.val="no", _xlpm.val="unpaid"), "Unpaid",
    OR(_xlpm.val="partial", _xlpm.val="partial paid"), "Partial",
    _xlpm.val="", "",
    TRUE, 'Sales_RAW(BEFORE)'!AY145
  )
)</f>
        <v>Partial</v>
      </c>
      <c r="AB141" s="3" t="s">
        <v>2557</v>
      </c>
      <c r="AC141" s="3" t="str">
        <f>PROPER('Sales_RAW(BEFORE)'!AA145)</f>
        <v>Phone</v>
      </c>
      <c r="AD141" s="3" t="str">
        <f>SUBSTITUTE(SUBSTITUTE(SUBSTITUTE(SUBSTITUTE('Sales_RAW(BEFORE)'!AB145,"st",""),"q",""),"Q",""),"uarter","")</f>
        <v>3</v>
      </c>
      <c r="AE141" s="3" t="str">
        <f>TEXT(IFERROR(DATEVALUE('Sales_RAW(BEFORE)'!AC145 &amp; " 1"), IFERROR(DATE(2025, 'Sales_RAW(BEFORE)'!AC145, 1), 'Sales_RAW(BEFORE)'!AC145)), "mmmm")</f>
        <v>March</v>
      </c>
      <c r="AF141" s="3">
        <f>_xlfn.LET(
  _xlpm.raw, TRIM(SUBSTITUTE('Sales_RAW(BEFORE)'!AD145, "'", "")),
  _xlpm.num, IFERROR(VALUE(_xlpm.raw), 0),
  IF(_xlpm.num &lt; 100, 2000 + _xlpm.num, _xlpm.num)
)</f>
        <v>2026</v>
      </c>
      <c r="AG141" s="3" t="str">
        <f>PROPER('Sales_RAW(BEFORE)'!AE145)</f>
        <v>Net 30</v>
      </c>
      <c r="AH141" s="3" cm="1">
        <f t="array" ref="AH141">_xlfn.LET(
  _xlpm.val, LOWER(TRIM('Sales_RAW(BEFORE)'!AF145)),
  _xlfn.IFS(
    OR(_xlpm.val="", _xlpm.val="null", _xlpm.val="N/A", _xlpm.val="-", _xlpm.val="#N/A"), 0,
    ISNUMBER('Sales_RAW(BEFORE)'!AF145), 'Sales_RAW(BEFORE)'!AF145,
    TRUE, IFERROR(_xlfn.NUMBERVALUE(_xlpm.val), 0)
  )
)</f>
        <v>60</v>
      </c>
      <c r="AI141" s="5">
        <f>IF(IFERROR(VALUE(SUBSTITUTE(SUBSTITUTE(TRIM('Sales_RAW(BEFORE)'!AG145), "%", ""), ",", ".")), 0) &gt; 1, IFERROR(VALUE(SUBSTITUTE(SUBSTITUTE(TRIM('Sales_RAW(BEFORE)'!AG145), "%", ""), ",", ".")), 0) / 100, IFERROR(VALUE(SUBSTITUTE(SUBSTITUTE(TRIM('Sales_RAW(BEFORE)'!AG145), "%", ""), ",", ".")), 0))</f>
        <v>0.08</v>
      </c>
      <c r="AJ141" s="6">
        <f t="shared" si="11"/>
        <v>2311.1088</v>
      </c>
      <c r="AK141" s="6">
        <f t="shared" si="12"/>
        <v>31199.968799999995</v>
      </c>
      <c r="AL141" s="6">
        <f>IFERROR(VALUE(SUBSTITUTE(SUBSTITUTE(SUBSTITUTE('Sales_RAW(BEFORE)'!AJ145,"$",""),"USD",""),",",".")),0)</f>
        <v>3.94</v>
      </c>
      <c r="AM141" s="3" t="str">
        <f>SUBSTITUTE(SUBSTITUTE(PROPER('Sales_RAW(BEFORE)'!AK145), "Fed Ex", "FedEx"),"Fedex","FedEx")</f>
        <v>Dhl</v>
      </c>
      <c r="AN141" s="3" t="s">
        <v>2558</v>
      </c>
      <c r="AO141" s="3" t="str">
        <f>SUBSTITUTE('Sales_RAW(BEFORE)'!AM145,"kg","")</f>
        <v>20.13</v>
      </c>
      <c r="AP141" s="3" t="str">
        <f>_xlfn.LET(
  _xlpm.raw, UPPER(TRIM('Sales_RAW(BEFORE)'!AN145)),
  _xlpm.clean, RIGHT(_xlpm.raw, 1),
  IF(OR(_xlpm.raw="", _xlpm.raw="null"), "N/A", _xlpm.clean)
)</f>
        <v>A</v>
      </c>
      <c r="AQ141" s="3">
        <v>4</v>
      </c>
      <c r="AR141" s="3" cm="1">
        <f t="array" ref="AR141">_xlfn.LET(
  _xlpm.raw, LOWER(TRIM('Sales_RAW(BEFORE)'!AP145)),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141" s="3"/>
      <c r="AT141" s="3"/>
      <c r="AU141" s="3"/>
      <c r="AV141" s="8">
        <f>IF(IFERROR(VALUE(SUBSTITUTE(SUBSTITUTE(TRIM('Sales_RAW(BEFORE)'!AT145), "%", ""), ",", ".")), 0) &gt; 1, IFERROR(VALUE(SUBSTITUTE(SUBSTITUTE(TRIM('Sales_RAW(BEFORE)'!AT145), "%", ""), ",", ".")), 0) / 100, IFERROR(VALUE(SUBSTITUTE(SUBSTITUTE(TRIM('Sales_RAW(BEFORE)'!AT145), "%", ""), ",", ".")), 0))</f>
        <v>0</v>
      </c>
      <c r="AW141" s="6">
        <f>BA141*(_xlfn.XLOOKUP(N141,Employees!$A$2:$A$26,Employees!$E$2:$E$26,2))</f>
        <v>1169.9988299999998</v>
      </c>
      <c r="AX141" s="3" t="str">
        <f>PROPER('Sales_RAW(BEFORE)'!AV145)</f>
        <v>Daniel Davis</v>
      </c>
      <c r="AY141" s="3" t="str">
        <f t="shared" si="13"/>
        <v>Daniel Davis</v>
      </c>
      <c r="AZ141" s="3"/>
      <c r="BA141" s="24">
        <f>AK141*(1-(_xlfn.XLOOKUP(G141, Exchange_Rates!$B$8:$F$8, Exchange_Rates!$B$9:$F$9, 0)+J141))</f>
        <v>23399.976599999995</v>
      </c>
      <c r="BB141" s="7" cm="1">
        <f t="array" ref="BB141">_xlfn.LET(
  _xlpm.raw_dt, SUBSTITUTE(TRIM(C141), ".", "/"),
  _xlpm.dt, IFERROR(DATEVALUE(_xlpm.raw_dt), C141),
  _xlpm.p_code, TRIM(E141),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47333</v>
      </c>
      <c r="BC141" s="25">
        <f t="shared" si="14"/>
        <v>0</v>
      </c>
    </row>
    <row r="142" spans="1:55" ht="15.75" thickBot="1" x14ac:dyDescent="0.3">
      <c r="A142" s="3" t="s">
        <v>2559</v>
      </c>
      <c r="B142" s="10">
        <v>46119</v>
      </c>
      <c r="C142" s="4">
        <v>46180</v>
      </c>
      <c r="D142" s="3" t="str">
        <f>"P-" &amp; TEXT(VALUE(SUBSTITUTE(SUBSTITUTE(SUBSTITUTE(UPPER(TRIM('Sales_RAW(BEFORE)'!D146)), "P", ""), "-", ""), "_", "")),"000")</f>
        <v>P-001</v>
      </c>
      <c r="E142" s="3" t="str">
        <f>VLOOKUP(D142,Product_List!$A$2:$B$61,2,FALSE)</f>
        <v>Desk X 1</v>
      </c>
      <c r="F142" s="3" t="str">
        <f>_xlfn.XLOOKUP(E142,Product_List!$B$2:$B$61,Product_List!$E$2:$E$61,2)</f>
        <v>Global Distrib</v>
      </c>
      <c r="G142" s="3" t="str">
        <f>VLOOKUP(E142,Product_List!$B$2:$C$61,2,FALSE)</f>
        <v>Software</v>
      </c>
      <c r="H142" s="3" t="str">
        <f>SUBSTITUTE(SUBSTITUTE('Sales_RAW(BEFORE)'!G146,"kom",""),".","")</f>
        <v>35</v>
      </c>
      <c r="I142" s="6">
        <f>VLOOKUP(E142,Product_List!$B$2:$D$61,3,FALSE)</f>
        <v>978.15</v>
      </c>
      <c r="J142" s="5">
        <f>IF(IFERROR(VALUE(SUBSTITUTE(SUBSTITUTE(TRIM('Sales_RAW(BEFORE)'!I146), "%", ""), ",", ".")), 0) &gt; 1, IFERROR(VALUE(SUBSTITUTE(SUBSTITUTE(TRIM('Sales_RAW(BEFORE)'!I146), "%", ""), ",", ".")), 0) / 100, IFERROR(VALUE(SUBSTITUTE(SUBSTITUTE(TRIM('Sales_RAW(BEFORE)'!I146), "%", ""), ",", ".")), 0))</f>
        <v>0.1</v>
      </c>
      <c r="K142" s="6">
        <f t="shared" si="10"/>
        <v>34235.25</v>
      </c>
      <c r="L142" s="6" t="str" cm="1">
        <f t="array" ref="L142">_xlfn.LET(
  _xlpm.valuta, UPPER(TRIM('Sales_RAW(BEFORE)'!K146)),
  _xlfn.IFS(
    _xlpm.valuta = "", "",
    OR(_xlpm.valuta = "USD", _xlpm.valuta = "$"), "$",
    OR(_xlpm.valuta = "EUR", _xlpm.valuta = "€"), "€",
    TRUE, _xlpm.valuta
  )
)</f>
        <v>$</v>
      </c>
      <c r="M142" s="3" t="str">
        <f>"E" &amp; TEXT(VALUE(SUBSTITUTE(SUBSTITUTE(SUBSTITUTE(UPPER(TRIM('Sales_RAW(BEFORE)'!L146)), "EMP", ""), "E", ""), "-", "")),"000")</f>
        <v>E005</v>
      </c>
      <c r="N142" s="3" t="str">
        <f>_xlfn.XLOOKUP(M142,Employees!$D$2:$D$26,Employees!$A$2:$A$26)</f>
        <v>Laura Williams</v>
      </c>
      <c r="O142" s="3" t="str">
        <f>_xlfn.XLOOKUP(N142,Employees!$A$2:$A$26,Employees!$C$2:$C$26,2)</f>
        <v>Online</v>
      </c>
      <c r="P142" s="3" t="str">
        <f>PROPER('Sales_RAW(BEFORE)'!N146)</f>
        <v>West</v>
      </c>
      <c r="Q142" s="3" t="str">
        <f>VLOOKUP(N142,Employees!$A$2:$B$26,2,FALSE)</f>
        <v>Houston</v>
      </c>
      <c r="R142" s="3" t="str">
        <f>PROPER('Sales_RAW(BEFORE)'!P146)</f>
        <v>Umbrella Inc</v>
      </c>
      <c r="S142" s="3" t="str">
        <f>SUBSTITUTE(SUBSTITUTE('Sales_RAW(BEFORE)'!Q146,"EIN",""),":","")</f>
        <v xml:space="preserve"> 659216403</v>
      </c>
      <c r="T142" s="3" t="s">
        <v>1815</v>
      </c>
      <c r="U142" s="3" t="s">
        <v>2568</v>
      </c>
      <c r="V142" s="3" t="s">
        <v>2569</v>
      </c>
      <c r="W142" s="3" t="s">
        <v>134</v>
      </c>
      <c r="X142" s="3" t="s">
        <v>173</v>
      </c>
      <c r="Y142" s="3" t="str">
        <f>PROPER('Sales_RAW(BEFORE)'!W146)</f>
        <v>Credit Card</v>
      </c>
      <c r="Z142" s="3" t="str">
        <f>PROPER('Sales_RAW(BEFORE)'!X146)</f>
        <v>Cancelled</v>
      </c>
      <c r="AA142" s="3" t="str" cm="1">
        <f t="array" ref="AA142">_xlfn.LET(
  _xlpm.val, TRIM(LOWER('Sales_RAW(BEFORE)'!Y146)),
  _xlfn.IFS(
    OR(_xlpm.val="yes", _xlpm.val="paid"), "Paid",
    OR(_xlpm.val="no", _xlpm.val="unpaid"), "Unpaid",
    OR(_xlpm.val="partial", _xlpm.val="partial paid"), "Partial",
    _xlpm.val="", "",
    TRUE, 'Sales_RAW(BEFORE)'!AY146
  )
)</f>
        <v>Partial</v>
      </c>
      <c r="AB142" s="3" t="s">
        <v>2570</v>
      </c>
      <c r="AC142" s="3" t="str">
        <f>PROPER('Sales_RAW(BEFORE)'!AA146)</f>
        <v>Online</v>
      </c>
      <c r="AD142" s="3" t="str">
        <f>SUBSTITUTE(SUBSTITUTE(SUBSTITUTE(SUBSTITUTE('Sales_RAW(BEFORE)'!AB146,"st",""),"q",""),"Q",""),"uarter","")</f>
        <v>4</v>
      </c>
      <c r="AE142" s="3" t="str">
        <f>TEXT(IFERROR(DATEVALUE('Sales_RAW(BEFORE)'!AC146 &amp; " 1"), IFERROR(DATE(2025, 'Sales_RAW(BEFORE)'!AC146, 1), 'Sales_RAW(BEFORE)'!AC146)), "mmmm")</f>
        <v>July</v>
      </c>
      <c r="AF142" s="3">
        <f>_xlfn.LET(
  _xlpm.raw, TRIM(SUBSTITUTE('Sales_RAW(BEFORE)'!AD146, "'", "")),
  _xlpm.num, IFERROR(VALUE(_xlpm.raw), 0),
  IF(_xlpm.num &lt; 100, 2000 + _xlpm.num, _xlpm.num)
)</f>
        <v>2026</v>
      </c>
      <c r="AG142" s="3" t="str">
        <f>PROPER('Sales_RAW(BEFORE)'!AE146)</f>
        <v>15</v>
      </c>
      <c r="AH142" s="3" cm="1">
        <f t="array" ref="AH142">_xlfn.LET(
  _xlpm.val, LOWER(TRIM('Sales_RAW(BEFORE)'!AF146)),
  _xlfn.IFS(
    OR(_xlpm.val="", _xlpm.val="null", _xlpm.val="N/A", _xlpm.val="-", _xlpm.val="#N/A"), 0,
    ISNUMBER('Sales_RAW(BEFORE)'!AF146), 'Sales_RAW(BEFORE)'!AF146,
    TRUE, IFERROR(_xlfn.NUMBERVALUE(_xlpm.val), 0)
  )
)</f>
        <v>6</v>
      </c>
      <c r="AI142" s="5">
        <f>IF(IFERROR(VALUE(SUBSTITUTE(SUBSTITUTE(TRIM('Sales_RAW(BEFORE)'!AG146), "%", ""), ",", ".")), 0) &gt; 1, IFERROR(VALUE(SUBSTITUTE(SUBSTITUTE(TRIM('Sales_RAW(BEFORE)'!AG146), "%", ""), ",", ".")), 0) / 100, IFERROR(VALUE(SUBSTITUTE(SUBSTITUTE(TRIM('Sales_RAW(BEFORE)'!AG146), "%", ""), ",", ".")), 0))</f>
        <v>0.08</v>
      </c>
      <c r="AJ142" s="6">
        <f t="shared" si="11"/>
        <v>2738.82</v>
      </c>
      <c r="AK142" s="6">
        <f t="shared" si="12"/>
        <v>36974.07</v>
      </c>
      <c r="AL142" s="6">
        <f>IFERROR(VALUE(SUBSTITUTE(SUBSTITUTE(SUBSTITUTE('Sales_RAW(BEFORE)'!AJ146,"$",""),"USD",""),",",".")),0)</f>
        <v>0.92</v>
      </c>
      <c r="AM142" s="3" t="str">
        <f>SUBSTITUTE(SUBSTITUTE(PROPER('Sales_RAW(BEFORE)'!AK146), "Fed Ex", "FedEx"),"Fedex","FedEx")</f>
        <v>Ups</v>
      </c>
      <c r="AN142" s="3" t="s">
        <v>2572</v>
      </c>
      <c r="AO142" s="3" t="str">
        <f>SUBSTITUTE('Sales_RAW(BEFORE)'!AM146,"kg","")</f>
        <v xml:space="preserve">18.2 </v>
      </c>
      <c r="AP142" s="3" t="str">
        <f>_xlfn.LET(
  _xlpm.raw, UPPER(TRIM('Sales_RAW(BEFORE)'!AN146)),
  _xlpm.clean, RIGHT(_xlpm.raw, 1),
  IF(OR(_xlpm.raw="", _xlpm.raw="null"), "N/A", _xlpm.clean)
)</f>
        <v>B</v>
      </c>
      <c r="AQ142" s="3">
        <v>155</v>
      </c>
      <c r="AR142" s="3" cm="1">
        <f t="array" ref="AR142">_xlfn.LET(
  _xlpm.raw, LOWER(TRIM('Sales_RAW(BEFORE)'!AP146)),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142" s="3"/>
      <c r="AT142" s="3"/>
      <c r="AU142" s="3"/>
      <c r="AV142" s="8">
        <f>IF(IFERROR(VALUE(SUBSTITUTE(SUBSTITUTE(TRIM('Sales_RAW(BEFORE)'!AT146), "%", ""), ",", ".")), 0) &gt; 1, IFERROR(VALUE(SUBSTITUTE(SUBSTITUTE(TRIM('Sales_RAW(BEFORE)'!AT146), "%", ""), ",", ".")), 0) / 100, IFERROR(VALUE(SUBSTITUTE(SUBSTITUTE(TRIM('Sales_RAW(BEFORE)'!AT146), "%", ""), ",", ".")), 0))</f>
        <v>0</v>
      </c>
      <c r="AW142" s="6">
        <f>BA142*(_xlfn.XLOOKUP(N142,Employees!$A$2:$A$26,Employees!$E$2:$E$26,2))</f>
        <v>831.91657499999985</v>
      </c>
      <c r="AX142" s="3" t="str">
        <f>PROPER('Sales_RAW(BEFORE)'!AV146)</f>
        <v>David Miller</v>
      </c>
      <c r="AY142" s="3" t="str">
        <f t="shared" si="13"/>
        <v>David Miller</v>
      </c>
      <c r="AZ142" s="3"/>
      <c r="BA142" s="24">
        <f>AK142*(1-(_xlfn.XLOOKUP(G142, Exchange_Rates!$B$8:$F$8, Exchange_Rates!$B$9:$F$9, 0)+J142))</f>
        <v>27730.552499999998</v>
      </c>
      <c r="BB142" s="7" cm="1">
        <f t="array" ref="BB142">_xlfn.LET(
  _xlpm.raw_dt, SUBSTITUTE(TRIM(C142), ".", "/"),
  _xlpm.dt, IFERROR(DATEVALUE(_xlpm.raw_dt), C142),
  _xlpm.p_code, TRIM(E142),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46911</v>
      </c>
      <c r="BC142" s="25">
        <f t="shared" si="14"/>
        <v>0</v>
      </c>
    </row>
    <row r="143" spans="1:55" ht="15.75" thickBot="1" x14ac:dyDescent="0.3">
      <c r="A143" s="3" t="s">
        <v>2575</v>
      </c>
      <c r="B143" s="10">
        <v>45950</v>
      </c>
      <c r="C143" s="4">
        <v>45956</v>
      </c>
      <c r="D143" s="3" t="str">
        <f>"P-" &amp; TEXT(VALUE(SUBSTITUTE(SUBSTITUTE(SUBSTITUTE(UPPER(TRIM('Sales_RAW(BEFORE)'!D147)), "P", ""), "-", ""), "_", "")),"000")</f>
        <v>P-016</v>
      </c>
      <c r="E143" s="3" t="str">
        <f>VLOOKUP(D143,Product_List!$A$2:$B$61,2,FALSE)</f>
        <v>Keyboard X 16</v>
      </c>
      <c r="F143" s="3" t="str">
        <f>_xlfn.XLOOKUP(E143,Product_List!$B$2:$B$61,Product_List!$E$2:$E$61,2)</f>
        <v>TechSupply Co</v>
      </c>
      <c r="G143" s="3" t="str">
        <f>VLOOKUP(E143,Product_List!$B$2:$C$61,2,FALSE)</f>
        <v>Office</v>
      </c>
      <c r="H143" s="3" t="str">
        <f>SUBSTITUTE(SUBSTITUTE('Sales_RAW(BEFORE)'!G147,"kom",""),".","")</f>
        <v>38</v>
      </c>
      <c r="I143" s="6">
        <f>VLOOKUP(E143,Product_List!$B$2:$D$61,3,FALSE)</f>
        <v>127.37</v>
      </c>
      <c r="J143" s="5">
        <f>IF(IFERROR(VALUE(SUBSTITUTE(SUBSTITUTE(TRIM('Sales_RAW(BEFORE)'!I147), "%", ""), ",", ".")), 0) &gt; 1, IFERROR(VALUE(SUBSTITUTE(SUBSTITUTE(TRIM('Sales_RAW(BEFORE)'!I147), "%", ""), ",", ".")), 0) / 100, IFERROR(VALUE(SUBSTITUTE(SUBSTITUTE(TRIM('Sales_RAW(BEFORE)'!I147), "%", ""), ",", ".")), 0))</f>
        <v>0.1</v>
      </c>
      <c r="K143" s="6">
        <f t="shared" si="10"/>
        <v>4840.0600000000004</v>
      </c>
      <c r="L143" s="6" t="str" cm="1">
        <f t="array" ref="L143">_xlfn.LET(
  _xlpm.valuta, UPPER(TRIM('Sales_RAW(BEFORE)'!K147)),
  _xlfn.IFS(
    _xlpm.valuta = "", "",
    OR(_xlpm.valuta = "USD", _xlpm.valuta = "$"), "$",
    OR(_xlpm.valuta = "EUR", _xlpm.valuta = "€"), "€",
    TRUE, _xlpm.valuta
  )
)</f>
        <v>$</v>
      </c>
      <c r="M143" s="3" t="str">
        <f>"E" &amp; TEXT(VALUE(SUBSTITUTE(SUBSTITUTE(SUBSTITUTE(UPPER(TRIM('Sales_RAW(BEFORE)'!L147)), "EMP", ""), "E", ""), "-", "")),"000")</f>
        <v>E003</v>
      </c>
      <c r="N143" s="3" t="str">
        <f>_xlfn.XLOOKUP(M143,Employees!$D$2:$D$26,Employees!$A$2:$A$26)</f>
        <v>Laura Miller</v>
      </c>
      <c r="O143" s="3" t="str">
        <f>_xlfn.XLOOKUP(N143,Employees!$A$2:$A$26,Employees!$C$2:$C$26,2)</f>
        <v>Sales</v>
      </c>
      <c r="P143" s="3" t="str">
        <f>PROPER('Sales_RAW(BEFORE)'!N147)</f>
        <v>North</v>
      </c>
      <c r="Q143" s="3" t="str">
        <f>VLOOKUP(N143,Employees!$A$2:$B$26,2,FALSE)</f>
        <v>Miami</v>
      </c>
      <c r="R143" s="3" t="str">
        <f>PROPER('Sales_RAW(BEFORE)'!P147)</f>
        <v xml:space="preserve">  Initech Ltd.</v>
      </c>
      <c r="S143" s="3" t="str">
        <f>SUBSTITUTE(SUBSTITUTE('Sales_RAW(BEFORE)'!Q147,"EIN",""),":","")</f>
        <v xml:space="preserve"> 185339452</v>
      </c>
      <c r="T143" s="3" t="s">
        <v>1815</v>
      </c>
      <c r="U143" s="3" t="s">
        <v>2582</v>
      </c>
      <c r="V143" s="3" t="s">
        <v>2583</v>
      </c>
      <c r="W143" s="3" t="s">
        <v>2584</v>
      </c>
      <c r="X143" s="3" t="s">
        <v>173</v>
      </c>
      <c r="Y143" s="3" t="str">
        <f>PROPER('Sales_RAW(BEFORE)'!W147)</f>
        <v>Wire</v>
      </c>
      <c r="Z143" s="3" t="str">
        <f>PROPER('Sales_RAW(BEFORE)'!X147)</f>
        <v>Delivered</v>
      </c>
      <c r="AA143" s="3" t="str" cm="1">
        <f t="array" ref="AA143">_xlfn.LET(
  _xlpm.val, TRIM(LOWER('Sales_RAW(BEFORE)'!Y147)),
  _xlfn.IFS(
    OR(_xlpm.val="yes", _xlpm.val="paid"), "Paid",
    OR(_xlpm.val="no", _xlpm.val="unpaid"), "Unpaid",
    OR(_xlpm.val="partial", _xlpm.val="partial paid"), "Partial",
    _xlpm.val="", "",
    TRUE, 'Sales_RAW(BEFORE)'!AY147
  )
)</f>
        <v>Paid</v>
      </c>
      <c r="AB143" s="3" t="s">
        <v>2585</v>
      </c>
      <c r="AC143" s="3" t="str">
        <f>PROPER('Sales_RAW(BEFORE)'!AA147)</f>
        <v>Online</v>
      </c>
      <c r="AD143" s="3" t="str">
        <f>SUBSTITUTE(SUBSTITUTE(SUBSTITUTE(SUBSTITUTE('Sales_RAW(BEFORE)'!AB147,"st",""),"q",""),"Q",""),"uarter","")</f>
        <v>4</v>
      </c>
      <c r="AE143" s="3" t="str">
        <f>TEXT(IFERROR(DATEVALUE('Sales_RAW(BEFORE)'!AC147 &amp; " 1"), IFERROR(DATE(2025, 'Sales_RAW(BEFORE)'!AC147, 1), 'Sales_RAW(BEFORE)'!AC147)), "mmmm")</f>
        <v>October</v>
      </c>
      <c r="AF143" s="3">
        <f>_xlfn.LET(
  _xlpm.raw, TRIM(SUBSTITUTE('Sales_RAW(BEFORE)'!AD147, "'", "")),
  _xlpm.num, IFERROR(VALUE(_xlpm.raw), 0),
  IF(_xlpm.num &lt; 100, 2000 + _xlpm.num, _xlpm.num)
)</f>
        <v>2025</v>
      </c>
      <c r="AG143" s="3" t="str">
        <f>PROPER('Sales_RAW(BEFORE)'!AE147)</f>
        <v>15</v>
      </c>
      <c r="AH143" s="3" cm="1">
        <f t="array" ref="AH143">_xlfn.LET(
  _xlpm.val, LOWER(TRIM('Sales_RAW(BEFORE)'!AF147)),
  _xlfn.IFS(
    OR(_xlpm.val="", _xlpm.val="null", _xlpm.val="N/A", _xlpm.val="-", _xlpm.val="#N/A"), 0,
    ISNUMBER('Sales_RAW(BEFORE)'!AF147), 'Sales_RAW(BEFORE)'!AF147,
    TRUE, IFERROR(_xlfn.NUMBERVALUE(_xlpm.val), 0)
  )
)</f>
        <v>22</v>
      </c>
      <c r="AI143" s="5">
        <f>IF(IFERROR(VALUE(SUBSTITUTE(SUBSTITUTE(TRIM('Sales_RAW(BEFORE)'!AG147), "%", ""), ",", ".")), 0) &gt; 1, IFERROR(VALUE(SUBSTITUTE(SUBSTITUTE(TRIM('Sales_RAW(BEFORE)'!AG147), "%", ""), ",", ".")), 0) / 100, IFERROR(VALUE(SUBSTITUTE(SUBSTITUTE(TRIM('Sales_RAW(BEFORE)'!AG147), "%", ""), ",", ".")), 0))</f>
        <v>0.08</v>
      </c>
      <c r="AJ143" s="6">
        <f t="shared" si="11"/>
        <v>387.20480000000003</v>
      </c>
      <c r="AK143" s="6">
        <f t="shared" si="12"/>
        <v>5227.2648000000008</v>
      </c>
      <c r="AL143" s="6">
        <f>IFERROR(VALUE(SUBSTITUTE(SUBSTITUTE(SUBSTITUTE('Sales_RAW(BEFORE)'!AJ147,"$",""),"USD",""),",",".")),0)</f>
        <v>2.81</v>
      </c>
      <c r="AM143" s="3" t="str">
        <f>SUBSTITUTE(SUBSTITUTE(PROPER('Sales_RAW(BEFORE)'!AK147), "Fed Ex", "FedEx"),"Fedex","FedEx")</f>
        <v>Dhl</v>
      </c>
      <c r="AN143" s="3" t="s">
        <v>2588</v>
      </c>
      <c r="AO143" s="3" t="str">
        <f>SUBSTITUTE('Sales_RAW(BEFORE)'!AM147,"kg","")</f>
        <v>3,82</v>
      </c>
      <c r="AP143" s="3" t="str">
        <f>_xlfn.LET(
  _xlpm.raw, UPPER(TRIM('Sales_RAW(BEFORE)'!AN147)),
  _xlpm.clean, RIGHT(_xlpm.raw, 1),
  IF(OR(_xlpm.raw="", _xlpm.raw="null"), "N/A", _xlpm.clean)
)</f>
        <v>C</v>
      </c>
      <c r="AQ143" s="3">
        <v>366</v>
      </c>
      <c r="AR143" s="3" t="str" cm="1">
        <f t="array" ref="AR143">_xlfn.LET(
  _xlpm.raw, LOWER(TRIM('Sales_RAW(BEFORE)'!AP147)),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143" s="3"/>
      <c r="AT143" s="3"/>
      <c r="AU143" s="3"/>
      <c r="AV143" s="8">
        <f>IF(IFERROR(VALUE(SUBSTITUTE(SUBSTITUTE(TRIM('Sales_RAW(BEFORE)'!AT147), "%", ""), ",", ".")), 0) &gt; 1, IFERROR(VALUE(SUBSTITUTE(SUBSTITUTE(TRIM('Sales_RAW(BEFORE)'!AT147), "%", ""), ",", ".")), 0) / 100, IFERROR(VALUE(SUBSTITUTE(SUBSTITUTE(TRIM('Sales_RAW(BEFORE)'!AT147), "%", ""), ",", ".")), 0))</f>
        <v>0.18</v>
      </c>
      <c r="AW143" s="6">
        <f>BA143*(_xlfn.XLOOKUP(N143,Employees!$A$2:$A$26,Employees!$E$2:$E$26,2))</f>
        <v>209.09059200000007</v>
      </c>
      <c r="AX143" s="3" t="str">
        <f>PROPER('Sales_RAW(BEFORE)'!AV147)</f>
        <v xml:space="preserve">David Jones  </v>
      </c>
      <c r="AY143" s="3" t="str">
        <f t="shared" si="13"/>
        <v xml:space="preserve">David Jones  </v>
      </c>
      <c r="AZ143" s="3"/>
      <c r="BA143" s="24">
        <f>AK143*(1-(_xlfn.XLOOKUP(G143, Exchange_Rates!$B$8:$F$8, Exchange_Rates!$B$9:$F$9, 0)+J143))</f>
        <v>4181.8118400000012</v>
      </c>
      <c r="BB143" s="7" cm="1">
        <f t="array" ref="BB143">_xlfn.LET(
  _xlpm.raw_dt, SUBSTITUTE(TRIM(C143), ".", "/"),
  _xlpm.dt, IFERROR(DATEVALUE(_xlpm.raw_dt), C143),
  _xlpm.p_code, TRIM(E143),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46321</v>
      </c>
      <c r="BC143" s="25">
        <f t="shared" si="14"/>
        <v>752.72613120000017</v>
      </c>
    </row>
    <row r="144" spans="1:55" ht="15.75" thickBot="1" x14ac:dyDescent="0.3">
      <c r="A144" s="3" t="s">
        <v>2592</v>
      </c>
      <c r="B144" s="10">
        <v>46040</v>
      </c>
      <c r="C144" s="4">
        <v>46042</v>
      </c>
      <c r="D144" s="3" t="str">
        <f>"P-" &amp; TEXT(VALUE(SUBSTITUTE(SUBSTITUTE(SUBSTITUTE(UPPER(TRIM('Sales_RAW(BEFORE)'!D148)), "P", ""), "-", ""), "_", "")),"000")</f>
        <v>P-047</v>
      </c>
      <c r="E144" s="3" t="str">
        <f>VLOOKUP(D144,Product_List!$A$2:$B$61,2,FALSE)</f>
        <v>Monitor Pro 47</v>
      </c>
      <c r="F144" s="3" t="str">
        <f>_xlfn.XLOOKUP(E144,Product_List!$B$2:$B$61,Product_List!$E$2:$E$61,2)</f>
        <v>TechSupply Co</v>
      </c>
      <c r="G144" s="3" t="str">
        <f>VLOOKUP(E144,Product_List!$B$2:$C$61,2,FALSE)</f>
        <v>Software</v>
      </c>
      <c r="H144" s="3" t="str">
        <f>SUBSTITUTE(SUBSTITUTE('Sales_RAW(BEFORE)'!G148,"kom",""),".","")</f>
        <v>10</v>
      </c>
      <c r="I144" s="6">
        <f>VLOOKUP(E144,Product_List!$B$2:$D$61,3,FALSE)</f>
        <v>1489.69</v>
      </c>
      <c r="J144" s="5">
        <f>IF(IFERROR(VALUE(SUBSTITUTE(SUBSTITUTE(TRIM('Sales_RAW(BEFORE)'!I148), "%", ""), ",", ".")), 0) &gt; 1, IFERROR(VALUE(SUBSTITUTE(SUBSTITUTE(TRIM('Sales_RAW(BEFORE)'!I148), "%", ""), ",", ".")), 0) / 100, IFERROR(VALUE(SUBSTITUTE(SUBSTITUTE(TRIM('Sales_RAW(BEFORE)'!I148), "%", ""), ",", ".")), 0))</f>
        <v>0</v>
      </c>
      <c r="K144" s="6">
        <f t="shared" si="10"/>
        <v>14896.900000000001</v>
      </c>
      <c r="L144" s="6" t="str" cm="1">
        <f t="array" ref="L144">_xlfn.LET(
  _xlpm.valuta, UPPER(TRIM('Sales_RAW(BEFORE)'!K148)),
  _xlfn.IFS(
    _xlpm.valuta = "", "",
    OR(_xlpm.valuta = "USD", _xlpm.valuta = "$"), "$",
    OR(_xlpm.valuta = "EUR", _xlpm.valuta = "€"), "€",
    TRUE, _xlpm.valuta
  )
)</f>
        <v>$</v>
      </c>
      <c r="M144" s="3" t="str">
        <f>"E" &amp; TEXT(VALUE(SUBSTITUTE(SUBSTITUTE(SUBSTITUTE(UPPER(TRIM('Sales_RAW(BEFORE)'!L148)), "EMP", ""), "E", ""), "-", "")),"000")</f>
        <v>E014</v>
      </c>
      <c r="N144" s="3" t="str">
        <f>_xlfn.XLOOKUP(M144,Employees!$D$2:$D$26,Employees!$A$2:$A$26)</f>
        <v>Sophia Brown</v>
      </c>
      <c r="O144" s="3" t="str">
        <f>_xlfn.XLOOKUP(N144,Employees!$A$2:$A$26,Employees!$C$2:$C$26,2)</f>
        <v>Online</v>
      </c>
      <c r="P144" s="3" t="str">
        <f>PROPER('Sales_RAW(BEFORE)'!N148)</f>
        <v>South</v>
      </c>
      <c r="Q144" s="3" t="str">
        <f>VLOOKUP(N144,Employees!$A$2:$B$26,2,FALSE)</f>
        <v>New York</v>
      </c>
      <c r="R144" s="3" t="str">
        <f>PROPER('Sales_RAW(BEFORE)'!P148)</f>
        <v xml:space="preserve">Globex Inc   </v>
      </c>
      <c r="S144" s="3" t="str">
        <f>SUBSTITUTE(SUBSTITUTE('Sales_RAW(BEFORE)'!Q148,"EIN",""),":","")</f>
        <v>922824366</v>
      </c>
      <c r="T144" s="3" t="s">
        <v>134</v>
      </c>
      <c r="U144" s="3" t="s">
        <v>2600</v>
      </c>
      <c r="V144" s="3" t="s">
        <v>2601</v>
      </c>
      <c r="W144" s="3" t="s">
        <v>2602</v>
      </c>
      <c r="X144" s="3" t="s">
        <v>173</v>
      </c>
      <c r="Y144" s="3" t="str">
        <f>PROPER('Sales_RAW(BEFORE)'!W148)</f>
        <v>Wire Transfer</v>
      </c>
      <c r="Z144" s="3" t="str">
        <f>PROPER('Sales_RAW(BEFORE)'!X148)</f>
        <v>Delivered</v>
      </c>
      <c r="AA144" s="3" t="str" cm="1">
        <f t="array" ref="AA144">_xlfn.LET(
  _xlpm.val, TRIM(LOWER('Sales_RAW(BEFORE)'!Y148)),
  _xlfn.IFS(
    OR(_xlpm.val="yes", _xlpm.val="paid"), "Paid",
    OR(_xlpm.val="no", _xlpm.val="unpaid"), "Unpaid",
    OR(_xlpm.val="partial", _xlpm.val="partial paid"), "Partial",
    _xlpm.val="", "",
    TRUE, 'Sales_RAW(BEFORE)'!AY148
  )
)</f>
        <v>Unpaid</v>
      </c>
      <c r="AB144" s="3" t="s">
        <v>2603</v>
      </c>
      <c r="AC144" s="3" t="str">
        <f>PROPER('Sales_RAW(BEFORE)'!AA148)</f>
        <v>Phone</v>
      </c>
      <c r="AD144" s="3" t="str">
        <f>SUBSTITUTE(SUBSTITUTE(SUBSTITUTE(SUBSTITUTE('Sales_RAW(BEFORE)'!AB148,"st",""),"q",""),"Q",""),"uarter","")</f>
        <v>1</v>
      </c>
      <c r="AE144" s="3" t="str">
        <f>TEXT(IFERROR(DATEVALUE('Sales_RAW(BEFORE)'!AC148 &amp; " 1"), IFERROR(DATE(2025, 'Sales_RAW(BEFORE)'!AC148, 1), 'Sales_RAW(BEFORE)'!AC148)), "mmmm")</f>
        <v>January</v>
      </c>
      <c r="AF144" s="3">
        <f>_xlfn.LET(
  _xlpm.raw, TRIM(SUBSTITUTE('Sales_RAW(BEFORE)'!AD148, "'", "")),
  _xlpm.num, IFERROR(VALUE(_xlpm.raw), 0),
  IF(_xlpm.num &lt; 100, 2000 + _xlpm.num, _xlpm.num)
)</f>
        <v>2026</v>
      </c>
      <c r="AG144" s="3" t="str">
        <f>PROPER('Sales_RAW(BEFORE)'!AE148)</f>
        <v>Immediate</v>
      </c>
      <c r="AH144" s="3" cm="1">
        <f t="array" ref="AH144">_xlfn.LET(
  _xlpm.val, LOWER(TRIM('Sales_RAW(BEFORE)'!AF148)),
  _xlfn.IFS(
    OR(_xlpm.val="", _xlpm.val="null", _xlpm.val="N/A", _xlpm.val="-", _xlpm.val="#N/A"), 0,
    ISNUMBER('Sales_RAW(BEFORE)'!AF148), 'Sales_RAW(BEFORE)'!AF148,
    TRUE, IFERROR(_xlfn.NUMBERVALUE(_xlpm.val), 0)
  )
)</f>
        <v>76</v>
      </c>
      <c r="AI144" s="5">
        <f>IF(IFERROR(VALUE(SUBSTITUTE(SUBSTITUTE(TRIM('Sales_RAW(BEFORE)'!AG148), "%", ""), ",", ".")), 0) &gt; 1, IFERROR(VALUE(SUBSTITUTE(SUBSTITUTE(TRIM('Sales_RAW(BEFORE)'!AG148), "%", ""), ",", ".")), 0) / 100, IFERROR(VALUE(SUBSTITUTE(SUBSTITUTE(TRIM('Sales_RAW(BEFORE)'!AG148), "%", ""), ",", ".")), 0))</f>
        <v>0.08</v>
      </c>
      <c r="AJ144" s="6">
        <f t="shared" si="11"/>
        <v>1191.7520000000002</v>
      </c>
      <c r="AK144" s="6">
        <f t="shared" si="12"/>
        <v>16088.652000000002</v>
      </c>
      <c r="AL144" s="6">
        <f>IFERROR(VALUE(SUBSTITUTE(SUBSTITUTE(SUBSTITUTE('Sales_RAW(BEFORE)'!AJ148,"$",""),"USD",""),",",".")),0)</f>
        <v>17</v>
      </c>
      <c r="AM144" s="3" t="str">
        <f>SUBSTITUTE(SUBSTITUTE(PROPER('Sales_RAW(BEFORE)'!AK148), "Fed Ex", "FedEx"),"Fedex","FedEx")</f>
        <v>Usps</v>
      </c>
      <c r="AN144" s="3" t="s">
        <v>2605</v>
      </c>
      <c r="AO144" s="3" t="str">
        <f>SUBSTITUTE('Sales_RAW(BEFORE)'!AM148,"kg","")</f>
        <v xml:space="preserve">25.4 </v>
      </c>
      <c r="AP144" s="3" t="str">
        <f>_xlfn.LET(
  _xlpm.raw, UPPER(TRIM('Sales_RAW(BEFORE)'!AN148)),
  _xlpm.clean, RIGHT(_xlpm.raw, 1),
  IF(OR(_xlpm.raw="", _xlpm.raw="null"), "N/A", _xlpm.clean)
)</f>
        <v>A</v>
      </c>
      <c r="AQ144" s="3">
        <v>32</v>
      </c>
      <c r="AR144" s="3" cm="1">
        <f t="array" ref="AR144">_xlfn.LET(
  _xlpm.raw, LOWER(TRIM('Sales_RAW(BEFORE)'!AP148)),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44" s="3"/>
      <c r="AT144" s="3"/>
      <c r="AU144" s="3"/>
      <c r="AV144" s="8">
        <f>IF(IFERROR(VALUE(SUBSTITUTE(SUBSTITUTE(TRIM('Sales_RAW(BEFORE)'!AT148), "%", ""), ",", ".")), 0) &gt; 1, IFERROR(VALUE(SUBSTITUTE(SUBSTITUTE(TRIM('Sales_RAW(BEFORE)'!AT148), "%", ""), ",", ".")), 0) / 100, IFERROR(VALUE(SUBSTITUTE(SUBSTITUTE(TRIM('Sales_RAW(BEFORE)'!AT148), "%", ""), ",", ".")), 0))</f>
        <v>0</v>
      </c>
      <c r="AW144" s="6">
        <f>BA144*(_xlfn.XLOOKUP(N144,Employees!$A$2:$A$26,Employees!$E$2:$E$26,2))</f>
        <v>410.26062600000006</v>
      </c>
      <c r="AX144" s="3" t="str">
        <f>PROPER('Sales_RAW(BEFORE)'!AV148)</f>
        <v>Laura Brown</v>
      </c>
      <c r="AY144" s="3" t="str">
        <f t="shared" si="13"/>
        <v>Laura Brown</v>
      </c>
      <c r="AZ144" s="3"/>
      <c r="BA144" s="24">
        <f>AK144*(1-(_xlfn.XLOOKUP(G144, Exchange_Rates!$B$8:$F$8, Exchange_Rates!$B$9:$F$9, 0)+J144))</f>
        <v>13675.354200000002</v>
      </c>
      <c r="BB144" s="7" cm="1">
        <f t="array" ref="BB144">_xlfn.LET(
  _xlpm.raw_dt, SUBSTITUTE(TRIM(C144), ".", "/"),
  _xlpm.dt, IFERROR(DATEVALUE(_xlpm.raw_dt), C144),
  _xlpm.p_code, TRIM(E144),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47138</v>
      </c>
      <c r="BC144" s="25">
        <f t="shared" si="14"/>
        <v>0</v>
      </c>
    </row>
    <row r="145" spans="1:55" ht="15.75" thickBot="1" x14ac:dyDescent="0.3">
      <c r="A145" s="3" t="s">
        <v>2606</v>
      </c>
      <c r="B145" s="10">
        <v>45658</v>
      </c>
      <c r="C145" s="4">
        <v>45670</v>
      </c>
      <c r="D145" s="3" t="str">
        <f>"P-" &amp; TEXT(VALUE(SUBSTITUTE(SUBSTITUTE(SUBSTITUTE(UPPER(TRIM('Sales_RAW(BEFORE)'!D149)), "P", ""), "-", ""), "_", "")),"000")</f>
        <v>P-017</v>
      </c>
      <c r="E145" s="3" t="str">
        <f>VLOOKUP(D145,Product_List!$A$2:$B$61,2,FALSE)</f>
        <v>Chair Max 17</v>
      </c>
      <c r="F145" s="3" t="str">
        <f>_xlfn.XLOOKUP(E145,Product_List!$B$2:$B$61,Product_List!$E$2:$E$61,2)</f>
        <v>BestParts</v>
      </c>
      <c r="G145" s="3" t="str">
        <f>VLOOKUP(E145,Product_List!$B$2:$C$61,2,FALSE)</f>
        <v>Software</v>
      </c>
      <c r="H145" s="3" t="str">
        <f>SUBSTITUTE(SUBSTITUTE('Sales_RAW(BEFORE)'!G149,"kom",""),".","")</f>
        <v>40</v>
      </c>
      <c r="I145" s="6">
        <f>VLOOKUP(E145,Product_List!$B$2:$D$61,3,FALSE)</f>
        <v>1313.33</v>
      </c>
      <c r="J145" s="5">
        <f>IF(IFERROR(VALUE(SUBSTITUTE(SUBSTITUTE(TRIM('Sales_RAW(BEFORE)'!I149), "%", ""), ",", ".")), 0) &gt; 1, IFERROR(VALUE(SUBSTITUTE(SUBSTITUTE(TRIM('Sales_RAW(BEFORE)'!I149), "%", ""), ",", ".")), 0) / 100, IFERROR(VALUE(SUBSTITUTE(SUBSTITUTE(TRIM('Sales_RAW(BEFORE)'!I149), "%", ""), ",", ".")), 0))</f>
        <v>0.05</v>
      </c>
      <c r="K145" s="6">
        <f t="shared" si="10"/>
        <v>52533.2</v>
      </c>
      <c r="L145" s="6" t="str" cm="1">
        <f t="array" ref="L145">_xlfn.LET(
  _xlpm.valuta, UPPER(TRIM('Sales_RAW(BEFORE)'!K149)),
  _xlfn.IFS(
    _xlpm.valuta = "", "",
    OR(_xlpm.valuta = "USD", _xlpm.valuta = "$"), "$",
    OR(_xlpm.valuta = "EUR", _xlpm.valuta = "€"), "€",
    TRUE, _xlpm.valuta
  )
)</f>
        <v>$</v>
      </c>
      <c r="M145" s="3" t="str">
        <f>"E" &amp; TEXT(VALUE(SUBSTITUTE(SUBSTITUTE(SUBSTITUTE(UPPER(TRIM('Sales_RAW(BEFORE)'!L149)), "EMP", ""), "E", ""), "-", "")),"000")</f>
        <v>E025</v>
      </c>
      <c r="N145" s="3" t="str">
        <f>_xlfn.XLOOKUP(M145,Employees!$D$2:$D$26,Employees!$A$2:$A$26)</f>
        <v>Chris Johnson</v>
      </c>
      <c r="O145" s="3" t="str">
        <f>_xlfn.XLOOKUP(N145,Employees!$A$2:$A$26,Employees!$C$2:$C$26,2)</f>
        <v>Sales</v>
      </c>
      <c r="P145" s="3" t="str">
        <f>PROPER('Sales_RAW(BEFORE)'!N149)</f>
        <v>East</v>
      </c>
      <c r="Q145" s="3" t="str">
        <f>VLOOKUP(N145,Employees!$A$2:$B$26,2,FALSE)</f>
        <v>Boston</v>
      </c>
      <c r="R145" s="3" t="str">
        <f>PROPER('Sales_RAW(BEFORE)'!P149)</f>
        <v xml:space="preserve">Globex Llc </v>
      </c>
      <c r="S145" s="3" t="str">
        <f>SUBSTITUTE(SUBSTITUTE('Sales_RAW(BEFORE)'!Q149,"EIN",""),":","")</f>
        <v xml:space="preserve"> 275732917</v>
      </c>
      <c r="T145" s="3" t="s">
        <v>307</v>
      </c>
      <c r="U145" s="3" t="s">
        <v>2617</v>
      </c>
      <c r="V145" s="3" t="s">
        <v>2618</v>
      </c>
      <c r="W145" s="3" t="s">
        <v>2619</v>
      </c>
      <c r="X145" s="3" t="s">
        <v>173</v>
      </c>
      <c r="Y145" s="3" t="str">
        <f>PROPER('Sales_RAW(BEFORE)'!W149)</f>
        <v>Credit Card</v>
      </c>
      <c r="Z145" s="3" t="str">
        <f>PROPER('Sales_RAW(BEFORE)'!X149)</f>
        <v>Delivered</v>
      </c>
      <c r="AA145" s="3" t="str" cm="1">
        <f t="array" ref="AA145">_xlfn.LET(
  _xlpm.val, TRIM(LOWER('Sales_RAW(BEFORE)'!Y149)),
  _xlfn.IFS(
    OR(_xlpm.val="yes", _xlpm.val="paid"), "Paid",
    OR(_xlpm.val="no", _xlpm.val="unpaid"), "Unpaid",
    OR(_xlpm.val="partial", _xlpm.val="partial paid"), "Partial",
    _xlpm.val="", "",
    TRUE, 'Sales_RAW(BEFORE)'!AY149
  )
)</f>
        <v>Paid</v>
      </c>
      <c r="AB145" s="3" t="s">
        <v>2620</v>
      </c>
      <c r="AC145" s="3" t="str">
        <f>PROPER('Sales_RAW(BEFORE)'!AA149)</f>
        <v>Phone</v>
      </c>
      <c r="AD145" s="3" t="str">
        <f>SUBSTITUTE(SUBSTITUTE(SUBSTITUTE(SUBSTITUTE('Sales_RAW(BEFORE)'!AB149,"st",""),"q",""),"Q",""),"uarter","")</f>
        <v xml:space="preserve">1 </v>
      </c>
      <c r="AE145" s="3" t="str">
        <f>TEXT(IFERROR(DATEVALUE('Sales_RAW(BEFORE)'!AC149 &amp; " 1"), IFERROR(DATE(2025, 'Sales_RAW(BEFORE)'!AC149, 1), 'Sales_RAW(BEFORE)'!AC149)), "mmmm")</f>
        <v>January</v>
      </c>
      <c r="AF145" s="3">
        <f>_xlfn.LET(
  _xlpm.raw, TRIM(SUBSTITUTE('Sales_RAW(BEFORE)'!AD149, "'", "")),
  _xlpm.num, IFERROR(VALUE(_xlpm.raw), 0),
  IF(_xlpm.num &lt; 100, 2000 + _xlpm.num, _xlpm.num)
)</f>
        <v>2025</v>
      </c>
      <c r="AG145" s="3" t="str">
        <f>PROPER('Sales_RAW(BEFORE)'!AE149)</f>
        <v>Immediate</v>
      </c>
      <c r="AH145" s="3" cm="1">
        <f t="array" ref="AH145">_xlfn.LET(
  _xlpm.val, LOWER(TRIM('Sales_RAW(BEFORE)'!AF149)),
  _xlfn.IFS(
    OR(_xlpm.val="", _xlpm.val="null", _xlpm.val="N/A", _xlpm.val="-", _xlpm.val="#N/A"), 0,
    ISNUMBER('Sales_RAW(BEFORE)'!AF149), 'Sales_RAW(BEFORE)'!AF149,
    TRUE, IFERROR(_xlfn.NUMBERVALUE(_xlpm.val), 0)
  )
)</f>
        <v>19</v>
      </c>
      <c r="AI145" s="5">
        <f>IF(IFERROR(VALUE(SUBSTITUTE(SUBSTITUTE(TRIM('Sales_RAW(BEFORE)'!AG149), "%", ""), ",", ".")), 0) &gt; 1, IFERROR(VALUE(SUBSTITUTE(SUBSTITUTE(TRIM('Sales_RAW(BEFORE)'!AG149), "%", ""), ",", ".")), 0) / 100, IFERROR(VALUE(SUBSTITUTE(SUBSTITUTE(TRIM('Sales_RAW(BEFORE)'!AG149), "%", ""), ",", ".")), 0))</f>
        <v>0.08</v>
      </c>
      <c r="AJ145" s="6">
        <f t="shared" si="11"/>
        <v>4202.6559999999999</v>
      </c>
      <c r="AK145" s="6">
        <f t="shared" si="12"/>
        <v>56735.856</v>
      </c>
      <c r="AL145" s="6">
        <f>IFERROR(VALUE(SUBSTITUTE(SUBSTITUTE(SUBSTITUTE('Sales_RAW(BEFORE)'!AJ149,"$",""),"USD",""),",",".")),0)</f>
        <v>47.73</v>
      </c>
      <c r="AM145" s="3" t="str">
        <f>SUBSTITUTE(SUBSTITUTE(PROPER('Sales_RAW(BEFORE)'!AK149), "Fed Ex", "FedEx"),"Fedex","FedEx")</f>
        <v>Usps</v>
      </c>
      <c r="AN145" s="3" t="s">
        <v>2621</v>
      </c>
      <c r="AO145" s="3" t="str">
        <f>SUBSTITUTE('Sales_RAW(BEFORE)'!AM149,"kg","")</f>
        <v>17,46</v>
      </c>
      <c r="AP145" s="3" t="str">
        <f>_xlfn.LET(
  _xlpm.raw, UPPER(TRIM('Sales_RAW(BEFORE)'!AN149)),
  _xlpm.clean, RIGHT(_xlpm.raw, 1),
  IF(OR(_xlpm.raw="", _xlpm.raw="null"), "N/A", _xlpm.clean)
)</f>
        <v>B</v>
      </c>
      <c r="AQ145" s="3">
        <v>475</v>
      </c>
      <c r="AR145" s="3" cm="1">
        <f t="array" ref="AR145">_xlfn.LET(
  _xlpm.raw, LOWER(TRIM('Sales_RAW(BEFORE)'!AP149)),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145" s="3"/>
      <c r="AT145" s="3"/>
      <c r="AU145" s="3"/>
      <c r="AV145" s="8">
        <f>IF(IFERROR(VALUE(SUBSTITUTE(SUBSTITUTE(TRIM('Sales_RAW(BEFORE)'!AT149), "%", ""), ",", ".")), 0) &gt; 1, IFERROR(VALUE(SUBSTITUTE(SUBSTITUTE(TRIM('Sales_RAW(BEFORE)'!AT149), "%", ""), ",", ".")), 0) / 100, IFERROR(VALUE(SUBSTITUTE(SUBSTITUTE(TRIM('Sales_RAW(BEFORE)'!AT149), "%", ""), ",", ".")), 0))</f>
        <v>0.15</v>
      </c>
      <c r="AW145" s="6">
        <f>BA145*(_xlfn.XLOOKUP(N145,Employees!$A$2:$A$26,Employees!$E$2:$E$26,2))</f>
        <v>2269.43424</v>
      </c>
      <c r="AX145" s="3" t="str">
        <f>PROPER('Sales_RAW(BEFORE)'!AV149)</f>
        <v xml:space="preserve">Michael Miller </v>
      </c>
      <c r="AY145" s="3" t="str">
        <f t="shared" si="13"/>
        <v xml:space="preserve">Michael Miller </v>
      </c>
      <c r="AZ145" s="3"/>
      <c r="BA145" s="24">
        <f>AK145*(1-(_xlfn.XLOOKUP(G145, Exchange_Rates!$B$8:$F$8, Exchange_Rates!$B$9:$F$9, 0)+J145))</f>
        <v>45388.684800000003</v>
      </c>
      <c r="BB145" s="7" cm="1">
        <f t="array" ref="BB145">_xlfn.LET(
  _xlpm.raw_dt, SUBSTITUTE(TRIM(C145), ".", "/"),
  _xlpm.dt, IFERROR(DATEVALUE(_xlpm.raw_dt), C145),
  _xlpm.p_code, TRIM(E145),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46400</v>
      </c>
      <c r="BC145" s="25">
        <f t="shared" si="14"/>
        <v>6808.3027200000006</v>
      </c>
    </row>
    <row r="146" spans="1:55" ht="15.75" thickBot="1" x14ac:dyDescent="0.3">
      <c r="A146" s="3" t="s">
        <v>2626</v>
      </c>
      <c r="B146" s="10">
        <v>45676</v>
      </c>
      <c r="C146" s="4">
        <v>45677</v>
      </c>
      <c r="D146" s="3" t="str">
        <f>"P-" &amp; TEXT(VALUE(SUBSTITUTE(SUBSTITUTE(SUBSTITUTE(UPPER(TRIM('Sales_RAW(BEFORE)'!D150)), "P", ""), "-", ""), "_", "")),"000")</f>
        <v>P-058</v>
      </c>
      <c r="E146" s="3" t="str">
        <f>VLOOKUP(D146,Product_List!$A$2:$B$61,2,FALSE)</f>
        <v>Laptop Pro 58</v>
      </c>
      <c r="F146" s="3" t="str">
        <f>_xlfn.XLOOKUP(E146,Product_List!$B$2:$B$61,Product_List!$E$2:$E$61,2)</f>
        <v>Global Distrib</v>
      </c>
      <c r="G146" s="3" t="str">
        <f>VLOOKUP(E146,Product_List!$B$2:$C$61,2,FALSE)</f>
        <v>Furniture</v>
      </c>
      <c r="H146" s="3" t="str">
        <f>SUBSTITUTE(SUBSTITUTE('Sales_RAW(BEFORE)'!G150,"kom",""),".","")</f>
        <v>40</v>
      </c>
      <c r="I146" s="6">
        <f>VLOOKUP(E146,Product_List!$B$2:$D$61,3,FALSE)</f>
        <v>711</v>
      </c>
      <c r="J146" s="5">
        <f>IF(IFERROR(VALUE(SUBSTITUTE(SUBSTITUTE(TRIM('Sales_RAW(BEFORE)'!I150), "%", ""), ",", ".")), 0) &gt; 1, IFERROR(VALUE(SUBSTITUTE(SUBSTITUTE(TRIM('Sales_RAW(BEFORE)'!I150), "%", ""), ",", ".")), 0) / 100, IFERROR(VALUE(SUBSTITUTE(SUBSTITUTE(TRIM('Sales_RAW(BEFORE)'!I150), "%", ""), ",", ".")), 0))</f>
        <v>0</v>
      </c>
      <c r="K146" s="6">
        <f t="shared" si="10"/>
        <v>28440</v>
      </c>
      <c r="L146" s="6" t="str" cm="1">
        <f t="array" ref="L146">_xlfn.LET(
  _xlpm.valuta, UPPER(TRIM('Sales_RAW(BEFORE)'!K150)),
  _xlfn.IFS(
    _xlpm.valuta = "", "",
    OR(_xlpm.valuta = "USD", _xlpm.valuta = "$"), "$",
    OR(_xlpm.valuta = "EUR", _xlpm.valuta = "€"), "€",
    TRUE, _xlpm.valuta
  )
)</f>
        <v>$</v>
      </c>
      <c r="M146" s="3" t="str">
        <f>"E" &amp; TEXT(VALUE(SUBSTITUTE(SUBSTITUTE(SUBSTITUTE(UPPER(TRIM('Sales_RAW(BEFORE)'!L150)), "EMP", ""), "E", ""), "-", "")),"000")</f>
        <v>E001</v>
      </c>
      <c r="N146" s="3" t="str">
        <f>_xlfn.XLOOKUP(M146,Employees!$D$2:$D$26,Employees!$A$2:$A$26)</f>
        <v>Sarah Wilson</v>
      </c>
      <c r="O146" s="3" t="str">
        <f>_xlfn.XLOOKUP(N146,Employees!$A$2:$A$26,Employees!$C$2:$C$26,2)</f>
        <v>Online</v>
      </c>
      <c r="P146" s="3" t="str">
        <f>PROPER('Sales_RAW(BEFORE)'!N150)</f>
        <v>West</v>
      </c>
      <c r="Q146" s="3" t="str">
        <f>VLOOKUP(N146,Employees!$A$2:$B$26,2,FALSE)</f>
        <v>Los Angeles</v>
      </c>
      <c r="R146" s="3" t="str">
        <f>PROPER('Sales_RAW(BEFORE)'!P150)</f>
        <v>Wayne Inc.</v>
      </c>
      <c r="S146" s="3" t="str">
        <f>SUBSTITUTE(SUBSTITUTE('Sales_RAW(BEFORE)'!Q150,"EIN",""),":","")</f>
        <v>657803133</v>
      </c>
      <c r="T146" s="3" t="s">
        <v>1232</v>
      </c>
      <c r="U146" s="3" t="s">
        <v>2636</v>
      </c>
      <c r="V146" s="3" t="s">
        <v>2637</v>
      </c>
      <c r="W146" s="3" t="s">
        <v>2638</v>
      </c>
      <c r="X146" s="3" t="s">
        <v>173</v>
      </c>
      <c r="Y146" s="3" t="str">
        <f>PROPER('Sales_RAW(BEFORE)'!W150)</f>
        <v>Paypal</v>
      </c>
      <c r="Z146" s="3" t="str">
        <f>PROPER('Sales_RAW(BEFORE)'!X150)</f>
        <v>Delivered</v>
      </c>
      <c r="AA146" s="3" t="str" cm="1">
        <f t="array" ref="AA146">_xlfn.LET(
  _xlpm.val, TRIM(LOWER('Sales_RAW(BEFORE)'!Y150)),
  _xlfn.IFS(
    OR(_xlpm.val="yes", _xlpm.val="paid"), "Paid",
    OR(_xlpm.val="no", _xlpm.val="unpaid"), "Unpaid",
    OR(_xlpm.val="partial", _xlpm.val="partial paid"), "Partial",
    _xlpm.val="", "",
    TRUE, 'Sales_RAW(BEFORE)'!AY150
  )
)</f>
        <v>Paid</v>
      </c>
      <c r="AB146" s="3" t="s">
        <v>2639</v>
      </c>
      <c r="AC146" s="3" t="str">
        <f>PROPER('Sales_RAW(BEFORE)'!AA150)</f>
        <v>Store</v>
      </c>
      <c r="AD146" s="3" t="str">
        <f>SUBSTITUTE(SUBSTITUTE(SUBSTITUTE(SUBSTITUTE('Sales_RAW(BEFORE)'!AB150,"st",""),"q",""),"Q",""),"uarter","")</f>
        <v>1</v>
      </c>
      <c r="AE146" s="3" t="str">
        <f>TEXT(IFERROR(DATEVALUE('Sales_RAW(BEFORE)'!AC150 &amp; " 1"), IFERROR(DATE(2025, 'Sales_RAW(BEFORE)'!AC150, 1), 'Sales_RAW(BEFORE)'!AC150)), "mmmm")</f>
        <v>January</v>
      </c>
      <c r="AF146" s="3">
        <f>_xlfn.LET(
  _xlpm.raw, TRIM(SUBSTITUTE('Sales_RAW(BEFORE)'!AD150, "'", "")),
  _xlpm.num, IFERROR(VALUE(_xlpm.raw), 0),
  IF(_xlpm.num &lt; 100, 2000 + _xlpm.num, _xlpm.num)
)</f>
        <v>2025</v>
      </c>
      <c r="AG146" s="3" t="str">
        <f>PROPER('Sales_RAW(BEFORE)'!AE150)</f>
        <v>Net 60</v>
      </c>
      <c r="AH146" s="3" cm="1">
        <f t="array" ref="AH146">_xlfn.LET(
  _xlpm.val, LOWER(TRIM('Sales_RAW(BEFORE)'!AF150)),
  _xlfn.IFS(
    OR(_xlpm.val="", _xlpm.val="null", _xlpm.val="N/A", _xlpm.val="-", _xlpm.val="#N/A"), 0,
    ISNUMBER('Sales_RAW(BEFORE)'!AF150), 'Sales_RAW(BEFORE)'!AF150,
    TRUE, IFERROR(_xlfn.NUMBERVALUE(_xlpm.val), 0)
  )
)</f>
        <v>13</v>
      </c>
      <c r="AI146" s="5">
        <f>IF(IFERROR(VALUE(SUBSTITUTE(SUBSTITUTE(TRIM('Sales_RAW(BEFORE)'!AG150), "%", ""), ",", ".")), 0) &gt; 1, IFERROR(VALUE(SUBSTITUTE(SUBSTITUTE(TRIM('Sales_RAW(BEFORE)'!AG150), "%", ""), ",", ".")), 0) / 100, IFERROR(VALUE(SUBSTITUTE(SUBSTITUTE(TRIM('Sales_RAW(BEFORE)'!AG150), "%", ""), ",", ".")), 0))</f>
        <v>0.08</v>
      </c>
      <c r="AJ146" s="6">
        <f t="shared" si="11"/>
        <v>2275.2000000000003</v>
      </c>
      <c r="AK146" s="6">
        <f t="shared" si="12"/>
        <v>30715.200000000001</v>
      </c>
      <c r="AL146" s="6">
        <f>IFERROR(VALUE(SUBSTITUTE(SUBSTITUTE(SUBSTITUTE('Sales_RAW(BEFORE)'!AJ150,"$",""),"USD",""),",",".")),0)</f>
        <v>38.08</v>
      </c>
      <c r="AM146" s="3" t="str">
        <f>SUBSTITUTE(SUBSTITUTE(PROPER('Sales_RAW(BEFORE)'!AK150), "Fed Ex", "FedEx"),"Fedex","FedEx")</f>
        <v>Ups</v>
      </c>
      <c r="AN146" s="3" t="s">
        <v>2641</v>
      </c>
      <c r="AO146" s="3" t="str">
        <f>SUBSTITUTE('Sales_RAW(BEFORE)'!AM150,"kg","")</f>
        <v>9.18</v>
      </c>
      <c r="AP146" s="3" t="str">
        <f>_xlfn.LET(
  _xlpm.raw, UPPER(TRIM('Sales_RAW(BEFORE)'!AN150)),
  _xlpm.clean, RIGHT(_xlpm.raw, 1),
  IF(OR(_xlpm.raw="", _xlpm.raw="null"), "N/A", _xlpm.clean)
)</f>
        <v>B</v>
      </c>
      <c r="AQ146" s="3">
        <v>392</v>
      </c>
      <c r="AR146" s="3" cm="1">
        <f t="array" ref="AR146">_xlfn.LET(
  _xlpm.raw, LOWER(TRIM('Sales_RAW(BEFORE)'!AP150)),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46" s="3"/>
      <c r="AT146" s="3"/>
      <c r="AU146" s="3"/>
      <c r="AV146" s="8">
        <f>IF(IFERROR(VALUE(SUBSTITUTE(SUBSTITUTE(TRIM('Sales_RAW(BEFORE)'!AT150), "%", ""), ",", ".")), 0) &gt; 1, IFERROR(VALUE(SUBSTITUTE(SUBSTITUTE(TRIM('Sales_RAW(BEFORE)'!AT150), "%", ""), ",", ".")), 0) / 100, IFERROR(VALUE(SUBSTITUTE(SUBSTITUTE(TRIM('Sales_RAW(BEFORE)'!AT150), "%", ""), ",", ".")), 0))</f>
        <v>0.15</v>
      </c>
      <c r="AW146" s="6">
        <f>BA146*(_xlfn.XLOOKUP(N146,Employees!$A$2:$A$26,Employees!$E$2:$E$26,2))</f>
        <v>829.31039999999996</v>
      </c>
      <c r="AX146" s="3" t="str">
        <f>PROPER('Sales_RAW(BEFORE)'!AV150)</f>
        <v>Daniel Smith</v>
      </c>
      <c r="AY146" s="3" t="str">
        <f t="shared" si="13"/>
        <v>Daniel Smith</v>
      </c>
      <c r="AZ146" s="3"/>
      <c r="BA146" s="24">
        <f>AK146*(1-(_xlfn.XLOOKUP(G146, Exchange_Rates!$B$8:$F$8, Exchange_Rates!$B$9:$F$9, 0)+J146))</f>
        <v>27643.68</v>
      </c>
      <c r="BB146" s="7" cm="1">
        <f t="array" ref="BB146">_xlfn.LET(
  _xlpm.raw_dt, SUBSTITUTE(TRIM(C146), ".", "/"),
  _xlpm.dt, IFERROR(DATEVALUE(_xlpm.raw_dt), C146),
  _xlpm.p_code, TRIM(E146),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46042</v>
      </c>
      <c r="BC146" s="25">
        <f t="shared" si="14"/>
        <v>4146.5519999999997</v>
      </c>
    </row>
    <row r="147" spans="1:55" ht="15.75" thickBot="1" x14ac:dyDescent="0.3">
      <c r="A147" s="3" t="s">
        <v>2643</v>
      </c>
      <c r="B147" s="10">
        <v>45687</v>
      </c>
      <c r="C147" s="4">
        <v>45963</v>
      </c>
      <c r="D147" s="3" t="str">
        <f>"P-" &amp; TEXT(VALUE(SUBSTITUTE(SUBSTITUTE(SUBSTITUTE(UPPER(TRIM('Sales_RAW(BEFORE)'!D151)), "P", ""), "-", ""), "_", "")),"000")</f>
        <v>P-043</v>
      </c>
      <c r="E147" s="3" t="str">
        <f>VLOOKUP(D147,Product_List!$A$2:$B$61,2,FALSE)</f>
        <v>Headphones X 43</v>
      </c>
      <c r="F147" s="3" t="str">
        <f>_xlfn.XLOOKUP(E147,Product_List!$B$2:$B$61,Product_List!$E$2:$E$61,2)</f>
        <v>Global Distrib</v>
      </c>
      <c r="G147" s="3" t="str">
        <f>VLOOKUP(E147,Product_List!$B$2:$C$61,2,FALSE)</f>
        <v>Equipment</v>
      </c>
      <c r="H147" s="3" t="str">
        <f>SUBSTITUTE(SUBSTITUTE('Sales_RAW(BEFORE)'!G151,"kom",""),".","")</f>
        <v xml:space="preserve">37 </v>
      </c>
      <c r="I147" s="6">
        <f>VLOOKUP(E147,Product_List!$B$2:$D$61,3,FALSE)</f>
        <v>156.69</v>
      </c>
      <c r="J147" s="5">
        <f>IF(IFERROR(VALUE(SUBSTITUTE(SUBSTITUTE(TRIM('Sales_RAW(BEFORE)'!I151), "%", ""), ",", ".")), 0) &gt; 1, IFERROR(VALUE(SUBSTITUTE(SUBSTITUTE(TRIM('Sales_RAW(BEFORE)'!I151), "%", ""), ",", ".")), 0) / 100, IFERROR(VALUE(SUBSTITUTE(SUBSTITUTE(TRIM('Sales_RAW(BEFORE)'!I151), "%", ""), ",", ".")), 0))</f>
        <v>0.1</v>
      </c>
      <c r="K147" s="6">
        <f t="shared" si="10"/>
        <v>5797.53</v>
      </c>
      <c r="L147" s="6" t="str" cm="1">
        <f t="array" ref="L147">_xlfn.LET(
  _xlpm.valuta, UPPER(TRIM('Sales_RAW(BEFORE)'!K151)),
  _xlfn.IFS(
    _xlpm.valuta = "", "",
    OR(_xlpm.valuta = "USD", _xlpm.valuta = "$"), "$",
    OR(_xlpm.valuta = "EUR", _xlpm.valuta = "€"), "€",
    TRUE, _xlpm.valuta
  )
)</f>
        <v>$</v>
      </c>
      <c r="M147" s="3" t="str">
        <f>"E" &amp; TEXT(VALUE(SUBSTITUTE(SUBSTITUTE(SUBSTITUTE(UPPER(TRIM('Sales_RAW(BEFORE)'!L151)), "EMP", ""), "E", ""), "-", "")),"000")</f>
        <v>E025</v>
      </c>
      <c r="N147" s="3" t="str">
        <f>_xlfn.XLOOKUP(M147,Employees!$D$2:$D$26,Employees!$A$2:$A$26)</f>
        <v>Chris Johnson</v>
      </c>
      <c r="O147" s="3" t="str">
        <f>_xlfn.XLOOKUP(N147,Employees!$A$2:$A$26,Employees!$C$2:$C$26,2)</f>
        <v>Sales</v>
      </c>
      <c r="P147" s="3" t="str">
        <f>PROPER('Sales_RAW(BEFORE)'!N151)</f>
        <v>South</v>
      </c>
      <c r="Q147" s="3" t="str">
        <f>VLOOKUP(N147,Employees!$A$2:$B$26,2,FALSE)</f>
        <v>Boston</v>
      </c>
      <c r="R147" s="3" t="str">
        <f>PROPER('Sales_RAW(BEFORE)'!P151)</f>
        <v>Vortex Inc.</v>
      </c>
      <c r="S147" s="3" t="str">
        <f>SUBSTITUTE(SUBSTITUTE('Sales_RAW(BEFORE)'!Q151,"EIN",""),":","")</f>
        <v xml:space="preserve"> 700999225</v>
      </c>
      <c r="T147" s="3" t="s">
        <v>1232</v>
      </c>
      <c r="U147" s="3" t="s">
        <v>2651</v>
      </c>
      <c r="V147" s="3" t="s">
        <v>2652</v>
      </c>
      <c r="W147" s="3" t="s">
        <v>2653</v>
      </c>
      <c r="X147" s="3" t="s">
        <v>173</v>
      </c>
      <c r="Y147" s="3" t="str">
        <f>PROPER('Sales_RAW(BEFORE)'!W151)</f>
        <v>Credit Card</v>
      </c>
      <c r="Z147" s="3" t="str">
        <f>PROPER('Sales_RAW(BEFORE)'!X151)</f>
        <v>Processing</v>
      </c>
      <c r="AA147" s="3" t="str" cm="1">
        <f t="array" ref="AA147">_xlfn.LET(
  _xlpm.val, TRIM(LOWER('Sales_RAW(BEFORE)'!Y151)),
  _xlfn.IFS(
    OR(_xlpm.val="yes", _xlpm.val="paid"), "Paid",
    OR(_xlpm.val="no", _xlpm.val="unpaid"), "Unpaid",
    OR(_xlpm.val="partial", _xlpm.val="partial paid"), "Partial",
    _xlpm.val="", "",
    TRUE, 'Sales_RAW(BEFORE)'!AY151
  )
)</f>
        <v>Paid</v>
      </c>
      <c r="AB147" s="3" t="s">
        <v>2654</v>
      </c>
      <c r="AC147" s="3" t="str">
        <f>PROPER('Sales_RAW(BEFORE)'!AA151)</f>
        <v>Online</v>
      </c>
      <c r="AD147" s="3" t="str">
        <f>SUBSTITUTE(SUBSTITUTE(SUBSTITUTE(SUBSTITUTE('Sales_RAW(BEFORE)'!AB151,"st",""),"q",""),"Q",""),"uarter","")</f>
        <v>1</v>
      </c>
      <c r="AE147" s="3" t="str">
        <f>TEXT(IFERROR(DATEVALUE('Sales_RAW(BEFORE)'!AC151 &amp; " 1"), IFERROR(DATE(2025, 'Sales_RAW(BEFORE)'!AC151, 1), 'Sales_RAW(BEFORE)'!AC151)), "mmmm")</f>
        <v>January</v>
      </c>
      <c r="AF147" s="3">
        <f>_xlfn.LET(
  _xlpm.raw, TRIM(SUBSTITUTE('Sales_RAW(BEFORE)'!AD151, "'", "")),
  _xlpm.num, IFERROR(VALUE(_xlpm.raw), 0),
  IF(_xlpm.num &lt; 100, 2000 + _xlpm.num, _xlpm.num)
)</f>
        <v>2025</v>
      </c>
      <c r="AG147" s="3" t="str">
        <f>PROPER('Sales_RAW(BEFORE)'!AE151)</f>
        <v>Immediate</v>
      </c>
      <c r="AH147" s="3" cm="1">
        <f t="array" ref="AH147">_xlfn.LET(
  _xlpm.val, LOWER(TRIM('Sales_RAW(BEFORE)'!AF151)),
  _xlfn.IFS(
    OR(_xlpm.val="", _xlpm.val="null", _xlpm.val="N/A", _xlpm.val="-", _xlpm.val="#N/A"), 0,
    ISNUMBER('Sales_RAW(BEFORE)'!AF151), 'Sales_RAW(BEFORE)'!AF151,
    TRUE, IFERROR(_xlfn.NUMBERVALUE(_xlpm.val), 0)
  )
)</f>
        <v>0</v>
      </c>
      <c r="AI147" s="5">
        <f>IF(IFERROR(VALUE(SUBSTITUTE(SUBSTITUTE(TRIM('Sales_RAW(BEFORE)'!AG151), "%", ""), ",", ".")), 0) &gt; 1, IFERROR(VALUE(SUBSTITUTE(SUBSTITUTE(TRIM('Sales_RAW(BEFORE)'!AG151), "%", ""), ",", ".")), 0) / 100, IFERROR(VALUE(SUBSTITUTE(SUBSTITUTE(TRIM('Sales_RAW(BEFORE)'!AG151), "%", ""), ",", ".")), 0))</f>
        <v>0.08</v>
      </c>
      <c r="AJ147" s="6">
        <f t="shared" si="11"/>
        <v>463.80239999999998</v>
      </c>
      <c r="AK147" s="6">
        <f t="shared" si="12"/>
        <v>6261.3323999999993</v>
      </c>
      <c r="AL147" s="6">
        <f>IFERROR(VALUE(SUBSTITUTE(SUBSTITUTE(SUBSTITUTE('Sales_RAW(BEFORE)'!AJ151,"$",""),"USD",""),",",".")),0)</f>
        <v>6.45</v>
      </c>
      <c r="AM147" s="3" t="str">
        <f>SUBSTITUTE(SUBSTITUTE(PROPER('Sales_RAW(BEFORE)'!AK151), "Fed Ex", "FedEx"),"Fedex","FedEx")</f>
        <v>Ups</v>
      </c>
      <c r="AN147" s="3" t="s">
        <v>2656</v>
      </c>
      <c r="AO147" s="3" t="str">
        <f>SUBSTITUTE('Sales_RAW(BEFORE)'!AM151,"kg","")</f>
        <v xml:space="preserve">16.7 </v>
      </c>
      <c r="AP147" s="3" t="str">
        <f>_xlfn.LET(
  _xlpm.raw, UPPER(TRIM('Sales_RAW(BEFORE)'!AN151)),
  _xlpm.clean, RIGHT(_xlpm.raw, 1),
  IF(OR(_xlpm.raw="", _xlpm.raw="null"), "N/A", _xlpm.clean)
)</f>
        <v>B</v>
      </c>
      <c r="AQ147" s="3">
        <v>406</v>
      </c>
      <c r="AR147" s="3" cm="1">
        <f t="array" ref="AR147">_xlfn.LET(
  _xlpm.raw, LOWER(TRIM('Sales_RAW(BEFORE)'!AP151)),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147" s="3"/>
      <c r="AT147" s="3"/>
      <c r="AU147" s="3"/>
      <c r="AV147" s="8">
        <f>IF(IFERROR(VALUE(SUBSTITUTE(SUBSTITUTE(TRIM('Sales_RAW(BEFORE)'!AT151), "%", ""), ",", ".")), 0) &gt; 1, IFERROR(VALUE(SUBSTITUTE(SUBSTITUTE(TRIM('Sales_RAW(BEFORE)'!AT151), "%", ""), ",", ".")), 0) / 100, IFERROR(VALUE(SUBSTITUTE(SUBSTITUTE(TRIM('Sales_RAW(BEFORE)'!AT151), "%", ""), ",", ".")), 0))</f>
        <v>0.3</v>
      </c>
      <c r="AW147" s="6">
        <f>BA147*(_xlfn.XLOOKUP(N147,Employees!$A$2:$A$26,Employees!$E$2:$E$26,2))</f>
        <v>250.45329600000002</v>
      </c>
      <c r="AX147" s="3" t="str">
        <f>PROPER('Sales_RAW(BEFORE)'!AV151)</f>
        <v>Daniel Jones</v>
      </c>
      <c r="AY147" s="3" t="str">
        <f t="shared" si="13"/>
        <v>Daniel Jones</v>
      </c>
      <c r="AZ147" s="3"/>
      <c r="BA147" s="24">
        <f>AK147*(1-(_xlfn.XLOOKUP(G147, Exchange_Rates!$B$8:$F$8, Exchange_Rates!$B$9:$F$9, 0)+J147))</f>
        <v>5009.06592</v>
      </c>
      <c r="BB147" s="7" cm="1">
        <f t="array" ref="BB147">_xlfn.LET(
  _xlpm.raw_dt, SUBSTITUTE(TRIM(C147), ".", "/"),
  _xlpm.dt, IFERROR(DATEVALUE(_xlpm.raw_dt), C147),
  _xlpm.p_code, TRIM(E147),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46328</v>
      </c>
      <c r="BC147" s="25">
        <f t="shared" si="14"/>
        <v>1502.7197759999999</v>
      </c>
    </row>
    <row r="148" spans="1:55" ht="15.75" thickBot="1" x14ac:dyDescent="0.3">
      <c r="A148" s="3" t="s">
        <v>2660</v>
      </c>
      <c r="B148" s="10">
        <v>46248</v>
      </c>
      <c r="C148" s="4" t="s">
        <v>91</v>
      </c>
      <c r="D148" s="3" t="str">
        <f>"P-" &amp; TEXT(VALUE(SUBSTITUTE(SUBSTITUTE(SUBSTITUTE(UPPER(TRIM('Sales_RAW(BEFORE)'!D152)), "P", ""), "-", ""), "_", "")),"000")</f>
        <v>P-059</v>
      </c>
      <c r="E148" s="3" t="str">
        <f>VLOOKUP(D148,Product_List!$A$2:$B$61,2,FALSE)</f>
        <v>Keyboard Max 59</v>
      </c>
      <c r="F148" s="3" t="str">
        <f>_xlfn.XLOOKUP(E148,Product_List!$B$2:$B$61,Product_List!$E$2:$E$61,2)</f>
        <v>OfficeHub</v>
      </c>
      <c r="G148" s="3" t="str">
        <f>VLOOKUP(E148,Product_List!$B$2:$C$61,2,FALSE)</f>
        <v>Furniture</v>
      </c>
      <c r="H148" s="3" t="str">
        <f>SUBSTITUTE(SUBSTITUTE('Sales_RAW(BEFORE)'!G152,"kom",""),".","")</f>
        <v>39</v>
      </c>
      <c r="I148" s="6">
        <f>VLOOKUP(E148,Product_List!$B$2:$D$61,3,FALSE)</f>
        <v>673.61</v>
      </c>
      <c r="J148" s="5">
        <f>IF(IFERROR(VALUE(SUBSTITUTE(SUBSTITUTE(TRIM('Sales_RAW(BEFORE)'!I152), "%", ""), ",", ".")), 0) &gt; 1, IFERROR(VALUE(SUBSTITUTE(SUBSTITUTE(TRIM('Sales_RAW(BEFORE)'!I152), "%", ""), ",", ".")), 0) / 100, IFERROR(VALUE(SUBSTITUTE(SUBSTITUTE(TRIM('Sales_RAW(BEFORE)'!I152), "%", ""), ",", ".")), 0))</f>
        <v>0</v>
      </c>
      <c r="K148" s="6">
        <f t="shared" si="10"/>
        <v>26270.79</v>
      </c>
      <c r="L148" s="6" t="str" cm="1">
        <f t="array" ref="L148">_xlfn.LET(
  _xlpm.valuta, UPPER(TRIM('Sales_RAW(BEFORE)'!K152)),
  _xlfn.IFS(
    _xlpm.valuta = "", "",
    OR(_xlpm.valuta = "USD", _xlpm.valuta = "$"), "$",
    OR(_xlpm.valuta = "EUR", _xlpm.valuta = "€"), "€",
    TRUE, _xlpm.valuta
  )
)</f>
        <v>$</v>
      </c>
      <c r="M148" s="3" t="str">
        <f>"E" &amp; TEXT(VALUE(SUBSTITUTE(SUBSTITUTE(SUBSTITUTE(UPPER(TRIM('Sales_RAW(BEFORE)'!L152)), "EMP", ""), "E", ""), "-", "")),"000")</f>
        <v>E007</v>
      </c>
      <c r="N148" s="3" t="str">
        <f>_xlfn.XLOOKUP(M148,Employees!$D$2:$D$26,Employees!$A$2:$A$26)</f>
        <v>Emma Johnson</v>
      </c>
      <c r="O148" s="3" t="str">
        <f>_xlfn.XLOOKUP(N148,Employees!$A$2:$A$26,Employees!$C$2:$C$26,2)</f>
        <v>Wholesale</v>
      </c>
      <c r="P148" s="3" t="str">
        <f>PROPER('Sales_RAW(BEFORE)'!N152)</f>
        <v>North</v>
      </c>
      <c r="Q148" s="3" t="str">
        <f>VLOOKUP(N148,Employees!$A$2:$B$26,2,FALSE)</f>
        <v>Seattle</v>
      </c>
      <c r="R148" s="3" t="str">
        <f>PROPER('Sales_RAW(BEFORE)'!P152)</f>
        <v>Wayne Inc.</v>
      </c>
      <c r="S148" s="3" t="str">
        <f>SUBSTITUTE(SUBSTITUTE('Sales_RAW(BEFORE)'!Q152,"EIN",""),":","")</f>
        <v xml:space="preserve"> 562710109</v>
      </c>
      <c r="T148" s="3" t="s">
        <v>1502</v>
      </c>
      <c r="U148" s="3" t="s">
        <v>2667</v>
      </c>
      <c r="V148" s="3" t="s">
        <v>2668</v>
      </c>
      <c r="W148" s="3" t="s">
        <v>91</v>
      </c>
      <c r="X148" s="3" t="s">
        <v>173</v>
      </c>
      <c r="Y148" s="3" t="str">
        <f>PROPER('Sales_RAW(BEFORE)'!W152)</f>
        <v>Credit Card</v>
      </c>
      <c r="Z148" s="3" t="str">
        <f>PROPER('Sales_RAW(BEFORE)'!X152)</f>
        <v>Delivered</v>
      </c>
      <c r="AA148" s="3" t="str" cm="1">
        <f t="array" ref="AA148">_xlfn.LET(
  _xlpm.val, TRIM(LOWER('Sales_RAW(BEFORE)'!Y152)),
  _xlfn.IFS(
    OR(_xlpm.val="yes", _xlpm.val="paid"), "Paid",
    OR(_xlpm.val="no", _xlpm.val="unpaid"), "Unpaid",
    OR(_xlpm.val="partial", _xlpm.val="partial paid"), "Partial",
    _xlpm.val="", "",
    TRUE, 'Sales_RAW(BEFORE)'!AY152
  )
)</f>
        <v>Paid</v>
      </c>
      <c r="AB148" s="3" t="s">
        <v>2669</v>
      </c>
      <c r="AC148" s="3" t="str">
        <f>PROPER('Sales_RAW(BEFORE)'!AA152)</f>
        <v>Web</v>
      </c>
      <c r="AD148" s="3" t="str">
        <f>SUBSTITUTE(SUBSTITUTE(SUBSTITUTE(SUBSTITUTE('Sales_RAW(BEFORE)'!AB152,"st",""),"q",""),"Q",""),"uarter","")</f>
        <v xml:space="preserve">1 </v>
      </c>
      <c r="AE148" s="3" t="str">
        <f>TEXT(IFERROR(DATEVALUE('Sales_RAW(BEFORE)'!AC152 &amp; " 1"), IFERROR(DATE(2025, 'Sales_RAW(BEFORE)'!AC152, 1), 'Sales_RAW(BEFORE)'!AC152)), "mmmm")</f>
        <v>August</v>
      </c>
      <c r="AF148" s="3">
        <f>_xlfn.LET(
  _xlpm.raw, TRIM(SUBSTITUTE('Sales_RAW(BEFORE)'!AD152, "'", "")),
  _xlpm.num, IFERROR(VALUE(_xlpm.raw), 0),
  IF(_xlpm.num &lt; 100, 2000 + _xlpm.num, _xlpm.num)
)</f>
        <v>2026</v>
      </c>
      <c r="AG148" s="3" t="str">
        <f>PROPER('Sales_RAW(BEFORE)'!AE152)</f>
        <v>15</v>
      </c>
      <c r="AH148" s="3" cm="1">
        <f t="array" ref="AH148">_xlfn.LET(
  _xlpm.val, LOWER(TRIM('Sales_RAW(BEFORE)'!AF152)),
  _xlfn.IFS(
    OR(_xlpm.val="", _xlpm.val="null", _xlpm.val="N/A", _xlpm.val="-", _xlpm.val="#N/A"), 0,
    ISNUMBER('Sales_RAW(BEFORE)'!AF152), 'Sales_RAW(BEFORE)'!AF152,
    TRUE, IFERROR(_xlfn.NUMBERVALUE(_xlpm.val), 0)
  )
)</f>
        <v>0</v>
      </c>
      <c r="AI148" s="5">
        <f>IF(IFERROR(VALUE(SUBSTITUTE(SUBSTITUTE(TRIM('Sales_RAW(BEFORE)'!AG152), "%", ""), ",", ".")), 0) &gt; 1, IFERROR(VALUE(SUBSTITUTE(SUBSTITUTE(TRIM('Sales_RAW(BEFORE)'!AG152), "%", ""), ",", ".")), 0) / 100, IFERROR(VALUE(SUBSTITUTE(SUBSTITUTE(TRIM('Sales_RAW(BEFORE)'!AG152), "%", ""), ",", ".")), 0))</f>
        <v>0.08</v>
      </c>
      <c r="AJ148" s="6">
        <f t="shared" si="11"/>
        <v>2101.6632</v>
      </c>
      <c r="AK148" s="6">
        <f t="shared" si="12"/>
        <v>28372.4532</v>
      </c>
      <c r="AL148" s="6">
        <f>IFERROR(VALUE(SUBSTITUTE(SUBSTITUTE(SUBSTITUTE('Sales_RAW(BEFORE)'!AJ152,"$",""),"USD",""),",",".")),0)</f>
        <v>15.52</v>
      </c>
      <c r="AM148" s="3" t="str">
        <f>SUBSTITUTE(SUBSTITUTE(PROPER('Sales_RAW(BEFORE)'!AK152), "Fed Ex", "FedEx"),"Fedex","FedEx")</f>
        <v>FedEx</v>
      </c>
      <c r="AN148" s="3" t="s">
        <v>2670</v>
      </c>
      <c r="AO148" s="3" t="str">
        <f>SUBSTITUTE('Sales_RAW(BEFORE)'!AM152,"kg","")</f>
        <v xml:space="preserve">9.9 </v>
      </c>
      <c r="AP148" s="3" t="str">
        <f>_xlfn.LET(
  _xlpm.raw, UPPER(TRIM('Sales_RAW(BEFORE)'!AN152)),
  _xlpm.clean, RIGHT(_xlpm.raw, 1),
  IF(OR(_xlpm.raw="", _xlpm.raw="null"), "N/A", _xlpm.clean)
)</f>
        <v>C</v>
      </c>
      <c r="AQ148" s="3">
        <v>231</v>
      </c>
      <c r="AR148" s="3" cm="1">
        <f t="array" ref="AR148">_xlfn.LET(
  _xlpm.raw, LOWER(TRIM('Sales_RAW(BEFORE)'!AP152)),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148" s="3"/>
      <c r="AT148" s="3"/>
      <c r="AU148" s="3"/>
      <c r="AV148" s="8">
        <f>IF(IFERROR(VALUE(SUBSTITUTE(SUBSTITUTE(TRIM('Sales_RAW(BEFORE)'!AT152), "%", ""), ",", ".")), 0) &gt; 1, IFERROR(VALUE(SUBSTITUTE(SUBSTITUTE(TRIM('Sales_RAW(BEFORE)'!AT152), "%", ""), ",", ".")), 0) / 100, IFERROR(VALUE(SUBSTITUTE(SUBSTITUTE(TRIM('Sales_RAW(BEFORE)'!AT152), "%", ""), ",", ".")), 0))</f>
        <v>0.18</v>
      </c>
      <c r="AW148" s="6">
        <f>BA148*(_xlfn.XLOOKUP(N148,Employees!$A$2:$A$26,Employees!$E$2:$E$26,2))</f>
        <v>766.05623639999999</v>
      </c>
      <c r="AX148" s="3" t="str">
        <f>PROPER('Sales_RAW(BEFORE)'!AV152)</f>
        <v>Daniel Anderson</v>
      </c>
      <c r="AY148" s="3" t="str">
        <f t="shared" si="13"/>
        <v>Daniel Anderson</v>
      </c>
      <c r="AZ148" s="3"/>
      <c r="BA148" s="24">
        <f>AK148*(1-(_xlfn.XLOOKUP(G148, Exchange_Rates!$B$8:$F$8, Exchange_Rates!$B$9:$F$9, 0)+J148))</f>
        <v>25535.207880000002</v>
      </c>
      <c r="BB148" s="7" t="str" cm="1">
        <f t="array" ref="BB148">_xlfn.LET(
  _xlpm.raw_dt, SUBSTITUTE(TRIM(C148), ".", "/"),
  _xlpm.dt, IFERROR(DATEVALUE(_xlpm.raw_dt), C148),
  _xlpm.p_code, TRIM(E148),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Empty</v>
      </c>
      <c r="BC148" s="25">
        <f t="shared" si="14"/>
        <v>4596.3374184000004</v>
      </c>
    </row>
    <row r="149" spans="1:55" ht="15.75" thickBot="1" x14ac:dyDescent="0.3">
      <c r="A149" s="3" t="s">
        <v>2674</v>
      </c>
      <c r="B149" s="10">
        <v>46153</v>
      </c>
      <c r="C149" s="4">
        <v>46167</v>
      </c>
      <c r="D149" s="3" t="str">
        <f>"P-" &amp; TEXT(VALUE(SUBSTITUTE(SUBSTITUTE(SUBSTITUTE(UPPER(TRIM('Sales_RAW(BEFORE)'!D153)), "P", ""), "-", ""), "_", "")),"000")</f>
        <v>P-017</v>
      </c>
      <c r="E149" s="3" t="str">
        <f>VLOOKUP(D149,Product_List!$A$2:$B$61,2,FALSE)</f>
        <v>Chair Max 17</v>
      </c>
      <c r="F149" s="3" t="str">
        <f>_xlfn.XLOOKUP(E149,Product_List!$B$2:$B$61,Product_List!$E$2:$E$61,2)</f>
        <v>BestParts</v>
      </c>
      <c r="G149" s="3" t="str">
        <f>VLOOKUP(E149,Product_List!$B$2:$C$61,2,FALSE)</f>
        <v>Software</v>
      </c>
      <c r="H149" s="3" t="str">
        <f>SUBSTITUTE(SUBSTITUTE('Sales_RAW(BEFORE)'!G153,"kom",""),".","")</f>
        <v>29</v>
      </c>
      <c r="I149" s="6">
        <f>VLOOKUP(E149,Product_List!$B$2:$D$61,3,FALSE)</f>
        <v>1313.33</v>
      </c>
      <c r="J149" s="5">
        <f>IF(IFERROR(VALUE(SUBSTITUTE(SUBSTITUTE(TRIM('Sales_RAW(BEFORE)'!I153), "%", ""), ",", ".")), 0) &gt; 1, IFERROR(VALUE(SUBSTITUTE(SUBSTITUTE(TRIM('Sales_RAW(BEFORE)'!I153), "%", ""), ",", ".")), 0) / 100, IFERROR(VALUE(SUBSTITUTE(SUBSTITUTE(TRIM('Sales_RAW(BEFORE)'!I153), "%", ""), ",", ".")), 0))</f>
        <v>0.1</v>
      </c>
      <c r="K149" s="6">
        <f t="shared" si="10"/>
        <v>38086.57</v>
      </c>
      <c r="L149" s="6" t="str" cm="1">
        <f t="array" ref="L149">_xlfn.LET(
  _xlpm.valuta, UPPER(TRIM('Sales_RAW(BEFORE)'!K153)),
  _xlfn.IFS(
    _xlpm.valuta = "", "",
    OR(_xlpm.valuta = "USD", _xlpm.valuta = "$"), "$",
    OR(_xlpm.valuta = "EUR", _xlpm.valuta = "€"), "€",
    TRUE, _xlpm.valuta
  )
)</f>
        <v>$</v>
      </c>
      <c r="M149" s="3" t="str">
        <f>"E" &amp; TEXT(VALUE(SUBSTITUTE(SUBSTITUTE(SUBSTITUTE(UPPER(TRIM('Sales_RAW(BEFORE)'!L153)), "EMP", ""), "E", ""), "-", "")),"000")</f>
        <v>E010</v>
      </c>
      <c r="N149" s="3" t="str">
        <f>_xlfn.XLOOKUP(M149,Employees!$D$2:$D$26,Employees!$A$2:$A$26)</f>
        <v>Olivia Anderson</v>
      </c>
      <c r="O149" s="3" t="str">
        <f>_xlfn.XLOOKUP(N149,Employees!$A$2:$A$26,Employees!$C$2:$C$26,2)</f>
        <v>Online</v>
      </c>
      <c r="P149" s="3" t="str">
        <f>PROPER('Sales_RAW(BEFORE)'!N153)</f>
        <v>South</v>
      </c>
      <c r="Q149" s="3" t="str">
        <f>VLOOKUP(N149,Employees!$A$2:$B$26,2,FALSE)</f>
        <v>Houston</v>
      </c>
      <c r="R149" s="3" t="str">
        <f>PROPER('Sales_RAW(BEFORE)'!P153)</f>
        <v>Stark Ltd.</v>
      </c>
      <c r="S149" s="3" t="str">
        <f>SUBSTITUTE(SUBSTITUTE('Sales_RAW(BEFORE)'!Q153,"EIN",""),":","")</f>
        <v xml:space="preserve"> 738876954</v>
      </c>
      <c r="T149" s="3" t="s">
        <v>1251</v>
      </c>
      <c r="U149" s="3" t="s">
        <v>2683</v>
      </c>
      <c r="V149" s="3" t="s">
        <v>2684</v>
      </c>
      <c r="W149" s="3" t="s">
        <v>2685</v>
      </c>
      <c r="X149" s="3" t="s">
        <v>173</v>
      </c>
      <c r="Y149" s="3" t="str">
        <f>PROPER('Sales_RAW(BEFORE)'!W153)</f>
        <v>Wire Transfer</v>
      </c>
      <c r="Z149" s="3" t="str">
        <f>PROPER('Sales_RAW(BEFORE)'!X153)</f>
        <v>Delivered</v>
      </c>
      <c r="AA149" s="3" t="str" cm="1">
        <f t="array" ref="AA149">_xlfn.LET(
  _xlpm.val, TRIM(LOWER('Sales_RAW(BEFORE)'!Y153)),
  _xlfn.IFS(
    OR(_xlpm.val="yes", _xlpm.val="paid"), "Paid",
    OR(_xlpm.val="no", _xlpm.val="unpaid"), "Unpaid",
    OR(_xlpm.val="partial", _xlpm.val="partial paid"), "Partial",
    _xlpm.val="", "",
    TRUE, 'Sales_RAW(BEFORE)'!AY153
  )
)</f>
        <v>Paid</v>
      </c>
      <c r="AB149" s="3" t="s">
        <v>2686</v>
      </c>
      <c r="AC149" s="3" t="str">
        <f>PROPER('Sales_RAW(BEFORE)'!AA153)</f>
        <v>Online</v>
      </c>
      <c r="AD149" s="3" t="str">
        <f>SUBSTITUTE(SUBSTITUTE(SUBSTITUTE(SUBSTITUTE('Sales_RAW(BEFORE)'!AB153,"st",""),"q",""),"Q",""),"uarter","")</f>
        <v xml:space="preserve">1 </v>
      </c>
      <c r="AE149" s="3" t="str">
        <f>TEXT(IFERROR(DATEVALUE('Sales_RAW(BEFORE)'!AC153 &amp; " 1"), IFERROR(DATE(2025, 'Sales_RAW(BEFORE)'!AC153, 1), 'Sales_RAW(BEFORE)'!AC153)), "mmmm")</f>
        <v>May</v>
      </c>
      <c r="AF149" s="3">
        <f>_xlfn.LET(
  _xlpm.raw, TRIM(SUBSTITUTE('Sales_RAW(BEFORE)'!AD153, "'", "")),
  _xlpm.num, IFERROR(VALUE(_xlpm.raw), 0),
  IF(_xlpm.num &lt; 100, 2000 + _xlpm.num, _xlpm.num)
)</f>
        <v>2026</v>
      </c>
      <c r="AG149" s="3" t="str">
        <f>PROPER('Sales_RAW(BEFORE)'!AE153)</f>
        <v>Immediate</v>
      </c>
      <c r="AH149" s="3" cm="1">
        <f t="array" ref="AH149">_xlfn.LET(
  _xlpm.val, LOWER(TRIM('Sales_RAW(BEFORE)'!AF153)),
  _xlfn.IFS(
    OR(_xlpm.val="", _xlpm.val="null", _xlpm.val="N/A", _xlpm.val="-", _xlpm.val="#N/A"), 0,
    ISNUMBER('Sales_RAW(BEFORE)'!AF153), 'Sales_RAW(BEFORE)'!AF153,
    TRUE, IFERROR(_xlfn.NUMBERVALUE(_xlpm.val), 0)
  )
)</f>
        <v>89</v>
      </c>
      <c r="AI149" s="5">
        <f>IF(IFERROR(VALUE(SUBSTITUTE(SUBSTITUTE(TRIM('Sales_RAW(BEFORE)'!AG153), "%", ""), ",", ".")), 0) &gt; 1, IFERROR(VALUE(SUBSTITUTE(SUBSTITUTE(TRIM('Sales_RAW(BEFORE)'!AG153), "%", ""), ",", ".")), 0) / 100, IFERROR(VALUE(SUBSTITUTE(SUBSTITUTE(TRIM('Sales_RAW(BEFORE)'!AG153), "%", ""), ",", ".")), 0))</f>
        <v>0.08</v>
      </c>
      <c r="AJ149" s="6">
        <f t="shared" si="11"/>
        <v>3046.9256</v>
      </c>
      <c r="AK149" s="6">
        <f t="shared" si="12"/>
        <v>41133.495600000002</v>
      </c>
      <c r="AL149" s="6">
        <f>IFERROR(VALUE(SUBSTITUTE(SUBSTITUTE(SUBSTITUTE('Sales_RAW(BEFORE)'!AJ153,"$",""),"USD",""),",",".")),0)</f>
        <v>43.34</v>
      </c>
      <c r="AM149" s="3" t="str">
        <f>SUBSTITUTE(SUBSTITUTE(PROPER('Sales_RAW(BEFORE)'!AK153), "Fed Ex", "FedEx"),"Fedex","FedEx")</f>
        <v>FedEx</v>
      </c>
      <c r="AN149" s="3" t="s">
        <v>2688</v>
      </c>
      <c r="AO149" s="3" t="str">
        <f>SUBSTITUTE('Sales_RAW(BEFORE)'!AM153,"kg","")</f>
        <v>0,51</v>
      </c>
      <c r="AP149" s="3" t="str">
        <f>_xlfn.LET(
  _xlpm.raw, UPPER(TRIM('Sales_RAW(BEFORE)'!AN153)),
  _xlpm.clean, RIGHT(_xlpm.raw, 1),
  IF(OR(_xlpm.raw="", _xlpm.raw="null"), "N/A", _xlpm.clean)
)</f>
        <v>A</v>
      </c>
      <c r="AQ149" s="3">
        <v>251</v>
      </c>
      <c r="AR149" s="3" cm="1">
        <f t="array" ref="AR149">_xlfn.LET(
  _xlpm.raw, LOWER(TRIM('Sales_RAW(BEFORE)'!AP153)),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49" s="3"/>
      <c r="AT149" s="3"/>
      <c r="AU149" s="3"/>
      <c r="AV149" s="8">
        <f>IF(IFERROR(VALUE(SUBSTITUTE(SUBSTITUTE(TRIM('Sales_RAW(BEFORE)'!AT153), "%", ""), ",", ".")), 0) &gt; 1, IFERROR(VALUE(SUBSTITUTE(SUBSTITUTE(TRIM('Sales_RAW(BEFORE)'!AT153), "%", ""), ",", ".")), 0) / 100, IFERROR(VALUE(SUBSTITUTE(SUBSTITUTE(TRIM('Sales_RAW(BEFORE)'!AT153), "%", ""), ",", ".")), 0))</f>
        <v>0.18</v>
      </c>
      <c r="AW149" s="6">
        <f>BA149*(_xlfn.XLOOKUP(N149,Employees!$A$2:$A$26,Employees!$E$2:$E$26,2))</f>
        <v>925.5036510000001</v>
      </c>
      <c r="AX149" s="3" t="str">
        <f>PROPER('Sales_RAW(BEFORE)'!AV153)</f>
        <v>Robert Miller</v>
      </c>
      <c r="AY149" s="3" t="str">
        <f t="shared" si="13"/>
        <v>Robert Miller</v>
      </c>
      <c r="AZ149" s="3"/>
      <c r="BA149" s="24">
        <f>AK149*(1-(_xlfn.XLOOKUP(G149, Exchange_Rates!$B$8:$F$8, Exchange_Rates!$B$9:$F$9, 0)+J149))</f>
        <v>30850.121700000003</v>
      </c>
      <c r="BB149" s="7" cm="1">
        <f t="array" ref="BB149">_xlfn.LET(
  _xlpm.raw_dt, SUBSTITUTE(TRIM(C149), ".", "/"),
  _xlpm.dt, IFERROR(DATEVALUE(_xlpm.raw_dt), C149),
  _xlpm.p_code, TRIM(E149),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46898</v>
      </c>
      <c r="BC149" s="25">
        <f t="shared" si="14"/>
        <v>5553.0219059999999</v>
      </c>
    </row>
    <row r="150" spans="1:55" ht="15.75" thickBot="1" x14ac:dyDescent="0.3">
      <c r="A150" s="3" t="s">
        <v>2691</v>
      </c>
      <c r="B150" s="10">
        <v>45843</v>
      </c>
      <c r="C150" s="4" t="s">
        <v>142</v>
      </c>
      <c r="D150" s="3" t="str">
        <f>"P-" &amp; TEXT(VALUE(SUBSTITUTE(SUBSTITUTE(SUBSTITUTE(UPPER(TRIM('Sales_RAW(BEFORE)'!D154)), "P", ""), "-", ""), "_", "")),"000")</f>
        <v>P-030</v>
      </c>
      <c r="E150" s="3" t="str">
        <f>VLOOKUP(D150,Product_List!$A$2:$B$61,2,FALSE)</f>
        <v>License Pro 30</v>
      </c>
      <c r="F150" s="3" t="str">
        <f>_xlfn.XLOOKUP(E150,Product_List!$B$2:$B$61,Product_List!$E$2:$E$61,2)</f>
        <v>BestParts</v>
      </c>
      <c r="G150" s="3" t="str">
        <f>VLOOKUP(E150,Product_List!$B$2:$C$61,2,FALSE)</f>
        <v>Office</v>
      </c>
      <c r="H150" s="3" t="str">
        <f>SUBSTITUTE(SUBSTITUTE('Sales_RAW(BEFORE)'!G154,"kom",""),".","")</f>
        <v>26</v>
      </c>
      <c r="I150" s="6">
        <f>VLOOKUP(E150,Product_List!$B$2:$D$61,3,FALSE)</f>
        <v>676.54</v>
      </c>
      <c r="J150" s="5">
        <f>IF(IFERROR(VALUE(SUBSTITUTE(SUBSTITUTE(TRIM('Sales_RAW(BEFORE)'!I154), "%", ""), ",", ".")), 0) &gt; 1, IFERROR(VALUE(SUBSTITUTE(SUBSTITUTE(TRIM('Sales_RAW(BEFORE)'!I154), "%", ""), ",", ".")), 0) / 100, IFERROR(VALUE(SUBSTITUTE(SUBSTITUTE(TRIM('Sales_RAW(BEFORE)'!I154), "%", ""), ",", ".")), 0))</f>
        <v>0.1</v>
      </c>
      <c r="K150" s="6">
        <f t="shared" si="10"/>
        <v>17590.04</v>
      </c>
      <c r="L150" s="6" t="str" cm="1">
        <f t="array" ref="L150">_xlfn.LET(
  _xlpm.valuta, UPPER(TRIM('Sales_RAW(BEFORE)'!K154)),
  _xlfn.IFS(
    _xlpm.valuta = "", "",
    OR(_xlpm.valuta = "USD", _xlpm.valuta = "$"), "$",
    OR(_xlpm.valuta = "EUR", _xlpm.valuta = "€"), "€",
    TRUE, _xlpm.valuta
  )
)</f>
        <v>$</v>
      </c>
      <c r="M150" s="3" t="str">
        <f>"E" &amp; TEXT(VALUE(SUBSTITUTE(SUBSTITUTE(SUBSTITUTE(UPPER(TRIM('Sales_RAW(BEFORE)'!L154)), "EMP", ""), "E", ""), "-", "")),"000")</f>
        <v>E005</v>
      </c>
      <c r="N150" s="3" t="str">
        <f>_xlfn.XLOOKUP(M150,Employees!$D$2:$D$26,Employees!$A$2:$A$26)</f>
        <v>Laura Williams</v>
      </c>
      <c r="O150" s="3" t="str">
        <f>_xlfn.XLOOKUP(N150,Employees!$A$2:$A$26,Employees!$C$2:$C$26,2)</f>
        <v>Online</v>
      </c>
      <c r="P150" s="3" t="str">
        <f>PROPER('Sales_RAW(BEFORE)'!N154)</f>
        <v>South</v>
      </c>
      <c r="Q150" s="3" t="str">
        <f>VLOOKUP(N150,Employees!$A$2:$B$26,2,FALSE)</f>
        <v>Houston</v>
      </c>
      <c r="R150" s="3" t="str">
        <f>PROPER('Sales_RAW(BEFORE)'!P154)</f>
        <v>Initech Inc</v>
      </c>
      <c r="S150" s="3" t="str">
        <f>SUBSTITUTE(SUBSTITUTE('Sales_RAW(BEFORE)'!Q154,"EIN",""),":","")</f>
        <v xml:space="preserve"> 864898049</v>
      </c>
      <c r="T150" s="3" t="s">
        <v>1846</v>
      </c>
      <c r="U150" s="3" t="s">
        <v>2699</v>
      </c>
      <c r="V150" s="3" t="s">
        <v>2700</v>
      </c>
      <c r="W150" s="3" t="s">
        <v>2701</v>
      </c>
      <c r="X150" s="3" t="s">
        <v>173</v>
      </c>
      <c r="Y150" s="3" t="str">
        <f>PROPER('Sales_RAW(BEFORE)'!W154)</f>
        <v>Wire Transfer</v>
      </c>
      <c r="Z150" s="3" t="str">
        <f>PROPER('Sales_RAW(BEFORE)'!X154)</f>
        <v>Delivered</v>
      </c>
      <c r="AA150" s="3" t="str" cm="1">
        <f t="array" ref="AA150">_xlfn.LET(
  _xlpm.val, TRIM(LOWER('Sales_RAW(BEFORE)'!Y154)),
  _xlfn.IFS(
    OR(_xlpm.val="yes", _xlpm.val="paid"), "Paid",
    OR(_xlpm.val="no", _xlpm.val="unpaid"), "Unpaid",
    OR(_xlpm.val="partial", _xlpm.val="partial paid"), "Partial",
    _xlpm.val="", "",
    TRUE, 'Sales_RAW(BEFORE)'!AY154
  )
)</f>
        <v>Partial</v>
      </c>
      <c r="AB150" s="3" t="s">
        <v>2702</v>
      </c>
      <c r="AC150" s="3" t="str">
        <f>PROPER('Sales_RAW(BEFORE)'!AA154)</f>
        <v>Web</v>
      </c>
      <c r="AD150" s="3" t="str">
        <f>SUBSTITUTE(SUBSTITUTE(SUBSTITUTE(SUBSTITUTE('Sales_RAW(BEFORE)'!AB154,"st",""),"q",""),"Q",""),"uarter","")</f>
        <v>1</v>
      </c>
      <c r="AE150" s="3" t="str">
        <f>TEXT(IFERROR(DATEVALUE('Sales_RAW(BEFORE)'!AC154 &amp; " 1"), IFERROR(DATE(2025, 'Sales_RAW(BEFORE)'!AC154, 1), 'Sales_RAW(BEFORE)'!AC154)), "mmmm")</f>
        <v>July</v>
      </c>
      <c r="AF150" s="3">
        <f>_xlfn.LET(
  _xlpm.raw, TRIM(SUBSTITUTE('Sales_RAW(BEFORE)'!AD154, "'", "")),
  _xlpm.num, IFERROR(VALUE(_xlpm.raw), 0),
  IF(_xlpm.num &lt; 100, 2000 + _xlpm.num, _xlpm.num)
)</f>
        <v>2025</v>
      </c>
      <c r="AG150" s="3" t="str">
        <f>PROPER('Sales_RAW(BEFORE)'!AE154)</f>
        <v>15</v>
      </c>
      <c r="AH150" s="3" cm="1">
        <f t="array" ref="AH150">_xlfn.LET(
  _xlpm.val, LOWER(TRIM('Sales_RAW(BEFORE)'!AF154)),
  _xlfn.IFS(
    OR(_xlpm.val="", _xlpm.val="null", _xlpm.val="N/A", _xlpm.val="-", _xlpm.val="#N/A"), 0,
    ISNUMBER('Sales_RAW(BEFORE)'!AF154), 'Sales_RAW(BEFORE)'!AF154,
    TRUE, IFERROR(_xlfn.NUMBERVALUE(_xlpm.val), 0)
  )
)</f>
        <v>32</v>
      </c>
      <c r="AI150" s="5">
        <f>IF(IFERROR(VALUE(SUBSTITUTE(SUBSTITUTE(TRIM('Sales_RAW(BEFORE)'!AG154), "%", ""), ",", ".")), 0) &gt; 1, IFERROR(VALUE(SUBSTITUTE(SUBSTITUTE(TRIM('Sales_RAW(BEFORE)'!AG154), "%", ""), ",", ".")), 0) / 100, IFERROR(VALUE(SUBSTITUTE(SUBSTITUTE(TRIM('Sales_RAW(BEFORE)'!AG154), "%", ""), ",", ".")), 0))</f>
        <v>0.08</v>
      </c>
      <c r="AJ150" s="6">
        <f t="shared" si="11"/>
        <v>1407.2032000000002</v>
      </c>
      <c r="AK150" s="6">
        <f t="shared" si="12"/>
        <v>18997.243200000001</v>
      </c>
      <c r="AL150" s="6">
        <f>IFERROR(VALUE(SUBSTITUTE(SUBSTITUTE(SUBSTITUTE('Sales_RAW(BEFORE)'!AJ154,"$",""),"USD",""),",",".")),0)</f>
        <v>27.58</v>
      </c>
      <c r="AM150" s="3" t="str">
        <f>SUBSTITUTE(SUBSTITUTE(PROPER('Sales_RAW(BEFORE)'!AK154), "Fed Ex", "FedEx"),"Fedex","FedEx")</f>
        <v>FedEx</v>
      </c>
      <c r="AN150" s="3" t="s">
        <v>2704</v>
      </c>
      <c r="AO150" s="3" t="str">
        <f>SUBSTITUTE('Sales_RAW(BEFORE)'!AM154,"kg","")</f>
        <v xml:space="preserve">1.7 </v>
      </c>
      <c r="AP150" s="3" t="str">
        <f>_xlfn.LET(
  _xlpm.raw, UPPER(TRIM('Sales_RAW(BEFORE)'!AN154)),
  _xlpm.clean, RIGHT(_xlpm.raw, 1),
  IF(OR(_xlpm.raw="", _xlpm.raw="null"), "N/A", _xlpm.clean)
)</f>
        <v>B</v>
      </c>
      <c r="AQ150" s="3">
        <v>252</v>
      </c>
      <c r="AR150" s="3" cm="1">
        <f t="array" ref="AR150">_xlfn.LET(
  _xlpm.raw, LOWER(TRIM('Sales_RAW(BEFORE)'!AP154)),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150" s="3"/>
      <c r="AT150" s="3"/>
      <c r="AU150" s="3"/>
      <c r="AV150" s="8">
        <f>IF(IFERROR(VALUE(SUBSTITUTE(SUBSTITUTE(TRIM('Sales_RAW(BEFORE)'!AT154), "%", ""), ",", ".")), 0) &gt; 1, IFERROR(VALUE(SUBSTITUTE(SUBSTITUTE(TRIM('Sales_RAW(BEFORE)'!AT154), "%", ""), ",", ".")), 0) / 100, IFERROR(VALUE(SUBSTITUTE(SUBSTITUTE(TRIM('Sales_RAW(BEFORE)'!AT154), "%", ""), ",", ".")), 0))</f>
        <v>0.3</v>
      </c>
      <c r="AW150" s="6">
        <f>BA150*(_xlfn.XLOOKUP(N150,Employees!$A$2:$A$26,Employees!$E$2:$E$26,2))</f>
        <v>455.93383680000005</v>
      </c>
      <c r="AX150" s="3" t="str">
        <f>PROPER('Sales_RAW(BEFORE)'!AV154)</f>
        <v>Ryan Wilson</v>
      </c>
      <c r="AY150" s="3" t="str">
        <f t="shared" si="13"/>
        <v>Ryan Wilson</v>
      </c>
      <c r="AZ150" s="3"/>
      <c r="BA150" s="24">
        <f>AK150*(1-(_xlfn.XLOOKUP(G150, Exchange_Rates!$B$8:$F$8, Exchange_Rates!$B$9:$F$9, 0)+J150))</f>
        <v>15197.794560000002</v>
      </c>
      <c r="BB150" s="7" t="str" cm="1">
        <f t="array" ref="BB150">_xlfn.LET(
  _xlpm.raw_dt, SUBSTITUTE(TRIM(C150), ".", "/"),
  _xlpm.dt, IFERROR(DATEVALUE(_xlpm.raw_dt), C150),
  _xlpm.p_code, TRIM(E150),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Empty</v>
      </c>
      <c r="BC150" s="25">
        <f t="shared" si="14"/>
        <v>4559.3383680000006</v>
      </c>
    </row>
    <row r="151" spans="1:55" ht="15.75" thickBot="1" x14ac:dyDescent="0.3">
      <c r="A151" s="3" t="s">
        <v>2706</v>
      </c>
      <c r="B151" s="10">
        <v>45715</v>
      </c>
      <c r="C151" s="4">
        <v>45994</v>
      </c>
      <c r="D151" s="3" t="str">
        <f>"P-" &amp; TEXT(VALUE(SUBSTITUTE(SUBSTITUTE(SUBSTITUTE(UPPER(TRIM('Sales_RAW(BEFORE)'!D155)), "P", ""), "-", ""), "_", "")),"000")</f>
        <v>P-042</v>
      </c>
      <c r="E151" s="3" t="str">
        <f>VLOOKUP(D151,Product_List!$A$2:$B$61,2,FALSE)</f>
        <v>Desk Max 42</v>
      </c>
      <c r="F151" s="3" t="str">
        <f>_xlfn.XLOOKUP(E151,Product_List!$B$2:$B$61,Product_List!$E$2:$E$61,2)</f>
        <v>TechSupply Co</v>
      </c>
      <c r="G151" s="3" t="str">
        <f>VLOOKUP(E151,Product_List!$B$2:$C$61,2,FALSE)</f>
        <v>Electronics</v>
      </c>
      <c r="H151" s="3" t="str">
        <f>SUBSTITUTE(SUBSTITUTE('Sales_RAW(BEFORE)'!G155,"kom",""),".","")</f>
        <v xml:space="preserve">5 </v>
      </c>
      <c r="I151" s="6">
        <f>VLOOKUP(E151,Product_List!$B$2:$D$61,3,FALSE)</f>
        <v>158.06</v>
      </c>
      <c r="J151" s="5">
        <f>IF(IFERROR(VALUE(SUBSTITUTE(SUBSTITUTE(TRIM('Sales_RAW(BEFORE)'!I155), "%", ""), ",", ".")), 0) &gt; 1, IFERROR(VALUE(SUBSTITUTE(SUBSTITUTE(TRIM('Sales_RAW(BEFORE)'!I155), "%", ""), ",", ".")), 0) / 100, IFERROR(VALUE(SUBSTITUTE(SUBSTITUTE(TRIM('Sales_RAW(BEFORE)'!I155), "%", ""), ",", ".")), 0))</f>
        <v>0.1</v>
      </c>
      <c r="K151" s="6">
        <f t="shared" si="10"/>
        <v>790.3</v>
      </c>
      <c r="L151" s="6" t="str" cm="1">
        <f t="array" ref="L151">_xlfn.LET(
  _xlpm.valuta, UPPER(TRIM('Sales_RAW(BEFORE)'!K155)),
  _xlfn.IFS(
    _xlpm.valuta = "", "",
    OR(_xlpm.valuta = "USD", _xlpm.valuta = "$"), "$",
    OR(_xlpm.valuta = "EUR", _xlpm.valuta = "€"), "€",
    TRUE, _xlpm.valuta
  )
)</f>
        <v>$</v>
      </c>
      <c r="M151" s="3" t="str">
        <f>"E" &amp; TEXT(VALUE(SUBSTITUTE(SUBSTITUTE(SUBSTITUTE(UPPER(TRIM('Sales_RAW(BEFORE)'!L155)), "EMP", ""), "E", ""), "-", "")),"000")</f>
        <v>E023</v>
      </c>
      <c r="N151" s="3" t="str">
        <f>_xlfn.XLOOKUP(M151,Employees!$D$2:$D$26,Employees!$A$2:$A$26)</f>
        <v>Laura Anderson</v>
      </c>
      <c r="O151" s="3" t="str">
        <f>_xlfn.XLOOKUP(N151,Employees!$A$2:$A$26,Employees!$C$2:$C$26,2)</f>
        <v>Sales</v>
      </c>
      <c r="P151" s="3" t="str">
        <f>PROPER('Sales_RAW(BEFORE)'!N155)</f>
        <v>West</v>
      </c>
      <c r="Q151" s="3" t="str">
        <f>VLOOKUP(N151,Employees!$A$2:$B$26,2,FALSE)</f>
        <v>Seattle</v>
      </c>
      <c r="R151" s="3" t="str">
        <f>PROPER('Sales_RAW(BEFORE)'!P155)</f>
        <v xml:space="preserve">Vortex Llc   </v>
      </c>
      <c r="S151" s="3" t="str">
        <f>SUBSTITUTE(SUBSTITUTE('Sales_RAW(BEFORE)'!Q155,"EIN",""),":","")</f>
        <v>327468543</v>
      </c>
      <c r="T151" s="3" t="s">
        <v>201</v>
      </c>
      <c r="U151" s="3" t="s">
        <v>2713</v>
      </c>
      <c r="V151" s="3" t="s">
        <v>2714</v>
      </c>
      <c r="W151" s="3" t="s">
        <v>2715</v>
      </c>
      <c r="X151" s="3" t="s">
        <v>173</v>
      </c>
      <c r="Y151" s="3" t="str">
        <f>PROPER('Sales_RAW(BEFORE)'!W155)</f>
        <v>Wire Transfer</v>
      </c>
      <c r="Z151" s="3" t="str">
        <f>PROPER('Sales_RAW(BEFORE)'!X155)</f>
        <v>Delivered</v>
      </c>
      <c r="AA151" s="3" t="str" cm="1">
        <f t="array" ref="AA151">_xlfn.LET(
  _xlpm.val, TRIM(LOWER('Sales_RAW(BEFORE)'!Y155)),
  _xlfn.IFS(
    OR(_xlpm.val="yes", _xlpm.val="paid"), "Paid",
    OR(_xlpm.val="no", _xlpm.val="unpaid"), "Unpaid",
    OR(_xlpm.val="partial", _xlpm.val="partial paid"), "Partial",
    _xlpm.val="", "",
    TRUE, 'Sales_RAW(BEFORE)'!AY155
  )
)</f>
        <v>Paid</v>
      </c>
      <c r="AB151" s="3" t="s">
        <v>2716</v>
      </c>
      <c r="AC151" s="3" t="str">
        <f>PROPER('Sales_RAW(BEFORE)'!AA155)</f>
        <v>Store</v>
      </c>
      <c r="AD151" s="3" t="str">
        <f>SUBSTITUTE(SUBSTITUTE(SUBSTITUTE(SUBSTITUTE('Sales_RAW(BEFORE)'!AB155,"st",""),"q",""),"Q",""),"uarter","")</f>
        <v>1</v>
      </c>
      <c r="AE151" s="3" t="str">
        <f>TEXT(IFERROR(DATEVALUE('Sales_RAW(BEFORE)'!AC155 &amp; " 1"), IFERROR(DATE(2025, 'Sales_RAW(BEFORE)'!AC155, 1), 'Sales_RAW(BEFORE)'!AC155)), "mmmm")</f>
        <v>February</v>
      </c>
      <c r="AF151" s="3">
        <f>_xlfn.LET(
  _xlpm.raw, TRIM(SUBSTITUTE('Sales_RAW(BEFORE)'!AD155, "'", "")),
  _xlpm.num, IFERROR(VALUE(_xlpm.raw), 0),
  IF(_xlpm.num &lt; 100, 2000 + _xlpm.num, _xlpm.num)
)</f>
        <v>2025</v>
      </c>
      <c r="AG151" s="3" t="str">
        <f>PROPER('Sales_RAW(BEFORE)'!AE155)</f>
        <v>Immediate</v>
      </c>
      <c r="AH151" s="3" cm="1">
        <f t="array" ref="AH151">_xlfn.LET(
  _xlpm.val, LOWER(TRIM('Sales_RAW(BEFORE)'!AF155)),
  _xlfn.IFS(
    OR(_xlpm.val="", _xlpm.val="null", _xlpm.val="N/A", _xlpm.val="-", _xlpm.val="#N/A"), 0,
    ISNUMBER('Sales_RAW(BEFORE)'!AF155), 'Sales_RAW(BEFORE)'!AF155,
    TRUE, IFERROR(_xlfn.NUMBERVALUE(_xlpm.val), 0)
  )
)</f>
        <v>0</v>
      </c>
      <c r="AI151" s="5">
        <f>IF(IFERROR(VALUE(SUBSTITUTE(SUBSTITUTE(TRIM('Sales_RAW(BEFORE)'!AG155), "%", ""), ",", ".")), 0) &gt; 1, IFERROR(VALUE(SUBSTITUTE(SUBSTITUTE(TRIM('Sales_RAW(BEFORE)'!AG155), "%", ""), ",", ".")), 0) / 100, IFERROR(VALUE(SUBSTITUTE(SUBSTITUTE(TRIM('Sales_RAW(BEFORE)'!AG155), "%", ""), ",", ".")), 0))</f>
        <v>0.08</v>
      </c>
      <c r="AJ151" s="6">
        <f t="shared" si="11"/>
        <v>63.223999999999997</v>
      </c>
      <c r="AK151" s="6">
        <f t="shared" si="12"/>
        <v>853.524</v>
      </c>
      <c r="AL151" s="6">
        <f>IFERROR(VALUE(SUBSTITUTE(SUBSTITUTE(SUBSTITUTE('Sales_RAW(BEFORE)'!AJ155,"$",""),"USD",""),",",".")),0)</f>
        <v>2</v>
      </c>
      <c r="AM151" s="3" t="str">
        <f>SUBSTITUTE(SUBSTITUTE(PROPER('Sales_RAW(BEFORE)'!AK155), "Fed Ex", "FedEx"),"Fedex","FedEx")</f>
        <v>Dhl</v>
      </c>
      <c r="AN151" s="3" t="s">
        <v>2717</v>
      </c>
      <c r="AO151" s="3" t="str">
        <f>SUBSTITUTE('Sales_RAW(BEFORE)'!AM155,"kg","")</f>
        <v>17,82</v>
      </c>
      <c r="AP151" s="3" t="str">
        <f>_xlfn.LET(
  _xlpm.raw, UPPER(TRIM('Sales_RAW(BEFORE)'!AN155)),
  _xlpm.clean, RIGHT(_xlpm.raw, 1),
  IF(OR(_xlpm.raw="", _xlpm.raw="null"), "N/A", _xlpm.clean)
)</f>
        <v>A</v>
      </c>
      <c r="AQ151" s="3">
        <v>177</v>
      </c>
      <c r="AR151" s="3" cm="1">
        <f t="array" ref="AR151">_xlfn.LET(
  _xlpm.raw, LOWER(TRIM('Sales_RAW(BEFORE)'!AP155)),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151" s="3"/>
      <c r="AT151" s="3"/>
      <c r="AU151" s="3"/>
      <c r="AV151" s="8">
        <f>IF(IFERROR(VALUE(SUBSTITUTE(SUBSTITUTE(TRIM('Sales_RAW(BEFORE)'!AT155), "%", ""), ",", ".")), 0) &gt; 1, IFERROR(VALUE(SUBSTITUTE(SUBSTITUTE(TRIM('Sales_RAW(BEFORE)'!AT155), "%", ""), ",", ".")), 0) / 100, IFERROR(VALUE(SUBSTITUTE(SUBSTITUTE(TRIM('Sales_RAW(BEFORE)'!AT155), "%", ""), ",", ".")), 0))</f>
        <v>0.3</v>
      </c>
      <c r="AW151" s="6">
        <f>BA151*(_xlfn.XLOOKUP(N151,Employees!$A$2:$A$26,Employees!$E$2:$E$26,2))</f>
        <v>13.656384000000001</v>
      </c>
      <c r="AX151" s="3" t="str">
        <f>PROPER('Sales_RAW(BEFORE)'!AV155)</f>
        <v xml:space="preserve">  Laura Miller</v>
      </c>
      <c r="AY151" s="3" t="str">
        <f t="shared" si="13"/>
        <v xml:space="preserve">  Laura Miller</v>
      </c>
      <c r="AZ151" s="3"/>
      <c r="BA151" s="24">
        <f>AK151*(1-(_xlfn.XLOOKUP(G151, Exchange_Rates!$B$8:$F$8, Exchange_Rates!$B$9:$F$9, 0)+J151))</f>
        <v>682.81920000000002</v>
      </c>
      <c r="BB151" s="7" cm="1">
        <f t="array" ref="BB151">_xlfn.LET(
  _xlpm.raw_dt, SUBSTITUTE(TRIM(C151), ".", "/"),
  _xlpm.dt, IFERROR(DATEVALUE(_xlpm.raw_dt), C151),
  _xlpm.p_code, TRIM(E151),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47090</v>
      </c>
      <c r="BC151" s="25">
        <f t="shared" si="14"/>
        <v>204.84576000000001</v>
      </c>
    </row>
    <row r="152" spans="1:55" ht="15.75" thickBot="1" x14ac:dyDescent="0.3">
      <c r="A152" s="3" t="s">
        <v>2720</v>
      </c>
      <c r="B152" s="10">
        <v>46116</v>
      </c>
      <c r="C152" s="4">
        <v>46128</v>
      </c>
      <c r="D152" s="3" t="str">
        <f>"P-" &amp; TEXT(VALUE(SUBSTITUTE(SUBSTITUTE(SUBSTITUTE(UPPER(TRIM('Sales_RAW(BEFORE)'!D156)), "P", ""), "-", ""), "_", "")),"000")</f>
        <v>P-050</v>
      </c>
      <c r="E152" s="3" t="str">
        <f>VLOOKUP(D152,Product_List!$A$2:$B$61,2,FALSE)</f>
        <v>License X 50</v>
      </c>
      <c r="F152" s="3" t="str">
        <f>_xlfn.XLOOKUP(E152,Product_List!$B$2:$B$61,Product_List!$E$2:$E$61,2)</f>
        <v>BestParts</v>
      </c>
      <c r="G152" s="3" t="str">
        <f>VLOOKUP(E152,Product_List!$B$2:$C$61,2,FALSE)</f>
        <v>Equipment</v>
      </c>
      <c r="H152" s="3" t="str">
        <f>SUBSTITUTE(SUBSTITUTE('Sales_RAW(BEFORE)'!G156,"kom",""),".","")</f>
        <v xml:space="preserve">14 </v>
      </c>
      <c r="I152" s="6">
        <f>VLOOKUP(E152,Product_List!$B$2:$D$61,3,FALSE)</f>
        <v>39.53</v>
      </c>
      <c r="J152" s="5">
        <f>IF(IFERROR(VALUE(SUBSTITUTE(SUBSTITUTE(TRIM('Sales_RAW(BEFORE)'!I156), "%", ""), ",", ".")), 0) &gt; 1, IFERROR(VALUE(SUBSTITUTE(SUBSTITUTE(TRIM('Sales_RAW(BEFORE)'!I156), "%", ""), ",", ".")), 0) / 100, IFERROR(VALUE(SUBSTITUTE(SUBSTITUTE(TRIM('Sales_RAW(BEFORE)'!I156), "%", ""), ",", ".")), 0))</f>
        <v>0.1</v>
      </c>
      <c r="K152" s="6">
        <f t="shared" si="10"/>
        <v>553.42000000000007</v>
      </c>
      <c r="L152" s="6" t="str" cm="1">
        <f t="array" ref="L152">_xlfn.LET(
  _xlpm.valuta, UPPER(TRIM('Sales_RAW(BEFORE)'!K156)),
  _xlfn.IFS(
    _xlpm.valuta = "", "",
    OR(_xlpm.valuta = "USD", _xlpm.valuta = "$"), "$",
    OR(_xlpm.valuta = "EUR", _xlpm.valuta = "€"), "€",
    TRUE, _xlpm.valuta
  )
)</f>
        <v>$</v>
      </c>
      <c r="M152" s="3" t="str">
        <f>"E" &amp; TEXT(VALUE(SUBSTITUTE(SUBSTITUTE(SUBSTITUTE(UPPER(TRIM('Sales_RAW(BEFORE)'!L156)), "EMP", ""), "E", ""), "-", "")),"000")</f>
        <v>E009</v>
      </c>
      <c r="N152" s="3" t="str">
        <f>_xlfn.XLOOKUP(M152,Employees!$D$2:$D$26,Employees!$A$2:$A$26)</f>
        <v>Olivia Wilson</v>
      </c>
      <c r="O152" s="3" t="str">
        <f>_xlfn.XLOOKUP(N152,Employees!$A$2:$A$26,Employees!$C$2:$C$26,2)</f>
        <v>Wholesale</v>
      </c>
      <c r="P152" s="3" t="str">
        <f>PROPER('Sales_RAW(BEFORE)'!N156)</f>
        <v>South</v>
      </c>
      <c r="Q152" s="3" t="str">
        <f>VLOOKUP(N152,Employees!$A$2:$B$26,2,FALSE)</f>
        <v>Miami</v>
      </c>
      <c r="R152" s="3" t="str">
        <f>PROPER('Sales_RAW(BEFORE)'!P156)</f>
        <v>Globex Inc</v>
      </c>
      <c r="S152" s="3" t="str">
        <f>SUBSTITUTE(SUBSTITUTE('Sales_RAW(BEFORE)'!Q156,"EIN",""),":","")</f>
        <v>742803680</v>
      </c>
      <c r="T152" s="3" t="s">
        <v>400</v>
      </c>
      <c r="U152" s="3" t="s">
        <v>2728</v>
      </c>
      <c r="V152" s="3" t="s">
        <v>2729</v>
      </c>
      <c r="W152" s="3" t="s">
        <v>2730</v>
      </c>
      <c r="X152" s="3" t="s">
        <v>173</v>
      </c>
      <c r="Y152" s="3" t="str">
        <f>PROPER('Sales_RAW(BEFORE)'!W156)</f>
        <v>Paypal</v>
      </c>
      <c r="Z152" s="3" t="str">
        <f>PROPER('Sales_RAW(BEFORE)'!X156)</f>
        <v>Delivered</v>
      </c>
      <c r="AA152" s="3" t="str" cm="1">
        <f t="array" ref="AA152">_xlfn.LET(
  _xlpm.val, TRIM(LOWER('Sales_RAW(BEFORE)'!Y156)),
  _xlfn.IFS(
    OR(_xlpm.val="yes", _xlpm.val="paid"), "Paid",
    OR(_xlpm.val="no", _xlpm.val="unpaid"), "Unpaid",
    OR(_xlpm.val="partial", _xlpm.val="partial paid"), "Partial",
    _xlpm.val="", "",
    TRUE, 'Sales_RAW(BEFORE)'!AY156
  )
)</f>
        <v>Paid</v>
      </c>
      <c r="AB152" s="3" t="s">
        <v>2731</v>
      </c>
      <c r="AC152" s="3" t="str">
        <f>PROPER('Sales_RAW(BEFORE)'!AA156)</f>
        <v>Web</v>
      </c>
      <c r="AD152" s="3" t="str">
        <f>SUBSTITUTE(SUBSTITUTE(SUBSTITUTE(SUBSTITUTE('Sales_RAW(BEFORE)'!AB156,"st",""),"q",""),"Q",""),"uarter","")</f>
        <v>3</v>
      </c>
      <c r="AE152" s="3" t="str">
        <f>TEXT(IFERROR(DATEVALUE('Sales_RAW(BEFORE)'!AC156 &amp; " 1"), IFERROR(DATE(2025, 'Sales_RAW(BEFORE)'!AC156, 1), 'Sales_RAW(BEFORE)'!AC156)), "mmmm")</f>
        <v>April</v>
      </c>
      <c r="AF152" s="3">
        <f>_xlfn.LET(
  _xlpm.raw, TRIM(SUBSTITUTE('Sales_RAW(BEFORE)'!AD156, "'", "")),
  _xlpm.num, IFERROR(VALUE(_xlpm.raw), 0),
  IF(_xlpm.num &lt; 100, 2000 + _xlpm.num, _xlpm.num)
)</f>
        <v>2026</v>
      </c>
      <c r="AG152" s="3" t="str">
        <f>PROPER('Sales_RAW(BEFORE)'!AE156)</f>
        <v>Net 60</v>
      </c>
      <c r="AH152" s="3" cm="1">
        <f t="array" ref="AH152">_xlfn.LET(
  _xlpm.val, LOWER(TRIM('Sales_RAW(BEFORE)'!AF156)),
  _xlfn.IFS(
    OR(_xlpm.val="", _xlpm.val="null", _xlpm.val="N/A", _xlpm.val="-", _xlpm.val="#N/A"), 0,
    ISNUMBER('Sales_RAW(BEFORE)'!AF156), 'Sales_RAW(BEFORE)'!AF156,
    TRUE, IFERROR(_xlfn.NUMBERVALUE(_xlpm.val), 0)
  )
)</f>
        <v>56</v>
      </c>
      <c r="AI152" s="5">
        <f>IF(IFERROR(VALUE(SUBSTITUTE(SUBSTITUTE(TRIM('Sales_RAW(BEFORE)'!AG156), "%", ""), ",", ".")), 0) &gt; 1, IFERROR(VALUE(SUBSTITUTE(SUBSTITUTE(TRIM('Sales_RAW(BEFORE)'!AG156), "%", ""), ",", ".")), 0) / 100, IFERROR(VALUE(SUBSTITUTE(SUBSTITUTE(TRIM('Sales_RAW(BEFORE)'!AG156), "%", ""), ",", ".")), 0))</f>
        <v>0.08</v>
      </c>
      <c r="AJ152" s="6">
        <f t="shared" si="11"/>
        <v>44.273600000000009</v>
      </c>
      <c r="AK152" s="6">
        <f t="shared" si="12"/>
        <v>597.69360000000006</v>
      </c>
      <c r="AL152" s="6">
        <f>IFERROR(VALUE(SUBSTITUTE(SUBSTITUTE(SUBSTITUTE('Sales_RAW(BEFORE)'!AJ156,"$",""),"USD",""),",",".")),0)</f>
        <v>35</v>
      </c>
      <c r="AM152" s="3" t="str">
        <f>SUBSTITUTE(SUBSTITUTE(PROPER('Sales_RAW(BEFORE)'!AK156), "Fed Ex", "FedEx"),"Fedex","FedEx")</f>
        <v>Dhl</v>
      </c>
      <c r="AN152" s="3" t="s">
        <v>2732</v>
      </c>
      <c r="AO152" s="3" t="str">
        <f>SUBSTITUTE('Sales_RAW(BEFORE)'!AM156,"kg","")</f>
        <v>20,32</v>
      </c>
      <c r="AP152" s="3" t="str">
        <f>_xlfn.LET(
  _xlpm.raw, UPPER(TRIM('Sales_RAW(BEFORE)'!AN156)),
  _xlpm.clean, RIGHT(_xlpm.raw, 1),
  IF(OR(_xlpm.raw="", _xlpm.raw="null"), "N/A", _xlpm.clean)
)</f>
        <v>A</v>
      </c>
      <c r="AQ152" s="3">
        <v>198</v>
      </c>
      <c r="AR152" s="3" cm="1">
        <f t="array" ref="AR152">_xlfn.LET(
  _xlpm.raw, LOWER(TRIM('Sales_RAW(BEFORE)'!AP156)),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52" s="3"/>
      <c r="AT152" s="3"/>
      <c r="AU152" s="3"/>
      <c r="AV152" s="8">
        <f>IF(IFERROR(VALUE(SUBSTITUTE(SUBSTITUTE(TRIM('Sales_RAW(BEFORE)'!AT156), "%", ""), ",", ".")), 0) &gt; 1, IFERROR(VALUE(SUBSTITUTE(SUBSTITUTE(TRIM('Sales_RAW(BEFORE)'!AT156), "%", ""), ",", ".")), 0) / 100, IFERROR(VALUE(SUBSTITUTE(SUBSTITUTE(TRIM('Sales_RAW(BEFORE)'!AT156), "%", ""), ",", ".")), 0))</f>
        <v>0.15</v>
      </c>
      <c r="AW152" s="6">
        <f>BA152*(_xlfn.XLOOKUP(N152,Employees!$A$2:$A$26,Employees!$E$2:$E$26,2))</f>
        <v>14.3446464</v>
      </c>
      <c r="AX152" s="3" t="str">
        <f>PROPER('Sales_RAW(BEFORE)'!AV156)</f>
        <v>David Smith</v>
      </c>
      <c r="AY152" s="3" t="str">
        <f t="shared" si="13"/>
        <v>David Smith</v>
      </c>
      <c r="AZ152" s="3"/>
      <c r="BA152" s="24">
        <f>AK152*(1-(_xlfn.XLOOKUP(G152, Exchange_Rates!$B$8:$F$8, Exchange_Rates!$B$9:$F$9, 0)+J152))</f>
        <v>478.15488000000005</v>
      </c>
      <c r="BB152" s="7" cm="1">
        <f t="array" ref="BB152">_xlfn.LET(
  _xlpm.raw_dt, SUBSTITUTE(TRIM(C152), ".", "/"),
  _xlpm.dt, IFERROR(DATEVALUE(_xlpm.raw_dt), C152),
  _xlpm.p_code, TRIM(E152),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46493</v>
      </c>
      <c r="BC152" s="25">
        <f t="shared" si="14"/>
        <v>71.72323200000001</v>
      </c>
    </row>
    <row r="153" spans="1:55" ht="15.75" thickBot="1" x14ac:dyDescent="0.3">
      <c r="A153" s="3" t="s">
        <v>2735</v>
      </c>
      <c r="B153" s="10">
        <v>46070</v>
      </c>
      <c r="C153" s="4">
        <f>DATE(2026,2,21)</f>
        <v>46074</v>
      </c>
      <c r="D153" s="3" t="str">
        <f>"P-" &amp; TEXT(VALUE(SUBSTITUTE(SUBSTITUTE(SUBSTITUTE(UPPER(TRIM('Sales_RAW(BEFORE)'!D157)), "P", ""), "-", ""), "_", "")),"000")</f>
        <v>P-025</v>
      </c>
      <c r="E153" s="3" t="str">
        <f>VLOOKUP(D153,Product_List!$A$2:$B$61,2,FALSE)</f>
        <v>Chair Max 25</v>
      </c>
      <c r="F153" s="3" t="str">
        <f>_xlfn.XLOOKUP(E153,Product_List!$B$2:$B$61,Product_List!$E$2:$E$61,2)</f>
        <v>TechSupply Co</v>
      </c>
      <c r="G153" s="3" t="str">
        <f>VLOOKUP(E153,Product_List!$B$2:$C$61,2,FALSE)</f>
        <v>Software</v>
      </c>
      <c r="H153" s="3" t="str">
        <f>SUBSTITUTE(SUBSTITUTE('Sales_RAW(BEFORE)'!G157,"kom",""),".","")</f>
        <v xml:space="preserve">5 </v>
      </c>
      <c r="I153" s="6">
        <f>VLOOKUP(E153,Product_List!$B$2:$D$61,3,FALSE)</f>
        <v>430.47</v>
      </c>
      <c r="J153" s="5">
        <f>IF(IFERROR(VALUE(SUBSTITUTE(SUBSTITUTE(TRIM('Sales_RAW(BEFORE)'!I157), "%", ""), ",", ".")), 0) &gt; 1, IFERROR(VALUE(SUBSTITUTE(SUBSTITUTE(TRIM('Sales_RAW(BEFORE)'!I157), "%", ""), ",", ".")), 0) / 100, IFERROR(VALUE(SUBSTITUTE(SUBSTITUTE(TRIM('Sales_RAW(BEFORE)'!I157), "%", ""), ",", ".")), 0))</f>
        <v>0.1</v>
      </c>
      <c r="K153" s="6">
        <f t="shared" si="10"/>
        <v>2152.3500000000004</v>
      </c>
      <c r="L153" s="6" t="str" cm="1">
        <f t="array" ref="L153">_xlfn.LET(
  _xlpm.valuta, UPPER(TRIM('Sales_RAW(BEFORE)'!K157)),
  _xlfn.IFS(
    _xlpm.valuta = "", "",
    OR(_xlpm.valuta = "USD", _xlpm.valuta = "$"), "$",
    OR(_xlpm.valuta = "EUR", _xlpm.valuta = "€"), "€",
    TRUE, _xlpm.valuta
  )
)</f>
        <v>$</v>
      </c>
      <c r="M153" s="3" t="str">
        <f>"E" &amp; TEXT(VALUE(SUBSTITUTE(SUBSTITUTE(SUBSTITUTE(UPPER(TRIM('Sales_RAW(BEFORE)'!L157)), "EMP", ""), "E", ""), "-", "")),"000")</f>
        <v>E019</v>
      </c>
      <c r="N153" s="3" t="str">
        <f>_xlfn.XLOOKUP(M153,Employees!$D$2:$D$26,Employees!$A$2:$A$26)</f>
        <v>Sophia Taylor</v>
      </c>
      <c r="O153" s="3" t="str">
        <f>_xlfn.XLOOKUP(N153,Employees!$A$2:$A$26,Employees!$C$2:$C$26,2)</f>
        <v>Wholesale</v>
      </c>
      <c r="P153" s="3" t="str">
        <f>PROPER('Sales_RAW(BEFORE)'!N157)</f>
        <v>South</v>
      </c>
      <c r="Q153" s="3" t="str">
        <f>VLOOKUP(N153,Employees!$A$2:$B$26,2,FALSE)</f>
        <v>Los Angeles</v>
      </c>
      <c r="R153" s="3" t="str">
        <f>PROPER('Sales_RAW(BEFORE)'!P157)</f>
        <v>Initech Inc</v>
      </c>
      <c r="S153" s="3" t="str">
        <f>SUBSTITUTE(SUBSTITUTE('Sales_RAW(BEFORE)'!Q157,"EIN",""),":","")</f>
        <v xml:space="preserve"> 506363880</v>
      </c>
      <c r="T153" s="3" t="s">
        <v>2743</v>
      </c>
      <c r="U153" s="3" t="s">
        <v>2744</v>
      </c>
      <c r="V153" s="3" t="s">
        <v>2745</v>
      </c>
      <c r="W153" s="3" t="s">
        <v>2746</v>
      </c>
      <c r="X153" s="3" t="s">
        <v>173</v>
      </c>
      <c r="Y153" s="3" t="str">
        <f>PROPER('Sales_RAW(BEFORE)'!W157)</f>
        <v>Cash</v>
      </c>
      <c r="Z153" s="3" t="str">
        <f>PROPER('Sales_RAW(BEFORE)'!X157)</f>
        <v>Pending</v>
      </c>
      <c r="AA153" s="3" t="str" cm="1">
        <f t="array" ref="AA153">_xlfn.LET(
  _xlpm.val, TRIM(LOWER('Sales_RAW(BEFORE)'!Y157)),
  _xlfn.IFS(
    OR(_xlpm.val="yes", _xlpm.val="paid"), "Paid",
    OR(_xlpm.val="no", _xlpm.val="unpaid"), "Unpaid",
    OR(_xlpm.val="partial", _xlpm.val="partial paid"), "Partial",
    _xlpm.val="", "",
    TRUE, 'Sales_RAW(BEFORE)'!AY157
  )
)</f>
        <v>Partial</v>
      </c>
      <c r="AB153" s="3" t="s">
        <v>2747</v>
      </c>
      <c r="AC153" s="3" t="str">
        <f>PROPER('Sales_RAW(BEFORE)'!AA157)</f>
        <v>Phone</v>
      </c>
      <c r="AD153" s="3" t="str">
        <f>SUBSTITUTE(SUBSTITUTE(SUBSTITUTE(SUBSTITUTE('Sales_RAW(BEFORE)'!AB157,"st",""),"q",""),"Q",""),"uarter","")</f>
        <v>4</v>
      </c>
      <c r="AE153" s="3" t="str">
        <f>TEXT(IFERROR(DATEVALUE('Sales_RAW(BEFORE)'!AC157 &amp; " 1"), IFERROR(DATE(2025, 'Sales_RAW(BEFORE)'!AC157, 1), 'Sales_RAW(BEFORE)'!AC157)), "mmmm")</f>
        <v>February</v>
      </c>
      <c r="AF153" s="3">
        <f>_xlfn.LET(
  _xlpm.raw, TRIM(SUBSTITUTE('Sales_RAW(BEFORE)'!AD157, "'", "")),
  _xlpm.num, IFERROR(VALUE(_xlpm.raw), 0),
  IF(_xlpm.num &lt; 100, 2000 + _xlpm.num, _xlpm.num)
)</f>
        <v>2026</v>
      </c>
      <c r="AG153" s="3" t="str">
        <f>PROPER('Sales_RAW(BEFORE)'!AE157)</f>
        <v>15</v>
      </c>
      <c r="AH153" s="3" cm="1">
        <f t="array" ref="AH153">_xlfn.LET(
  _xlpm.val, LOWER(TRIM('Sales_RAW(BEFORE)'!AF157)),
  _xlfn.IFS(
    OR(_xlpm.val="", _xlpm.val="null", _xlpm.val="N/A", _xlpm.val="-", _xlpm.val="#N/A"), 0,
    ISNUMBER('Sales_RAW(BEFORE)'!AF157), 'Sales_RAW(BEFORE)'!AF157,
    TRUE, IFERROR(_xlfn.NUMBERVALUE(_xlpm.val), 0)
  )
)</f>
        <v>79</v>
      </c>
      <c r="AI153" s="5">
        <f>IF(IFERROR(VALUE(SUBSTITUTE(SUBSTITUTE(TRIM('Sales_RAW(BEFORE)'!AG157), "%", ""), ",", ".")), 0) &gt; 1, IFERROR(VALUE(SUBSTITUTE(SUBSTITUTE(TRIM('Sales_RAW(BEFORE)'!AG157), "%", ""), ",", ".")), 0) / 100, IFERROR(VALUE(SUBSTITUTE(SUBSTITUTE(TRIM('Sales_RAW(BEFORE)'!AG157), "%", ""), ",", ".")), 0))</f>
        <v>0.08</v>
      </c>
      <c r="AJ153" s="6">
        <f t="shared" si="11"/>
        <v>172.18800000000005</v>
      </c>
      <c r="AK153" s="6">
        <f t="shared" si="12"/>
        <v>2324.5380000000005</v>
      </c>
      <c r="AL153" s="6">
        <f>IFERROR(VALUE(SUBSTITUTE(SUBSTITUTE(SUBSTITUTE('Sales_RAW(BEFORE)'!AJ157,"$",""),"USD",""),",",".")),0)</f>
        <v>12.13</v>
      </c>
      <c r="AM153" s="3" t="str">
        <f>SUBSTITUTE(SUBSTITUTE(PROPER('Sales_RAW(BEFORE)'!AK157), "Fed Ex", "FedEx"),"Fedex","FedEx")</f>
        <v>FedEx</v>
      </c>
      <c r="AN153" s="3" t="s">
        <v>2749</v>
      </c>
      <c r="AO153" s="3" t="str">
        <f>SUBSTITUTE('Sales_RAW(BEFORE)'!AM157,"kg","")</f>
        <v>0,8</v>
      </c>
      <c r="AP153" s="3" t="str">
        <f>_xlfn.LET(
  _xlpm.raw, UPPER(TRIM('Sales_RAW(BEFORE)'!AN157)),
  _xlpm.clean, RIGHT(_xlpm.raw, 1),
  IF(OR(_xlpm.raw="", _xlpm.raw="null"), "N/A", _xlpm.clean)
)</f>
        <v>A</v>
      </c>
      <c r="AQ153" s="3">
        <v>50</v>
      </c>
      <c r="AR153" s="3" cm="1">
        <f t="array" ref="AR153">_xlfn.LET(
  _xlpm.raw, LOWER(TRIM('Sales_RAW(BEFORE)'!AP157)),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53" s="3"/>
      <c r="AT153" s="3"/>
      <c r="AU153" s="3"/>
      <c r="AV153" s="8">
        <f>IF(IFERROR(VALUE(SUBSTITUTE(SUBSTITUTE(TRIM('Sales_RAW(BEFORE)'!AT157), "%", ""), ",", ".")), 0) &gt; 1, IFERROR(VALUE(SUBSTITUTE(SUBSTITUTE(TRIM('Sales_RAW(BEFORE)'!AT157), "%", ""), ",", ".")), 0) / 100, IFERROR(VALUE(SUBSTITUTE(SUBSTITUTE(TRIM('Sales_RAW(BEFORE)'!AT157), "%", ""), ",", ".")), 0))</f>
        <v>0.15</v>
      </c>
      <c r="AW153" s="6">
        <f>BA153*(_xlfn.XLOOKUP(N153,Employees!$A$2:$A$26,Employees!$E$2:$E$26,2))</f>
        <v>52.302105000000012</v>
      </c>
      <c r="AX153" s="3" t="str">
        <f>PROPER('Sales_RAW(BEFORE)'!AV157)</f>
        <v>James Wilson</v>
      </c>
      <c r="AY153" s="3" t="str">
        <f t="shared" si="13"/>
        <v>James Wilson</v>
      </c>
      <c r="AZ153" s="3"/>
      <c r="BA153" s="24">
        <f>AK153*(1-(_xlfn.XLOOKUP(G153, Exchange_Rates!$B$8:$F$8, Exchange_Rates!$B$9:$F$9, 0)+J153))</f>
        <v>1743.4035000000003</v>
      </c>
      <c r="BB153" s="7" cm="1">
        <f t="array" ref="BB153">_xlfn.LET(
  _xlpm.raw_dt, SUBSTITUTE(TRIM(C153), ".", "/"),
  _xlpm.dt, IFERROR(DATEVALUE(_xlpm.raw_dt), C153),
  _xlpm.p_code, TRIM(E153),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46439</v>
      </c>
      <c r="BC153" s="25">
        <f t="shared" si="14"/>
        <v>261.51052500000003</v>
      </c>
    </row>
    <row r="154" spans="1:55" ht="15.75" thickBot="1" x14ac:dyDescent="0.3">
      <c r="A154" s="3" t="s">
        <v>2753</v>
      </c>
      <c r="B154" s="10">
        <v>46039</v>
      </c>
      <c r="C154" s="4">
        <v>46053</v>
      </c>
      <c r="D154" s="3" t="str">
        <f>"P-" &amp; TEXT(VALUE(SUBSTITUTE(SUBSTITUTE(SUBSTITUTE(UPPER(TRIM('Sales_RAW(BEFORE)'!D158)), "P", ""), "-", ""), "_", "")),"000")</f>
        <v>P-032</v>
      </c>
      <c r="E154" s="3" t="str">
        <f>VLOOKUP(D154,Product_List!$A$2:$B$61,2,FALSE)</f>
        <v>Cable Basic 32</v>
      </c>
      <c r="F154" s="3" t="str">
        <f>_xlfn.XLOOKUP(E154,Product_List!$B$2:$B$61,Product_List!$E$2:$E$61,2)</f>
        <v>OfficeHub</v>
      </c>
      <c r="G154" s="3" t="str">
        <f>VLOOKUP(E154,Product_List!$B$2:$C$61,2,FALSE)</f>
        <v>Software</v>
      </c>
      <c r="H154" s="3" t="str">
        <f>SUBSTITUTE(SUBSTITUTE('Sales_RAW(BEFORE)'!G158,"kom",""),".","")</f>
        <v>22</v>
      </c>
      <c r="I154" s="6">
        <f>VLOOKUP(E154,Product_List!$B$2:$D$61,3,FALSE)</f>
        <v>1479.77</v>
      </c>
      <c r="J154" s="5">
        <f>IF(IFERROR(VALUE(SUBSTITUTE(SUBSTITUTE(TRIM('Sales_RAW(BEFORE)'!I158), "%", ""), ",", ".")), 0) &gt; 1, IFERROR(VALUE(SUBSTITUTE(SUBSTITUTE(TRIM('Sales_RAW(BEFORE)'!I158), "%", ""), ",", ".")), 0) / 100, IFERROR(VALUE(SUBSTITUTE(SUBSTITUTE(TRIM('Sales_RAW(BEFORE)'!I158), "%", ""), ",", ".")), 0))</f>
        <v>0.1</v>
      </c>
      <c r="K154" s="6">
        <f>(H154*I154)/(HLOOKUP(AE154,Exchange_Rates!$B$1:$M$2,2,FALSE))</f>
        <v>35194.529729729729</v>
      </c>
      <c r="L154" s="6" t="str" cm="1">
        <f t="array" ref="L154">_xlfn.LET(
  _xlpm.valuta, UPPER(TRIM('Sales_RAW(BEFORE)'!K158)),
  _xlfn.IFS(
    _xlpm.valuta = "", "",
    OR(_xlpm.valuta = "USD", _xlpm.valuta = "$"), "$",
    OR(_xlpm.valuta = "EUR", _xlpm.valuta = "€"), "€",
    TRUE, _xlpm.valuta
  )
)</f>
        <v>€</v>
      </c>
      <c r="M154" s="3" t="str">
        <f>"E" &amp; TEXT(VALUE(SUBSTITUTE(SUBSTITUTE(SUBSTITUTE(UPPER(TRIM('Sales_RAW(BEFORE)'!L158)), "EMP", ""), "E", ""), "-", "")),"000")</f>
        <v>E020</v>
      </c>
      <c r="N154" s="3" t="str">
        <f>_xlfn.XLOOKUP(M154,Employees!$D$2:$D$26,Employees!$A$2:$A$26)</f>
        <v>Robert Taylor</v>
      </c>
      <c r="O154" s="3" t="str">
        <f>_xlfn.XLOOKUP(N154,Employees!$A$2:$A$26,Employees!$C$2:$C$26,2)</f>
        <v>Retail</v>
      </c>
      <c r="P154" s="3" t="str">
        <f>PROPER('Sales_RAW(BEFORE)'!N158)</f>
        <v>East</v>
      </c>
      <c r="Q154" s="3" t="str">
        <f>VLOOKUP(N154,Employees!$A$2:$B$26,2,FALSE)</f>
        <v>New York</v>
      </c>
      <c r="R154" s="3" t="str">
        <f>PROPER('Sales_RAW(BEFORE)'!P158)</f>
        <v>Acme Llc</v>
      </c>
      <c r="S154" s="3" t="str">
        <f>SUBSTITUTE(SUBSTITUTE('Sales_RAW(BEFORE)'!Q158,"EIN",""),":","")</f>
        <v xml:space="preserve"> 104178181</v>
      </c>
      <c r="T154" s="3" t="s">
        <v>1815</v>
      </c>
      <c r="U154" s="3" t="s">
        <v>2763</v>
      </c>
      <c r="V154" s="3" t="s">
        <v>2764</v>
      </c>
      <c r="W154" s="3" t="s">
        <v>2765</v>
      </c>
      <c r="X154" s="3" t="s">
        <v>173</v>
      </c>
      <c r="Y154" s="3" t="str">
        <f>PROPER('Sales_RAW(BEFORE)'!W158)</f>
        <v>Paypal</v>
      </c>
      <c r="Z154" s="3" t="str">
        <f>PROPER('Sales_RAW(BEFORE)'!X158)</f>
        <v>Processing</v>
      </c>
      <c r="AA154" s="3" t="str" cm="1">
        <f t="array" ref="AA154">_xlfn.LET(
  _xlpm.val, TRIM(LOWER('Sales_RAW(BEFORE)'!Y158)),
  _xlfn.IFS(
    OR(_xlpm.val="yes", _xlpm.val="paid"), "Paid",
    OR(_xlpm.val="no", _xlpm.val="unpaid"), "Unpaid",
    OR(_xlpm.val="partial", _xlpm.val="partial paid"), "Partial",
    _xlpm.val="", "",
    TRUE, 'Sales_RAW(BEFORE)'!AY158
  )
)</f>
        <v>Paid</v>
      </c>
      <c r="AB154" s="3" t="s">
        <v>2766</v>
      </c>
      <c r="AC154" s="3" t="str">
        <f>PROPER('Sales_RAW(BEFORE)'!AA158)</f>
        <v>Web</v>
      </c>
      <c r="AD154" s="3" t="str">
        <f>SUBSTITUTE(SUBSTITUTE(SUBSTITUTE(SUBSTITUTE('Sales_RAW(BEFORE)'!AB158,"st",""),"q",""),"Q",""),"uarter","")</f>
        <v>3</v>
      </c>
      <c r="AE154" s="3" t="str">
        <f>TEXT(IFERROR(DATEVALUE('Sales_RAW(BEFORE)'!AC158 &amp; " 1"), IFERROR(DATE(2025, 'Sales_RAW(BEFORE)'!AC158, 1), 'Sales_RAW(BEFORE)'!AC158)), "mmmm")</f>
        <v>January</v>
      </c>
      <c r="AF154" s="3">
        <f>_xlfn.LET(
  _xlpm.raw, TRIM(SUBSTITUTE('Sales_RAW(BEFORE)'!AD158, "'", "")),
  _xlpm.num, IFERROR(VALUE(_xlpm.raw), 0),
  IF(_xlpm.num &lt; 100, 2000 + _xlpm.num, _xlpm.num)
)</f>
        <v>2026</v>
      </c>
      <c r="AG154" s="3" t="str">
        <f>PROPER('Sales_RAW(BEFORE)'!AE158)</f>
        <v>15</v>
      </c>
      <c r="AH154" s="3" cm="1">
        <f t="array" ref="AH154">_xlfn.LET(
  _xlpm.val, LOWER(TRIM('Sales_RAW(BEFORE)'!AF158)),
  _xlfn.IFS(
    OR(_xlpm.val="", _xlpm.val="null", _xlpm.val="N/A", _xlpm.val="-", _xlpm.val="#N/A"), 0,
    ISNUMBER('Sales_RAW(BEFORE)'!AF158), 'Sales_RAW(BEFORE)'!AF158,
    TRUE, IFERROR(_xlfn.NUMBERVALUE(_xlpm.val), 0)
  )
)</f>
        <v>40</v>
      </c>
      <c r="AI154" s="5">
        <f>IF(IFERROR(VALUE(SUBSTITUTE(SUBSTITUTE(TRIM('Sales_RAW(BEFORE)'!AG158), "%", ""), ",", ".")), 0) &gt; 1, IFERROR(VALUE(SUBSTITUTE(SUBSTITUTE(TRIM('Sales_RAW(BEFORE)'!AG158), "%", ""), ",", ".")), 0) / 100, IFERROR(VALUE(SUBSTITUTE(SUBSTITUTE(TRIM('Sales_RAW(BEFORE)'!AG158), "%", ""), ",", ".")), 0))</f>
        <v>0.08</v>
      </c>
      <c r="AJ154" s="6">
        <f t="shared" si="11"/>
        <v>2815.5623783783785</v>
      </c>
      <c r="AK154" s="6">
        <f t="shared" si="12"/>
        <v>38010.092108108111</v>
      </c>
      <c r="AL154" s="6">
        <f>IFERROR(VALUE(SUBSTITUTE(SUBSTITUTE(SUBSTITUTE('Sales_RAW(BEFORE)'!AJ158,"$",""),"USD",""),",",".")),0)</f>
        <v>28.84</v>
      </c>
      <c r="AM154" s="3" t="str">
        <f>SUBSTITUTE(SUBSTITUTE(PROPER('Sales_RAW(BEFORE)'!AK158), "Fed Ex", "FedEx"),"Fedex","FedEx")</f>
        <v>FedEx</v>
      </c>
      <c r="AN154" s="3" t="s">
        <v>2768</v>
      </c>
      <c r="AO154" s="3" t="str">
        <f>SUBSTITUTE('Sales_RAW(BEFORE)'!AM158,"kg","")</f>
        <v>24.58</v>
      </c>
      <c r="AP154" s="3" t="str">
        <f>_xlfn.LET(
  _xlpm.raw, UPPER(TRIM('Sales_RAW(BEFORE)'!AN158)),
  _xlpm.clean, RIGHT(_xlpm.raw, 1),
  IF(OR(_xlpm.raw="", _xlpm.raw="null"), "N/A", _xlpm.clean)
)</f>
        <v>B</v>
      </c>
      <c r="AQ154" s="3">
        <v>98</v>
      </c>
      <c r="AR154" s="3" cm="1">
        <f t="array" ref="AR154">_xlfn.LET(
  _xlpm.raw, LOWER(TRIM('Sales_RAW(BEFORE)'!AP158)),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154" s="3"/>
      <c r="AT154" s="3"/>
      <c r="AU154" s="3"/>
      <c r="AV154" s="8">
        <f>IF(IFERROR(VALUE(SUBSTITUTE(SUBSTITUTE(TRIM('Sales_RAW(BEFORE)'!AT158), "%", ""), ",", ".")), 0) &gt; 1, IFERROR(VALUE(SUBSTITUTE(SUBSTITUTE(TRIM('Sales_RAW(BEFORE)'!AT158), "%", ""), ",", ".")), 0) / 100, IFERROR(VALUE(SUBSTITUTE(SUBSTITUTE(TRIM('Sales_RAW(BEFORE)'!AT158), "%", ""), ",", ".")), 0))</f>
        <v>0.25</v>
      </c>
      <c r="AW154" s="6">
        <f>BA154*(_xlfn.XLOOKUP(N154,Employees!$A$2:$A$26,Employees!$E$2:$E$26,2))</f>
        <v>855.22707243243246</v>
      </c>
      <c r="AX154" s="3" t="str">
        <f>PROPER('Sales_RAW(BEFORE)'!AV158)</f>
        <v>David Smith</v>
      </c>
      <c r="AY154" s="3" t="str">
        <f t="shared" si="13"/>
        <v>David Smith</v>
      </c>
      <c r="AZ154" s="3"/>
      <c r="BA154" s="24">
        <f>AK154*(1-(_xlfn.XLOOKUP(G154, Exchange_Rates!$B$8:$F$8, Exchange_Rates!$B$9:$F$9, 0)+J154))</f>
        <v>28507.569081081085</v>
      </c>
      <c r="BB154" s="7" cm="1">
        <f t="array" ref="BB154">_xlfn.LET(
  _xlpm.raw_dt, SUBSTITUTE(TRIM(C154), ".", "/"),
  _xlpm.dt, IFERROR(DATEVALUE(_xlpm.raw_dt), C154),
  _xlpm.p_code, TRIM(E154),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47149</v>
      </c>
      <c r="BC154" s="25">
        <f t="shared" si="14"/>
        <v>7126.8922702702712</v>
      </c>
    </row>
    <row r="155" spans="1:55" ht="15.75" thickBot="1" x14ac:dyDescent="0.3">
      <c r="A155" s="3" t="s">
        <v>1003</v>
      </c>
      <c r="B155" s="10">
        <v>45916</v>
      </c>
      <c r="C155" s="4">
        <f>DATE(2025,9,21)</f>
        <v>45921</v>
      </c>
      <c r="D155" s="3" t="str">
        <f>"P-" &amp; TEXT(VALUE(SUBSTITUTE(SUBSTITUTE(SUBSTITUTE(UPPER(TRIM('Sales_RAW(BEFORE)'!D160)), "P", ""), "-", ""), "_", "")),"000")</f>
        <v>P-010</v>
      </c>
      <c r="E155" s="3" t="str">
        <f>VLOOKUP(D155,Product_List!$A$2:$B$61,2,FALSE)</f>
        <v>Headphones Basic 10</v>
      </c>
      <c r="F155" s="3" t="str">
        <f>_xlfn.XLOOKUP(E155,Product_List!$B$2:$B$61,Product_List!$E$2:$E$61,2)</f>
        <v>TechSupply Co</v>
      </c>
      <c r="G155" s="3" t="str">
        <f>VLOOKUP(E155,Product_List!$B$2:$C$61,2,FALSE)</f>
        <v>Equipment</v>
      </c>
      <c r="H155" s="3" t="str">
        <f>SUBSTITUTE(SUBSTITUTE('Sales_RAW(BEFORE)'!G160,"kom",""),".","")</f>
        <v>25</v>
      </c>
      <c r="I155" s="6">
        <f>VLOOKUP(E155,Product_List!$B$2:$D$61,3,FALSE)</f>
        <v>1225.1099999999999</v>
      </c>
      <c r="J155" s="5">
        <f>IF(IFERROR(VALUE(SUBSTITUTE(SUBSTITUTE(TRIM('Sales_RAW(BEFORE)'!I160), "%", ""), ",", ".")), 0) &gt; 1, IFERROR(VALUE(SUBSTITUTE(SUBSTITUTE(TRIM('Sales_RAW(BEFORE)'!I160), "%", ""), ",", ".")), 0) / 100, IFERROR(VALUE(SUBSTITUTE(SUBSTITUTE(TRIM('Sales_RAW(BEFORE)'!I160), "%", ""), ",", ".")), 0))</f>
        <v>0.1</v>
      </c>
      <c r="K155" s="6">
        <f t="shared" si="10"/>
        <v>30627.749999999996</v>
      </c>
      <c r="L155" s="6" t="str" cm="1">
        <f t="array" ref="L155">_xlfn.LET(
  _xlpm.valuta, UPPER(TRIM('Sales_RAW(BEFORE)'!K160)),
  _xlfn.IFS(
    _xlpm.valuta = "", "",
    OR(_xlpm.valuta = "USD", _xlpm.valuta = "$"), "$",
    OR(_xlpm.valuta = "EUR", _xlpm.valuta = "€"), "€",
    TRUE, _xlpm.valuta
  )
)</f>
        <v>$</v>
      </c>
      <c r="M155" s="3" t="str">
        <f>"E" &amp; TEXT(VALUE(SUBSTITUTE(SUBSTITUTE(SUBSTITUTE(UPPER(TRIM('Sales_RAW(BEFORE)'!L160)), "EMP", ""), "E", ""), "-", "")),"000")</f>
        <v>E019</v>
      </c>
      <c r="N155" s="3" t="str">
        <f>_xlfn.XLOOKUP(M155,Employees!$D$2:$D$26,Employees!$A$2:$A$26)</f>
        <v>Sophia Taylor</v>
      </c>
      <c r="O155" s="3" t="str">
        <f>_xlfn.XLOOKUP(N155,Employees!$A$2:$A$26,Employees!$C$2:$C$26,2)</f>
        <v>Wholesale</v>
      </c>
      <c r="P155" s="3" t="str">
        <f>PROPER('Sales_RAW(BEFORE)'!N160)</f>
        <v>West</v>
      </c>
      <c r="Q155" s="3" t="str">
        <f>VLOOKUP(N155,Employees!$A$2:$B$26,2,FALSE)</f>
        <v>Los Angeles</v>
      </c>
      <c r="R155" s="3" t="str">
        <f>PROPER('Sales_RAW(BEFORE)'!P160)</f>
        <v>Globex Inc.</v>
      </c>
      <c r="S155" s="3" t="str">
        <f>SUBSTITUTE(SUBSTITUTE('Sales_RAW(BEFORE)'!Q160,"EIN",""),":","")</f>
        <v>115358037</v>
      </c>
      <c r="T155" s="3" t="s">
        <v>229</v>
      </c>
      <c r="U155" s="3" t="s">
        <v>1012</v>
      </c>
      <c r="V155" s="3" t="s">
        <v>1013</v>
      </c>
      <c r="W155" s="3" t="s">
        <v>1014</v>
      </c>
      <c r="X155" s="3" t="s">
        <v>173</v>
      </c>
      <c r="Y155" s="3" t="str">
        <f>PROPER('Sales_RAW(BEFORE)'!W160)</f>
        <v>Credit Card</v>
      </c>
      <c r="Z155" s="3" t="str">
        <f>PROPER('Sales_RAW(BEFORE)'!X160)</f>
        <v>Cancelled</v>
      </c>
      <c r="AA155" s="3" t="str" cm="1">
        <f t="array" ref="AA155">_xlfn.LET(
  _xlpm.val, TRIM(LOWER('Sales_RAW(BEFORE)'!Y160)),
  _xlfn.IFS(
    OR(_xlpm.val="yes", _xlpm.val="paid"), "Paid",
    OR(_xlpm.val="no", _xlpm.val="unpaid"), "Unpaid",
    OR(_xlpm.val="partial", _xlpm.val="partial paid"), "Partial",
    _xlpm.val="", "",
    TRUE, 'Sales_RAW(BEFORE)'!AY160
  )
)</f>
        <v>Unpaid</v>
      </c>
      <c r="AB155" s="3" t="s">
        <v>1015</v>
      </c>
      <c r="AC155" s="3" t="str">
        <f>PROPER('Sales_RAW(BEFORE)'!AA160)</f>
        <v>Phone</v>
      </c>
      <c r="AD155" s="3" t="str">
        <f>SUBSTITUTE(SUBSTITUTE(SUBSTITUTE(SUBSTITUTE('Sales_RAW(BEFORE)'!AB160,"st",""),"q",""),"Q",""),"uarter","")</f>
        <v>4</v>
      </c>
      <c r="AE155" s="3" t="str">
        <f>TEXT(IFERROR(DATEVALUE('Sales_RAW(BEFORE)'!AC160 &amp; " 1"), IFERROR(DATE(2025, 'Sales_RAW(BEFORE)'!AC160, 1), 'Sales_RAW(BEFORE)'!AC160)), "mmmm")</f>
        <v>September</v>
      </c>
      <c r="AF155" s="3">
        <f>_xlfn.LET(
  _xlpm.raw, TRIM(SUBSTITUTE('Sales_RAW(BEFORE)'!AD160, "'", "")),
  _xlpm.num, IFERROR(VALUE(_xlpm.raw), 0),
  IF(_xlpm.num &lt; 100, 2000 + _xlpm.num, _xlpm.num)
)</f>
        <v>2025</v>
      </c>
      <c r="AG155" s="3" t="str">
        <f>PROPER('Sales_RAW(BEFORE)'!AE160)</f>
        <v>15</v>
      </c>
      <c r="AH155" s="3" cm="1">
        <f t="array" ref="AH155">_xlfn.LET(
  _xlpm.val, LOWER(TRIM('Sales_RAW(BEFORE)'!AF160)),
  _xlfn.IFS(
    OR(_xlpm.val="", _xlpm.val="null", _xlpm.val="N/A", _xlpm.val="-", _xlpm.val="#N/A"), 0,
    ISNUMBER('Sales_RAW(BEFORE)'!AF160), 'Sales_RAW(BEFORE)'!AF160,
    TRUE, IFERROR(_xlfn.NUMBERVALUE(_xlpm.val), 0)
  )
)</f>
        <v>79</v>
      </c>
      <c r="AI155" s="5">
        <f>IF(IFERROR(VALUE(SUBSTITUTE(SUBSTITUTE(TRIM('Sales_RAW(BEFORE)'!AG160), "%", ""), ",", ".")), 0) &gt; 1, IFERROR(VALUE(SUBSTITUTE(SUBSTITUTE(TRIM('Sales_RAW(BEFORE)'!AG160), "%", ""), ",", ".")), 0) / 100, IFERROR(VALUE(SUBSTITUTE(SUBSTITUTE(TRIM('Sales_RAW(BEFORE)'!AG160), "%", ""), ",", ".")), 0))</f>
        <v>0.08</v>
      </c>
      <c r="AJ155" s="6">
        <f t="shared" si="11"/>
        <v>2450.2199999999998</v>
      </c>
      <c r="AK155" s="6">
        <f t="shared" si="12"/>
        <v>33077.969999999994</v>
      </c>
      <c r="AL155" s="6">
        <f>IFERROR(VALUE(SUBSTITUTE(SUBSTITUTE(SUBSTITUTE('Sales_RAW(BEFORE)'!AJ160,"$",""),"USD",""),",",".")),0)</f>
        <v>0</v>
      </c>
      <c r="AM155" s="3" t="str">
        <f>SUBSTITUTE(SUBSTITUTE(PROPER('Sales_RAW(BEFORE)'!AK160), "Fed Ex", "FedEx"),"Fedex","FedEx")</f>
        <v>Ups</v>
      </c>
      <c r="AN155" s="3" t="s">
        <v>1016</v>
      </c>
      <c r="AO155" s="3" t="str">
        <f>SUBSTITUTE('Sales_RAW(BEFORE)'!AM160,"kg","")</f>
        <v>26.05</v>
      </c>
      <c r="AP155" s="3" t="str">
        <f>_xlfn.LET(
  _xlpm.raw, UPPER(TRIM('Sales_RAW(BEFORE)'!AN160)),
  _xlpm.clean, RIGHT(_xlpm.raw, 1),
  IF(OR(_xlpm.raw="", _xlpm.raw="null"), "N/A", _xlpm.clean)
)</f>
        <v>A</v>
      </c>
      <c r="AQ155" s="3">
        <v>0</v>
      </c>
      <c r="AR155" s="3" cm="1">
        <f t="array" ref="AR155">_xlfn.LET(
  _xlpm.raw, LOWER(TRIM('Sales_RAW(BEFORE)'!AP160)),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155" s="3"/>
      <c r="AT155" s="3"/>
      <c r="AU155" s="3"/>
      <c r="AV155" s="8">
        <f>IF(IFERROR(VALUE(SUBSTITUTE(SUBSTITUTE(TRIM('Sales_RAW(BEFORE)'!AT160), "%", ""), ",", ".")), 0) &gt; 1, IFERROR(VALUE(SUBSTITUTE(SUBSTITUTE(TRIM('Sales_RAW(BEFORE)'!AT160), "%", ""), ",", ".")), 0) / 100, IFERROR(VALUE(SUBSTITUTE(SUBSTITUTE(TRIM('Sales_RAW(BEFORE)'!AT160), "%", ""), ",", ".")), 0))</f>
        <v>0.25</v>
      </c>
      <c r="AW155" s="6">
        <f>BA155*(_xlfn.XLOOKUP(N155,Employees!$A$2:$A$26,Employees!$E$2:$E$26,2))</f>
        <v>793.87127999999984</v>
      </c>
      <c r="AX155" s="3" t="str">
        <f>PROPER('Sales_RAW(BEFORE)'!AV160)</f>
        <v xml:space="preserve">Chris Jones   </v>
      </c>
      <c r="AY155" s="3" t="str">
        <f t="shared" si="13"/>
        <v xml:space="preserve">Chris Jones   </v>
      </c>
      <c r="AZ155" s="3"/>
      <c r="BA155" s="24">
        <f>AK155*(1-(_xlfn.XLOOKUP(G155, Exchange_Rates!$B$8:$F$8, Exchange_Rates!$B$9:$F$9, 0)+J155))</f>
        <v>26462.375999999997</v>
      </c>
      <c r="BB155" s="7" cm="1">
        <f t="array" ref="BB155">_xlfn.LET(
  _xlpm.raw_dt, SUBSTITUTE(TRIM(C155), ".", "/"),
  _xlpm.dt, IFERROR(DATEVALUE(_xlpm.raw_dt), C155),
  _xlpm.p_code, TRIM(E155),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46651</v>
      </c>
      <c r="BC155" s="25">
        <f t="shared" si="14"/>
        <v>6615.5939999999991</v>
      </c>
    </row>
    <row r="156" spans="1:55" ht="15.75" thickBot="1" x14ac:dyDescent="0.3">
      <c r="A156" s="3" t="s">
        <v>2771</v>
      </c>
      <c r="B156" s="10">
        <v>45975</v>
      </c>
      <c r="C156" s="4">
        <v>45989</v>
      </c>
      <c r="D156" s="3" t="str">
        <f>"P-" &amp; TEXT(VALUE(SUBSTITUTE(SUBSTITUTE(SUBSTITUTE(UPPER(TRIM('Sales_RAW(BEFORE)'!D161)), "P", ""), "-", ""), "_", "")),"000")</f>
        <v>P-055</v>
      </c>
      <c r="E156" s="3" t="str">
        <f>VLOOKUP(D156,Product_List!$A$2:$B$61,2,FALSE)</f>
        <v>Cable Basic 55</v>
      </c>
      <c r="F156" s="3" t="str">
        <f>_xlfn.XLOOKUP(E156,Product_List!$B$2:$B$61,Product_List!$E$2:$E$61,2)</f>
        <v>BestParts</v>
      </c>
      <c r="G156" s="3" t="str">
        <f>VLOOKUP(E156,Product_List!$B$2:$C$61,2,FALSE)</f>
        <v>Office</v>
      </c>
      <c r="H156" s="3" t="str">
        <f>SUBSTITUTE(SUBSTITUTE('Sales_RAW(BEFORE)'!G161,"kom",""),".","")</f>
        <v xml:space="preserve">2 </v>
      </c>
      <c r="I156" s="6">
        <f>VLOOKUP(E156,Product_List!$B$2:$D$61,3,FALSE)</f>
        <v>921.78</v>
      </c>
      <c r="J156" s="5">
        <f>IF(IFERROR(VALUE(SUBSTITUTE(SUBSTITUTE(TRIM('Sales_RAW(BEFORE)'!I161), "%", ""), ",", ".")), 0) &gt; 1, IFERROR(VALUE(SUBSTITUTE(SUBSTITUTE(TRIM('Sales_RAW(BEFORE)'!I161), "%", ""), ",", ".")), 0) / 100, IFERROR(VALUE(SUBSTITUTE(SUBSTITUTE(TRIM('Sales_RAW(BEFORE)'!I161), "%", ""), ",", ".")), 0))</f>
        <v>0.1</v>
      </c>
      <c r="K156" s="6">
        <f t="shared" si="10"/>
        <v>1843.56</v>
      </c>
      <c r="L156" s="6" t="str" cm="1">
        <f t="array" ref="L156">_xlfn.LET(
  _xlpm.valuta, UPPER(TRIM('Sales_RAW(BEFORE)'!K161)),
  _xlfn.IFS(
    _xlpm.valuta = "", "",
    OR(_xlpm.valuta = "USD", _xlpm.valuta = "$"), "$",
    OR(_xlpm.valuta = "EUR", _xlpm.valuta = "€"), "€",
    TRUE, _xlpm.valuta
  )
)</f>
        <v>$</v>
      </c>
      <c r="M156" s="3" t="str">
        <f>"E" &amp; TEXT(VALUE(SUBSTITUTE(SUBSTITUTE(SUBSTITUTE(UPPER(TRIM('Sales_RAW(BEFORE)'!L161)), "EMP", ""), "E", ""), "-", "")),"000")</f>
        <v>E019</v>
      </c>
      <c r="N156" s="3" t="str">
        <f>_xlfn.XLOOKUP(M156,Employees!$D$2:$D$26,Employees!$A$2:$A$26)</f>
        <v>Sophia Taylor</v>
      </c>
      <c r="O156" s="3" t="str">
        <f>_xlfn.XLOOKUP(N156,Employees!$A$2:$A$26,Employees!$C$2:$C$26,2)</f>
        <v>Wholesale</v>
      </c>
      <c r="P156" s="3" t="str">
        <f>PROPER('Sales_RAW(BEFORE)'!N161)</f>
        <v>East</v>
      </c>
      <c r="Q156" s="3" t="str">
        <f>VLOOKUP(N156,Employees!$A$2:$B$26,2,FALSE)</f>
        <v>Los Angeles</v>
      </c>
      <c r="R156" s="3" t="str">
        <f>PROPER('Sales_RAW(BEFORE)'!P161)</f>
        <v xml:space="preserve"> Globex Llc</v>
      </c>
      <c r="S156" s="3" t="str">
        <f>SUBSTITUTE(SUBSTITUTE('Sales_RAW(BEFORE)'!Q161,"EIN",""),":","")</f>
        <v>234858038</v>
      </c>
      <c r="T156" s="3" t="s">
        <v>1450</v>
      </c>
      <c r="U156" s="3" t="s">
        <v>2779</v>
      </c>
      <c r="V156" s="3" t="s">
        <v>2780</v>
      </c>
      <c r="W156" s="3" t="s">
        <v>2781</v>
      </c>
      <c r="X156" s="3" t="s">
        <v>173</v>
      </c>
      <c r="Y156" s="3" t="str">
        <f>PROPER('Sales_RAW(BEFORE)'!W161)</f>
        <v>Credit Card</v>
      </c>
      <c r="Z156" s="3" t="str">
        <f>PROPER('Sales_RAW(BEFORE)'!X161)</f>
        <v>Delivered</v>
      </c>
      <c r="AA156" s="3" t="str" cm="1">
        <f t="array" ref="AA156">_xlfn.LET(
  _xlpm.val, TRIM(LOWER('Sales_RAW(BEFORE)'!Y161)),
  _xlfn.IFS(
    OR(_xlpm.val="yes", _xlpm.val="paid"), "Paid",
    OR(_xlpm.val="no", _xlpm.val="unpaid"), "Unpaid",
    OR(_xlpm.val="partial", _xlpm.val="partial paid"), "Partial",
    _xlpm.val="", "",
    TRUE, 'Sales_RAW(BEFORE)'!AY161
  )
)</f>
        <v>Paid</v>
      </c>
      <c r="AB156" s="3" t="s">
        <v>2782</v>
      </c>
      <c r="AC156" s="3" t="str">
        <f>PROPER('Sales_RAW(BEFORE)'!AA161)</f>
        <v>Online</v>
      </c>
      <c r="AD156" s="3" t="str">
        <f>SUBSTITUTE(SUBSTITUTE(SUBSTITUTE(SUBSTITUTE('Sales_RAW(BEFORE)'!AB161,"st",""),"q",""),"Q",""),"uarter","")</f>
        <v>4</v>
      </c>
      <c r="AE156" s="3" t="str">
        <f>TEXT(IFERROR(DATEVALUE('Sales_RAW(BEFORE)'!AC161 &amp; " 1"), IFERROR(DATE(2025, 'Sales_RAW(BEFORE)'!AC161, 1), 'Sales_RAW(BEFORE)'!AC161)), "mmmm")</f>
        <v>November</v>
      </c>
      <c r="AF156" s="3">
        <f>_xlfn.LET(
  _xlpm.raw, TRIM(SUBSTITUTE('Sales_RAW(BEFORE)'!AD161, "'", "")),
  _xlpm.num, IFERROR(VALUE(_xlpm.raw), 0),
  IF(_xlpm.num &lt; 100, 2000 + _xlpm.num, _xlpm.num)
)</f>
        <v>2025</v>
      </c>
      <c r="AG156" s="3" t="str">
        <f>PROPER('Sales_RAW(BEFORE)'!AE161)</f>
        <v>Net 60</v>
      </c>
      <c r="AH156" s="3" cm="1">
        <f t="array" ref="AH156">_xlfn.LET(
  _xlpm.val, LOWER(TRIM('Sales_RAW(BEFORE)'!AF161)),
  _xlfn.IFS(
    OR(_xlpm.val="", _xlpm.val="null", _xlpm.val="N/A", _xlpm.val="-", _xlpm.val="#N/A"), 0,
    ISNUMBER('Sales_RAW(BEFORE)'!AF161), 'Sales_RAW(BEFORE)'!AF161,
    TRUE, IFERROR(_xlfn.NUMBERVALUE(_xlpm.val), 0)
  )
)</f>
        <v>26</v>
      </c>
      <c r="AI156" s="5">
        <f>IF(IFERROR(VALUE(SUBSTITUTE(SUBSTITUTE(TRIM('Sales_RAW(BEFORE)'!AG161), "%", ""), ",", ".")), 0) &gt; 1, IFERROR(VALUE(SUBSTITUTE(SUBSTITUTE(TRIM('Sales_RAW(BEFORE)'!AG161), "%", ""), ",", ".")), 0) / 100, IFERROR(VALUE(SUBSTITUTE(SUBSTITUTE(TRIM('Sales_RAW(BEFORE)'!AG161), "%", ""), ",", ".")), 0))</f>
        <v>0.08</v>
      </c>
      <c r="AJ156" s="6">
        <f t="shared" si="11"/>
        <v>147.48480000000001</v>
      </c>
      <c r="AK156" s="6">
        <f t="shared" si="12"/>
        <v>1991.0447999999999</v>
      </c>
      <c r="AL156" s="6">
        <f>IFERROR(VALUE(SUBSTITUTE(SUBSTITUTE(SUBSTITUTE('Sales_RAW(BEFORE)'!AJ161,"$",""),"USD",""),",",".")),0)</f>
        <v>18</v>
      </c>
      <c r="AM156" s="3" t="str">
        <f>SUBSTITUTE(SUBSTITUTE(PROPER('Sales_RAW(BEFORE)'!AK161), "Fed Ex", "FedEx"),"Fedex","FedEx")</f>
        <v>Ups</v>
      </c>
      <c r="AN156" s="3" t="s">
        <v>2784</v>
      </c>
      <c r="AO156" s="3" t="str">
        <f>SUBSTITUTE('Sales_RAW(BEFORE)'!AM161,"kg","")</f>
        <v xml:space="preserve">8.6 </v>
      </c>
      <c r="AP156" s="3" t="str">
        <f>_xlfn.LET(
  _xlpm.raw, UPPER(TRIM('Sales_RAW(BEFORE)'!AN161)),
  _xlpm.clean, RIGHT(_xlpm.raw, 1),
  IF(OR(_xlpm.raw="", _xlpm.raw="null"), "N/A", _xlpm.clean)
)</f>
        <v>B</v>
      </c>
      <c r="AQ156" s="3">
        <v>456</v>
      </c>
      <c r="AR156" s="3" t="str" cm="1">
        <f t="array" ref="AR156">_xlfn.LET(
  _xlpm.raw, LOWER(TRIM('Sales_RAW(BEFORE)'!AP161)),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156" s="3"/>
      <c r="AT156" s="3"/>
      <c r="AU156" s="3"/>
      <c r="AV156" s="8">
        <f>IF(IFERROR(VALUE(SUBSTITUTE(SUBSTITUTE(TRIM('Sales_RAW(BEFORE)'!AT161), "%", ""), ",", ".")), 0) &gt; 1, IFERROR(VALUE(SUBSTITUTE(SUBSTITUTE(TRIM('Sales_RAW(BEFORE)'!AT161), "%", ""), ",", ".")), 0) / 100, IFERROR(VALUE(SUBSTITUTE(SUBSTITUTE(TRIM('Sales_RAW(BEFORE)'!AT161), "%", ""), ",", ".")), 0))</f>
        <v>0</v>
      </c>
      <c r="AW156" s="6">
        <f>BA156*(_xlfn.XLOOKUP(N156,Employees!$A$2:$A$26,Employees!$E$2:$E$26,2))</f>
        <v>47.785075199999994</v>
      </c>
      <c r="AX156" s="3" t="str">
        <f>PROPER('Sales_RAW(BEFORE)'!AV161)</f>
        <v>Olivia Williams</v>
      </c>
      <c r="AY156" s="3" t="str">
        <f t="shared" si="13"/>
        <v>Olivia Williams</v>
      </c>
      <c r="AZ156" s="3"/>
      <c r="BA156" s="24">
        <f>AK156*(1-(_xlfn.XLOOKUP(G156, Exchange_Rates!$B$8:$F$8, Exchange_Rates!$B$9:$F$9, 0)+J156))</f>
        <v>1592.83584</v>
      </c>
      <c r="BB156" s="7" cm="1">
        <f t="array" ref="BB156">_xlfn.LET(
  _xlpm.raw_dt, SUBSTITUTE(TRIM(C156), ".", "/"),
  _xlpm.dt, IFERROR(DATEVALUE(_xlpm.raw_dt), C156),
  _xlpm.p_code, TRIM(E156),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46719</v>
      </c>
      <c r="BC156" s="25">
        <f t="shared" si="14"/>
        <v>0</v>
      </c>
    </row>
    <row r="157" spans="1:55" ht="15.75" thickBot="1" x14ac:dyDescent="0.3">
      <c r="A157" s="3" t="s">
        <v>2788</v>
      </c>
      <c r="B157" s="10">
        <v>45728</v>
      </c>
      <c r="C157" s="4" t="s">
        <v>134</v>
      </c>
      <c r="D157" s="3" t="str">
        <f>"P-" &amp; TEXT(VALUE(SUBSTITUTE(SUBSTITUTE(SUBSTITUTE(UPPER(TRIM('Sales_RAW(BEFORE)'!D162)), "P", ""), "-", ""), "_", "")),"000")</f>
        <v>P-043</v>
      </c>
      <c r="E157" s="3" t="str">
        <f>VLOOKUP(D157,Product_List!$A$2:$B$61,2,FALSE)</f>
        <v>Headphones X 43</v>
      </c>
      <c r="F157" s="3" t="str">
        <f>_xlfn.XLOOKUP(E157,Product_List!$B$2:$B$61,Product_List!$E$2:$E$61,2)</f>
        <v>Global Distrib</v>
      </c>
      <c r="G157" s="3" t="str">
        <f>VLOOKUP(E157,Product_List!$B$2:$C$61,2,FALSE)</f>
        <v>Equipment</v>
      </c>
      <c r="H157" s="3" t="str">
        <f>SUBSTITUTE(SUBSTITUTE('Sales_RAW(BEFORE)'!G162,"kom",""),".","")</f>
        <v>27</v>
      </c>
      <c r="I157" s="6">
        <f>VLOOKUP(E157,Product_List!$B$2:$D$61,3,FALSE)</f>
        <v>156.69</v>
      </c>
      <c r="J157" s="5">
        <f>IF(IFERROR(VALUE(SUBSTITUTE(SUBSTITUTE(TRIM('Sales_RAW(BEFORE)'!I162), "%", ""), ",", ".")), 0) &gt; 1, IFERROR(VALUE(SUBSTITUTE(SUBSTITUTE(TRIM('Sales_RAW(BEFORE)'!I162), "%", ""), ",", ".")), 0) / 100, IFERROR(VALUE(SUBSTITUTE(SUBSTITUTE(TRIM('Sales_RAW(BEFORE)'!I162), "%", ""), ",", ".")), 0))</f>
        <v>0</v>
      </c>
      <c r="K157" s="6">
        <f>(H157*I157)/(HLOOKUP(AE157,Exchange_Rates!$B$1:$M$2,2,FALSE))</f>
        <v>4638.8486842105267</v>
      </c>
      <c r="L157" s="6" t="str" cm="1">
        <f t="array" ref="L157">_xlfn.LET(
  _xlpm.valuta, UPPER(TRIM('Sales_RAW(BEFORE)'!K162)),
  _xlfn.IFS(
    _xlpm.valuta = "", "",
    OR(_xlpm.valuta = "USD", _xlpm.valuta = "$"), "$",
    OR(_xlpm.valuta = "EUR", _xlpm.valuta = "€"), "€",
    TRUE, _xlpm.valuta
  )
)</f>
        <v>€</v>
      </c>
      <c r="M157" s="3" t="str">
        <f>"E" &amp; TEXT(VALUE(SUBSTITUTE(SUBSTITUTE(SUBSTITUTE(UPPER(TRIM('Sales_RAW(BEFORE)'!L162)), "EMP", ""), "E", ""), "-", "")),"000")</f>
        <v>E006</v>
      </c>
      <c r="N157" s="3" t="str">
        <f>_xlfn.XLOOKUP(M157,Employees!$D$2:$D$26,Employees!$A$2:$A$26)</f>
        <v>Emily Davis</v>
      </c>
      <c r="O157" s="3" t="str">
        <f>_xlfn.XLOOKUP(N157,Employees!$A$2:$A$26,Employees!$C$2:$C$26,2)</f>
        <v>Retail</v>
      </c>
      <c r="P157" s="3" t="str">
        <f>PROPER('Sales_RAW(BEFORE)'!N162)</f>
        <v>West</v>
      </c>
      <c r="Q157" s="3" t="str">
        <f>VLOOKUP(N157,Employees!$A$2:$B$26,2,FALSE)</f>
        <v>Houston</v>
      </c>
      <c r="R157" s="3" t="str">
        <f>PROPER('Sales_RAW(BEFORE)'!P162)</f>
        <v xml:space="preserve">   Vortex Inc.</v>
      </c>
      <c r="S157" s="3" t="str">
        <f>SUBSTITUTE(SUBSTITUTE('Sales_RAW(BEFORE)'!Q162,"EIN",""),":","")</f>
        <v>714395356</v>
      </c>
      <c r="T157" s="3" t="s">
        <v>142</v>
      </c>
      <c r="U157" s="3" t="s">
        <v>2795</v>
      </c>
      <c r="V157" s="3" t="s">
        <v>2796</v>
      </c>
      <c r="W157" s="3" t="s">
        <v>2797</v>
      </c>
      <c r="X157" s="3" t="s">
        <v>173</v>
      </c>
      <c r="Y157" s="3" t="str">
        <f>PROPER('Sales_RAW(BEFORE)'!W162)</f>
        <v>Paypal</v>
      </c>
      <c r="Z157" s="3" t="str">
        <f>PROPER('Sales_RAW(BEFORE)'!X162)</f>
        <v>Cancelled</v>
      </c>
      <c r="AA157" s="3" t="str" cm="1">
        <f t="array" ref="AA157">_xlfn.LET(
  _xlpm.val, TRIM(LOWER('Sales_RAW(BEFORE)'!Y162)),
  _xlfn.IFS(
    OR(_xlpm.val="yes", _xlpm.val="paid"), "Paid",
    OR(_xlpm.val="no", _xlpm.val="unpaid"), "Unpaid",
    OR(_xlpm.val="partial", _xlpm.val="partial paid"), "Partial",
    _xlpm.val="", "",
    TRUE, 'Sales_RAW(BEFORE)'!AY162
  )
)</f>
        <v>Partial</v>
      </c>
      <c r="AB157" s="3" t="s">
        <v>2798</v>
      </c>
      <c r="AC157" s="3" t="str">
        <f>PROPER('Sales_RAW(BEFORE)'!AA162)</f>
        <v>Store</v>
      </c>
      <c r="AD157" s="3" t="str">
        <f>SUBSTITUTE(SUBSTITUTE(SUBSTITUTE(SUBSTITUTE('Sales_RAW(BEFORE)'!AB162,"st",""),"q",""),"Q",""),"uarter","")</f>
        <v>1</v>
      </c>
      <c r="AE157" s="3" t="str">
        <f>TEXT(IFERROR(DATEVALUE('Sales_RAW(BEFORE)'!AC162 &amp; " 1"), IFERROR(DATE(2025, 'Sales_RAW(BEFORE)'!AC162, 1), 'Sales_RAW(BEFORE)'!AC162)), "mmmm")</f>
        <v>December</v>
      </c>
      <c r="AF157" s="3">
        <f>_xlfn.LET(
  _xlpm.raw, TRIM(SUBSTITUTE('Sales_RAW(BEFORE)'!AD162, "'", "")),
  _xlpm.num, IFERROR(VALUE(_xlpm.raw), 0),
  IF(_xlpm.num &lt; 100, 2000 + _xlpm.num, _xlpm.num)
)</f>
        <v>2025</v>
      </c>
      <c r="AG157" s="3" t="str">
        <f>PROPER('Sales_RAW(BEFORE)'!AE162)</f>
        <v>15</v>
      </c>
      <c r="AH157" s="3" cm="1">
        <f t="array" ref="AH157">_xlfn.LET(
  _xlpm.val, LOWER(TRIM('Sales_RAW(BEFORE)'!AF162)),
  _xlfn.IFS(
    OR(_xlpm.val="", _xlpm.val="null", _xlpm.val="N/A", _xlpm.val="-", _xlpm.val="#N/A"), 0,
    ISNUMBER('Sales_RAW(BEFORE)'!AF162), 'Sales_RAW(BEFORE)'!AF162,
    TRUE, IFERROR(_xlfn.NUMBERVALUE(_xlpm.val), 0)
  )
)</f>
        <v>73</v>
      </c>
      <c r="AI157" s="5">
        <f>IF(IFERROR(VALUE(SUBSTITUTE(SUBSTITUTE(TRIM('Sales_RAW(BEFORE)'!AG162), "%", ""), ",", ".")), 0) &gt; 1, IFERROR(VALUE(SUBSTITUTE(SUBSTITUTE(TRIM('Sales_RAW(BEFORE)'!AG162), "%", ""), ",", ".")), 0) / 100, IFERROR(VALUE(SUBSTITUTE(SUBSTITUTE(TRIM('Sales_RAW(BEFORE)'!AG162), "%", ""), ",", ".")), 0))</f>
        <v>0.08</v>
      </c>
      <c r="AJ157" s="6">
        <f t="shared" si="11"/>
        <v>371.10789473684213</v>
      </c>
      <c r="AK157" s="6">
        <f t="shared" si="12"/>
        <v>5009.9565789473691</v>
      </c>
      <c r="AL157" s="6">
        <f>IFERROR(VALUE(SUBSTITUTE(SUBSTITUTE(SUBSTITUTE('Sales_RAW(BEFORE)'!AJ162,"$",""),"USD",""),",",".")),0)</f>
        <v>26.07</v>
      </c>
      <c r="AM157" s="3" t="str">
        <f>SUBSTITUTE(SUBSTITUTE(PROPER('Sales_RAW(BEFORE)'!AK162), "Fed Ex", "FedEx"),"Fedex","FedEx")</f>
        <v>Ups</v>
      </c>
      <c r="AN157" s="3" t="s">
        <v>2800</v>
      </c>
      <c r="AO157" s="3" t="str">
        <f>SUBSTITUTE('Sales_RAW(BEFORE)'!AM162,"kg","")</f>
        <v xml:space="preserve">17.9 </v>
      </c>
      <c r="AP157" s="3" t="str">
        <f>_xlfn.LET(
  _xlpm.raw, UPPER(TRIM('Sales_RAW(BEFORE)'!AN162)),
  _xlpm.clean, RIGHT(_xlpm.raw, 1),
  IF(OR(_xlpm.raw="", _xlpm.raw="null"), "N/A", _xlpm.clean)
)</f>
        <v>B</v>
      </c>
      <c r="AQ157" s="3">
        <v>78</v>
      </c>
      <c r="AR157" s="3" cm="1">
        <f t="array" ref="AR157">_xlfn.LET(
  _xlpm.raw, LOWER(TRIM('Sales_RAW(BEFORE)'!AP162)),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157" s="3"/>
      <c r="AT157" s="3"/>
      <c r="AU157" s="3"/>
      <c r="AV157" s="8">
        <f>IF(IFERROR(VALUE(SUBSTITUTE(SUBSTITUTE(TRIM('Sales_RAW(BEFORE)'!AT162), "%", ""), ",", ".")), 0) &gt; 1, IFERROR(VALUE(SUBSTITUTE(SUBSTITUTE(TRIM('Sales_RAW(BEFORE)'!AT162), "%", ""), ",", ".")), 0) / 100, IFERROR(VALUE(SUBSTITUTE(SUBSTITUTE(TRIM('Sales_RAW(BEFORE)'!AT162), "%", ""), ",", ".")), 0))</f>
        <v>0</v>
      </c>
      <c r="AW157" s="6">
        <f>BA157*(_xlfn.XLOOKUP(N157,Employees!$A$2:$A$26,Employees!$E$2:$E$26,2))</f>
        <v>225.44804605263164</v>
      </c>
      <c r="AX157" s="3" t="str">
        <f>PROPER('Sales_RAW(BEFORE)'!AV162)</f>
        <v>Chris Jones</v>
      </c>
      <c r="AY157" s="3" t="str">
        <f t="shared" si="13"/>
        <v>Chris Jones</v>
      </c>
      <c r="AZ157" s="3"/>
      <c r="BA157" s="24">
        <f>AK157*(1-(_xlfn.XLOOKUP(G157, Exchange_Rates!$B$8:$F$8, Exchange_Rates!$B$9:$F$9, 0)+J157))</f>
        <v>4508.9609210526323</v>
      </c>
      <c r="BB157" s="7" t="str" cm="1">
        <f t="array" ref="BB157">_xlfn.LET(
  _xlpm.raw_dt, SUBSTITUTE(TRIM(C157), ".", "/"),
  _xlpm.dt, IFERROR(DATEVALUE(_xlpm.raw_dt), C157),
  _xlpm.p_code, TRIM(E157),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Empty</v>
      </c>
      <c r="BC157" s="25">
        <f t="shared" si="14"/>
        <v>0</v>
      </c>
    </row>
    <row r="158" spans="1:55" ht="15.75" thickBot="1" x14ac:dyDescent="0.3">
      <c r="A158" s="3" t="s">
        <v>2804</v>
      </c>
      <c r="B158" s="10">
        <f>DATE(2025,8,14)</f>
        <v>45883</v>
      </c>
      <c r="C158" s="4">
        <v>45885</v>
      </c>
      <c r="D158" s="3" t="str">
        <f>"P-" &amp; TEXT(VALUE(SUBSTITUTE(SUBSTITUTE(SUBSTITUTE(UPPER(TRIM('Sales_RAW(BEFORE)'!D163)), "P", ""), "-", ""), "_", "")),"000")</f>
        <v>P-042</v>
      </c>
      <c r="E158" s="3" t="str">
        <f>VLOOKUP(D158,Product_List!$A$2:$B$61,2,FALSE)</f>
        <v>Desk Max 42</v>
      </c>
      <c r="F158" s="3" t="str">
        <f>_xlfn.XLOOKUP(E158,Product_List!$B$2:$B$61,Product_List!$E$2:$E$61,2)</f>
        <v>TechSupply Co</v>
      </c>
      <c r="G158" s="3" t="str">
        <f>VLOOKUP(E158,Product_List!$B$2:$C$61,2,FALSE)</f>
        <v>Electronics</v>
      </c>
      <c r="H158" s="3" t="str">
        <f>SUBSTITUTE(SUBSTITUTE('Sales_RAW(BEFORE)'!G163,"kom",""),".","")</f>
        <v>35</v>
      </c>
      <c r="I158" s="6">
        <f>VLOOKUP(E158,Product_List!$B$2:$D$61,3,FALSE)</f>
        <v>158.06</v>
      </c>
      <c r="J158" s="5">
        <f>IF(IFERROR(VALUE(SUBSTITUTE(SUBSTITUTE(TRIM('Sales_RAW(BEFORE)'!I163), "%", ""), ",", ".")), 0) &gt; 1, IFERROR(VALUE(SUBSTITUTE(SUBSTITUTE(TRIM('Sales_RAW(BEFORE)'!I163), "%", ""), ",", ".")), 0) / 100, IFERROR(VALUE(SUBSTITUTE(SUBSTITUTE(TRIM('Sales_RAW(BEFORE)'!I163), "%", ""), ",", ".")), 0))</f>
        <v>0</v>
      </c>
      <c r="K158" s="6">
        <f t="shared" si="10"/>
        <v>5532.1</v>
      </c>
      <c r="L158" s="6" t="str" cm="1">
        <f t="array" ref="L158">_xlfn.LET(
  _xlpm.valuta, UPPER(TRIM('Sales_RAW(BEFORE)'!K163)),
  _xlfn.IFS(
    _xlpm.valuta = "", "",
    OR(_xlpm.valuta = "USD", _xlpm.valuta = "$"), "$",
    OR(_xlpm.valuta = "EUR", _xlpm.valuta = "€"), "€",
    TRUE, _xlpm.valuta
  )
)</f>
        <v>$</v>
      </c>
      <c r="M158" s="3" t="str">
        <f>"E" &amp; TEXT(VALUE(SUBSTITUTE(SUBSTITUTE(SUBSTITUTE(UPPER(TRIM('Sales_RAW(BEFORE)'!L163)), "EMP", ""), "E", ""), "-", "")),"000")</f>
        <v>E005</v>
      </c>
      <c r="N158" s="3" t="str">
        <f>_xlfn.XLOOKUP(M158,Employees!$D$2:$D$26,Employees!$A$2:$A$26)</f>
        <v>Laura Williams</v>
      </c>
      <c r="O158" s="3" t="str">
        <f>_xlfn.XLOOKUP(N158,Employees!$A$2:$A$26,Employees!$C$2:$C$26,2)</f>
        <v>Online</v>
      </c>
      <c r="P158" s="3" t="str">
        <f>PROPER('Sales_RAW(BEFORE)'!N163)</f>
        <v>East</v>
      </c>
      <c r="Q158" s="3" t="str">
        <f>VLOOKUP(N158,Employees!$A$2:$B$26,2,FALSE)</f>
        <v>Houston</v>
      </c>
      <c r="R158" s="3" t="str">
        <f>PROPER('Sales_RAW(BEFORE)'!P163)</f>
        <v xml:space="preserve"> Stark Inc  </v>
      </c>
      <c r="S158" s="3" t="str">
        <f>SUBSTITUTE(SUBSTITUTE('Sales_RAW(BEFORE)'!Q163,"EIN",""),":","")</f>
        <v>223911062</v>
      </c>
      <c r="T158" s="3" t="s">
        <v>1292</v>
      </c>
      <c r="U158" s="3" t="s">
        <v>2811</v>
      </c>
      <c r="V158" s="3" t="s">
        <v>2812</v>
      </c>
      <c r="W158" s="3" t="s">
        <v>2813</v>
      </c>
      <c r="X158" s="3" t="s">
        <v>173</v>
      </c>
      <c r="Y158" s="3" t="str">
        <f>PROPER('Sales_RAW(BEFORE)'!W163)</f>
        <v>Wire</v>
      </c>
      <c r="Z158" s="3" t="str">
        <f>PROPER('Sales_RAW(BEFORE)'!X163)</f>
        <v>Delivered</v>
      </c>
      <c r="AA158" s="3" t="str" cm="1">
        <f t="array" ref="AA158">_xlfn.LET(
  _xlpm.val, TRIM(LOWER('Sales_RAW(BEFORE)'!Y163)),
  _xlfn.IFS(
    OR(_xlpm.val="yes", _xlpm.val="paid"), "Paid",
    OR(_xlpm.val="no", _xlpm.val="unpaid"), "Unpaid",
    OR(_xlpm.val="partial", _xlpm.val="partial paid"), "Partial",
    _xlpm.val="", "",
    TRUE, 'Sales_RAW(BEFORE)'!AY163
  )
)</f>
        <v>Paid</v>
      </c>
      <c r="AB158" s="3" t="s">
        <v>2814</v>
      </c>
      <c r="AC158" s="3" t="str">
        <f>PROPER('Sales_RAW(BEFORE)'!AA163)</f>
        <v>Web</v>
      </c>
      <c r="AD158" s="3" t="str">
        <f>SUBSTITUTE(SUBSTITUTE(SUBSTITUTE(SUBSTITUTE('Sales_RAW(BEFORE)'!AB163,"st",""),"q",""),"Q",""),"uarter","")</f>
        <v>2</v>
      </c>
      <c r="AE158" s="3" t="str">
        <f>TEXT(IFERROR(DATEVALUE('Sales_RAW(BEFORE)'!AC163 &amp; " 1"), IFERROR(DATE(2025, 'Sales_RAW(BEFORE)'!AC163, 1), 'Sales_RAW(BEFORE)'!AC163)), "mmmm")</f>
        <v>August</v>
      </c>
      <c r="AF158" s="3">
        <f>_xlfn.LET(
  _xlpm.raw, TRIM(SUBSTITUTE('Sales_RAW(BEFORE)'!AD163, "'", "")),
  _xlpm.num, IFERROR(VALUE(_xlpm.raw), 0),
  IF(_xlpm.num &lt; 100, 2000 + _xlpm.num, _xlpm.num)
)</f>
        <v>2025</v>
      </c>
      <c r="AG158" s="3" t="str">
        <f>PROPER('Sales_RAW(BEFORE)'!AE163)</f>
        <v>Net 30</v>
      </c>
      <c r="AH158" s="3" cm="1">
        <f t="array" ref="AH158">_xlfn.LET(
  _xlpm.val, LOWER(TRIM('Sales_RAW(BEFORE)'!AF163)),
  _xlfn.IFS(
    OR(_xlpm.val="", _xlpm.val="null", _xlpm.val="N/A", _xlpm.val="-", _xlpm.val="#N/A"), 0,
    ISNUMBER('Sales_RAW(BEFORE)'!AF163), 'Sales_RAW(BEFORE)'!AF163,
    TRUE, IFERROR(_xlfn.NUMBERVALUE(_xlpm.val), 0)
  )
)</f>
        <v>38</v>
      </c>
      <c r="AI158" s="5">
        <f>IF(IFERROR(VALUE(SUBSTITUTE(SUBSTITUTE(TRIM('Sales_RAW(BEFORE)'!AG163), "%", ""), ",", ".")), 0) &gt; 1, IFERROR(VALUE(SUBSTITUTE(SUBSTITUTE(TRIM('Sales_RAW(BEFORE)'!AG163), "%", ""), ",", ".")), 0) / 100, IFERROR(VALUE(SUBSTITUTE(SUBSTITUTE(TRIM('Sales_RAW(BEFORE)'!AG163), "%", ""), ",", ".")), 0))</f>
        <v>0.08</v>
      </c>
      <c r="AJ158" s="6">
        <f t="shared" si="11"/>
        <v>442.56800000000004</v>
      </c>
      <c r="AK158" s="6">
        <f t="shared" si="12"/>
        <v>5974.6680000000006</v>
      </c>
      <c r="AL158" s="6">
        <f>IFERROR(VALUE(SUBSTITUTE(SUBSTITUTE(SUBSTITUTE('Sales_RAW(BEFORE)'!AJ163,"$",""),"USD",""),",",".")),0)</f>
        <v>7.56</v>
      </c>
      <c r="AM158" s="3" t="str">
        <f>SUBSTITUTE(SUBSTITUTE(PROPER('Sales_RAW(BEFORE)'!AK163), "Fed Ex", "FedEx"),"Fedex","FedEx")</f>
        <v>FedEx</v>
      </c>
      <c r="AN158" s="3" t="s">
        <v>2816</v>
      </c>
      <c r="AO158" s="3" t="str">
        <f>SUBSTITUTE('Sales_RAW(BEFORE)'!AM163,"kg","")</f>
        <v>3.95</v>
      </c>
      <c r="AP158" s="3" t="str">
        <f>_xlfn.LET(
  _xlpm.raw, UPPER(TRIM('Sales_RAW(BEFORE)'!AN163)),
  _xlpm.clean, RIGHT(_xlpm.raw, 1),
  IF(OR(_xlpm.raw="", _xlpm.raw="null"), "N/A", _xlpm.clean)
)</f>
        <v>B</v>
      </c>
      <c r="AQ158" s="3">
        <v>442</v>
      </c>
      <c r="AR158" s="3" cm="1">
        <f t="array" ref="AR158">_xlfn.LET(
  _xlpm.raw, LOWER(TRIM('Sales_RAW(BEFORE)'!AP163)),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158" s="3"/>
      <c r="AT158" s="3"/>
      <c r="AU158" s="3"/>
      <c r="AV158" s="8">
        <f>IF(IFERROR(VALUE(SUBSTITUTE(SUBSTITUTE(TRIM('Sales_RAW(BEFORE)'!AT163), "%", ""), ",", ".")), 0) &gt; 1, IFERROR(VALUE(SUBSTITUTE(SUBSTITUTE(TRIM('Sales_RAW(BEFORE)'!AT163), "%", ""), ",", ".")), 0) / 100, IFERROR(VALUE(SUBSTITUTE(SUBSTITUTE(TRIM('Sales_RAW(BEFORE)'!AT163), "%", ""), ",", ".")), 0))</f>
        <v>0.25</v>
      </c>
      <c r="AW158" s="6">
        <f>BA158*(_xlfn.XLOOKUP(N158,Employees!$A$2:$A$26,Employees!$E$2:$E$26,2))</f>
        <v>161.316036</v>
      </c>
      <c r="AX158" s="3" t="str">
        <f>PROPER('Sales_RAW(BEFORE)'!AV163)</f>
        <v>Ryan Brown</v>
      </c>
      <c r="AY158" s="3" t="str">
        <f t="shared" si="13"/>
        <v>Ryan Brown</v>
      </c>
      <c r="AZ158" s="3"/>
      <c r="BA158" s="24">
        <f>AK158*(1-(_xlfn.XLOOKUP(G158, Exchange_Rates!$B$8:$F$8, Exchange_Rates!$B$9:$F$9, 0)+J158))</f>
        <v>5377.2012000000004</v>
      </c>
      <c r="BB158" s="7" cm="1">
        <f t="array" ref="BB158">_xlfn.LET(
  _xlpm.raw_dt, SUBSTITUTE(TRIM(C158), ".", "/"),
  _xlpm.dt, IFERROR(DATEVALUE(_xlpm.raw_dt), C158),
  _xlpm.p_code, TRIM(E158),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46981</v>
      </c>
      <c r="BC158" s="25">
        <f t="shared" si="14"/>
        <v>1344.3003000000001</v>
      </c>
    </row>
    <row r="159" spans="1:55" ht="15.75" thickBot="1" x14ac:dyDescent="0.3">
      <c r="A159" s="3" t="s">
        <v>2818</v>
      </c>
      <c r="B159" s="10">
        <v>45668</v>
      </c>
      <c r="C159" s="4">
        <f>DATE(2025,1,25)</f>
        <v>45682</v>
      </c>
      <c r="D159" s="3" t="str">
        <f>"P-" &amp; TEXT(VALUE(SUBSTITUTE(SUBSTITUTE(SUBSTITUTE(UPPER(TRIM('Sales_RAW(BEFORE)'!D164)), "P", ""), "-", ""), "_", "")),"000")</f>
        <v>P-001</v>
      </c>
      <c r="E159" s="3" t="str">
        <f>VLOOKUP(D159,Product_List!$A$2:$B$61,2,FALSE)</f>
        <v>Desk X 1</v>
      </c>
      <c r="F159" s="3" t="str">
        <f>_xlfn.XLOOKUP(E159,Product_List!$B$2:$B$61,Product_List!$E$2:$E$61,2)</f>
        <v>Global Distrib</v>
      </c>
      <c r="G159" s="3" t="str">
        <f>VLOOKUP(E159,Product_List!$B$2:$C$61,2,FALSE)</f>
        <v>Software</v>
      </c>
      <c r="H159" s="3" t="str">
        <f>SUBSTITUTE(SUBSTITUTE('Sales_RAW(BEFORE)'!G164,"kom",""),".","")</f>
        <v>35</v>
      </c>
      <c r="I159" s="6">
        <f>VLOOKUP(E159,Product_List!$B$2:$D$61,3,FALSE)</f>
        <v>978.15</v>
      </c>
      <c r="J159" s="5">
        <f>IF(IFERROR(VALUE(SUBSTITUTE(SUBSTITUTE(TRIM('Sales_RAW(BEFORE)'!I164), "%", ""), ",", ".")), 0) &gt; 1, IFERROR(VALUE(SUBSTITUTE(SUBSTITUTE(TRIM('Sales_RAW(BEFORE)'!I164), "%", ""), ",", ".")), 0) / 100, IFERROR(VALUE(SUBSTITUTE(SUBSTITUTE(TRIM('Sales_RAW(BEFORE)'!I164), "%", ""), ",", ".")), 0))</f>
        <v>0.1</v>
      </c>
      <c r="K159" s="6">
        <f t="shared" si="10"/>
        <v>34235.25</v>
      </c>
      <c r="L159" s="6" t="str" cm="1">
        <f t="array" ref="L159">_xlfn.LET(
  _xlpm.valuta, UPPER(TRIM('Sales_RAW(BEFORE)'!K164)),
  _xlfn.IFS(
    _xlpm.valuta = "", "",
    OR(_xlpm.valuta = "USD", _xlpm.valuta = "$"), "$",
    OR(_xlpm.valuta = "EUR", _xlpm.valuta = "€"), "€",
    TRUE, _xlpm.valuta
  )
)</f>
        <v>$</v>
      </c>
      <c r="M159" s="3" t="str">
        <f>"E" &amp; TEXT(VALUE(SUBSTITUTE(SUBSTITUTE(SUBSTITUTE(UPPER(TRIM('Sales_RAW(BEFORE)'!L164)), "EMP", ""), "E", ""), "-", "")),"000")</f>
        <v>E006</v>
      </c>
      <c r="N159" s="3" t="str">
        <f>_xlfn.XLOOKUP(M159,Employees!$D$2:$D$26,Employees!$A$2:$A$26)</f>
        <v>Emily Davis</v>
      </c>
      <c r="O159" s="3" t="str">
        <f>_xlfn.XLOOKUP(N159,Employees!$A$2:$A$26,Employees!$C$2:$C$26,2)</f>
        <v>Retail</v>
      </c>
      <c r="P159" s="3" t="str">
        <f>PROPER('Sales_RAW(BEFORE)'!N164)</f>
        <v>South</v>
      </c>
      <c r="Q159" s="3" t="str">
        <f>VLOOKUP(N159,Employees!$A$2:$B$26,2,FALSE)</f>
        <v>Houston</v>
      </c>
      <c r="R159" s="3" t="str">
        <f>PROPER('Sales_RAW(BEFORE)'!P164)</f>
        <v>Stark Inc.</v>
      </c>
      <c r="S159" s="3" t="str">
        <f>SUBSTITUTE(SUBSTITUTE('Sales_RAW(BEFORE)'!Q164,"EIN",""),":","")</f>
        <v xml:space="preserve"> 880273736</v>
      </c>
      <c r="T159" s="3" t="s">
        <v>464</v>
      </c>
      <c r="U159" s="3" t="s">
        <v>2823</v>
      </c>
      <c r="V159" s="3" t="s">
        <v>2824</v>
      </c>
      <c r="W159" s="3" t="s">
        <v>163</v>
      </c>
      <c r="X159" s="3" t="s">
        <v>173</v>
      </c>
      <c r="Y159" s="3" t="str">
        <f>PROPER('Sales_RAW(BEFORE)'!W164)</f>
        <v>Credit Card</v>
      </c>
      <c r="Z159" s="3" t="str">
        <f>PROPER('Sales_RAW(BEFORE)'!X164)</f>
        <v>Processing</v>
      </c>
      <c r="AA159" s="3" t="str" cm="1">
        <f t="array" ref="AA159">_xlfn.LET(
  _xlpm.val, TRIM(LOWER('Sales_RAW(BEFORE)'!Y164)),
  _xlfn.IFS(
    OR(_xlpm.val="yes", _xlpm.val="paid"), "Paid",
    OR(_xlpm.val="no", _xlpm.val="unpaid"), "Unpaid",
    OR(_xlpm.val="partial", _xlpm.val="partial paid"), "Partial",
    _xlpm.val="", "",
    TRUE, 'Sales_RAW(BEFORE)'!AY164
  )
)</f>
        <v>Unpaid</v>
      </c>
      <c r="AB159" s="3" t="s">
        <v>2825</v>
      </c>
      <c r="AC159" s="3" t="str">
        <f>PROPER('Sales_RAW(BEFORE)'!AA164)</f>
        <v>Online</v>
      </c>
      <c r="AD159" s="3" t="str">
        <f>SUBSTITUTE(SUBSTITUTE(SUBSTITUTE(SUBSTITUTE('Sales_RAW(BEFORE)'!AB164,"st",""),"q",""),"Q",""),"uarter","")</f>
        <v xml:space="preserve">1 </v>
      </c>
      <c r="AE159" s="3" t="str">
        <f>TEXT(IFERROR(DATEVALUE('Sales_RAW(BEFORE)'!AC164 &amp; " 1"), IFERROR(DATE(2025, 'Sales_RAW(BEFORE)'!AC164, 1), 'Sales_RAW(BEFORE)'!AC164)), "mmmm")</f>
        <v>January</v>
      </c>
      <c r="AF159" s="3">
        <f>_xlfn.LET(
  _xlpm.raw, TRIM(SUBSTITUTE('Sales_RAW(BEFORE)'!AD164, "'", "")),
  _xlpm.num, IFERROR(VALUE(_xlpm.raw), 0),
  IF(_xlpm.num &lt; 100, 2000 + _xlpm.num, _xlpm.num)
)</f>
        <v>2025</v>
      </c>
      <c r="AG159" s="3" t="str">
        <f>PROPER('Sales_RAW(BEFORE)'!AE164)</f>
        <v>15</v>
      </c>
      <c r="AH159" s="3" cm="1">
        <f t="array" ref="AH159">_xlfn.LET(
  _xlpm.val, LOWER(TRIM('Sales_RAW(BEFORE)'!AF164)),
  _xlfn.IFS(
    OR(_xlpm.val="", _xlpm.val="null", _xlpm.val="N/A", _xlpm.val="-", _xlpm.val="#N/A"), 0,
    ISNUMBER('Sales_RAW(BEFORE)'!AF164), 'Sales_RAW(BEFORE)'!AF164,
    TRUE, IFERROR(_xlfn.NUMBERVALUE(_xlpm.val), 0)
  )
)</f>
        <v>75</v>
      </c>
      <c r="AI159" s="5">
        <f>IF(IFERROR(VALUE(SUBSTITUTE(SUBSTITUTE(TRIM('Sales_RAW(BEFORE)'!AG164), "%", ""), ",", ".")), 0) &gt; 1, IFERROR(VALUE(SUBSTITUTE(SUBSTITUTE(TRIM('Sales_RAW(BEFORE)'!AG164), "%", ""), ",", ".")), 0) / 100, IFERROR(VALUE(SUBSTITUTE(SUBSTITUTE(TRIM('Sales_RAW(BEFORE)'!AG164), "%", ""), ",", ".")), 0))</f>
        <v>0.08</v>
      </c>
      <c r="AJ159" s="6">
        <f t="shared" si="11"/>
        <v>2738.82</v>
      </c>
      <c r="AK159" s="6">
        <f t="shared" si="12"/>
        <v>36974.07</v>
      </c>
      <c r="AL159" s="6">
        <f>IFERROR(VALUE(SUBSTITUTE(SUBSTITUTE(SUBSTITUTE('Sales_RAW(BEFORE)'!AJ164,"$",""),"USD",""),",",".")),0)</f>
        <v>16.57</v>
      </c>
      <c r="AM159" s="3" t="str">
        <f>SUBSTITUTE(SUBSTITUTE(PROPER('Sales_RAW(BEFORE)'!AK164), "Fed Ex", "FedEx"),"Fedex","FedEx")</f>
        <v>Ups</v>
      </c>
      <c r="AN159" s="3" t="s">
        <v>2827</v>
      </c>
      <c r="AO159" s="3" t="str">
        <f>SUBSTITUTE('Sales_RAW(BEFORE)'!AM164,"kg","")</f>
        <v>2.07</v>
      </c>
      <c r="AP159" s="3" t="str">
        <f>_xlfn.LET(
  _xlpm.raw, UPPER(TRIM('Sales_RAW(BEFORE)'!AN164)),
  _xlpm.clean, RIGHT(_xlpm.raw, 1),
  IF(OR(_xlpm.raw="", _xlpm.raw="null"), "N/A", _xlpm.clean)
)</f>
        <v>B</v>
      </c>
      <c r="AQ159" s="3">
        <v>290</v>
      </c>
      <c r="AR159" s="3" cm="1">
        <f t="array" ref="AR159">_xlfn.LET(
  _xlpm.raw, LOWER(TRIM('Sales_RAW(BEFORE)'!AP164)),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59" s="3"/>
      <c r="AT159" s="3"/>
      <c r="AU159" s="3"/>
      <c r="AV159" s="8">
        <f>IF(IFERROR(VALUE(SUBSTITUTE(SUBSTITUTE(TRIM('Sales_RAW(BEFORE)'!AT164), "%", ""), ",", ".")), 0) &gt; 1, IFERROR(VALUE(SUBSTITUTE(SUBSTITUTE(TRIM('Sales_RAW(BEFORE)'!AT164), "%", ""), ",", ".")), 0) / 100, IFERROR(VALUE(SUBSTITUTE(SUBSTITUTE(TRIM('Sales_RAW(BEFORE)'!AT164), "%", ""), ",", ".")), 0))</f>
        <v>0</v>
      </c>
      <c r="AW159" s="6">
        <f>BA159*(_xlfn.XLOOKUP(N159,Employees!$A$2:$A$26,Employees!$E$2:$E$26,2))</f>
        <v>1386.5276249999999</v>
      </c>
      <c r="AX159" s="3" t="str">
        <f>PROPER('Sales_RAW(BEFORE)'!AV164)</f>
        <v xml:space="preserve">Sophia Davis   </v>
      </c>
      <c r="AY159" s="3" t="str">
        <f t="shared" si="13"/>
        <v xml:space="preserve">Sophia Davis   </v>
      </c>
      <c r="AZ159" s="3"/>
      <c r="BA159" s="24">
        <f>AK159*(1-(_xlfn.XLOOKUP(G159, Exchange_Rates!$B$8:$F$8, Exchange_Rates!$B$9:$F$9, 0)+J159))</f>
        <v>27730.552499999998</v>
      </c>
      <c r="BB159" s="7" cm="1">
        <f t="array" ref="BB159">_xlfn.LET(
  _xlpm.raw_dt, SUBSTITUTE(TRIM(C159), ".", "/"),
  _xlpm.dt, IFERROR(DATEVALUE(_xlpm.raw_dt), C159),
  _xlpm.p_code, TRIM(E159),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46412</v>
      </c>
      <c r="BC159" s="25">
        <f t="shared" si="14"/>
        <v>0</v>
      </c>
    </row>
    <row r="160" spans="1:55" ht="15.75" thickBot="1" x14ac:dyDescent="0.3">
      <c r="A160" s="3" t="s">
        <v>2829</v>
      </c>
      <c r="B160" s="10">
        <f>DATE(2025,2,22)</f>
        <v>45710</v>
      </c>
      <c r="C160" s="4">
        <v>45714</v>
      </c>
      <c r="D160" s="3" t="str">
        <f>"P-" &amp; TEXT(VALUE(SUBSTITUTE(SUBSTITUTE(SUBSTITUTE(UPPER(TRIM('Sales_RAW(BEFORE)'!D165)), "P", ""), "-", ""), "_", "")),"000")</f>
        <v>P-009</v>
      </c>
      <c r="E160" s="3" t="str">
        <f>VLOOKUP(D160,Product_List!$A$2:$B$61,2,FALSE)</f>
        <v>Chair Plus 9</v>
      </c>
      <c r="F160" s="3" t="str">
        <f>_xlfn.XLOOKUP(E160,Product_List!$B$2:$B$61,Product_List!$E$2:$E$61,2)</f>
        <v>BestParts</v>
      </c>
      <c r="G160" s="3" t="str">
        <f>VLOOKUP(E160,Product_List!$B$2:$C$61,2,FALSE)</f>
        <v>Office</v>
      </c>
      <c r="H160" s="3" t="str">
        <f>SUBSTITUTE(SUBSTITUTE('Sales_RAW(BEFORE)'!G165,"kom",""),".","")</f>
        <v>39</v>
      </c>
      <c r="I160" s="6">
        <f>VLOOKUP(E160,Product_List!$B$2:$D$61,3,FALSE)</f>
        <v>813.33</v>
      </c>
      <c r="J160" s="5">
        <f>IF(IFERROR(VALUE(SUBSTITUTE(SUBSTITUTE(TRIM('Sales_RAW(BEFORE)'!I165), "%", ""), ",", ".")), 0) &gt; 1, IFERROR(VALUE(SUBSTITUTE(SUBSTITUTE(TRIM('Sales_RAW(BEFORE)'!I165), "%", ""), ",", ".")), 0) / 100, IFERROR(VALUE(SUBSTITUTE(SUBSTITUTE(TRIM('Sales_RAW(BEFORE)'!I165), "%", ""), ",", ".")), 0))</f>
        <v>0.1</v>
      </c>
      <c r="K160" s="6">
        <f>(H160*I160)/(HLOOKUP(AE160,Exchange_Rates!$B$1:$M$2,2,FALSE))</f>
        <v>34328.86363636364</v>
      </c>
      <c r="L160" s="6" t="str" cm="1">
        <f t="array" ref="L160">_xlfn.LET(
  _xlpm.valuta, UPPER(TRIM('Sales_RAW(BEFORE)'!K165)),
  _xlfn.IFS(
    _xlpm.valuta = "", "",
    OR(_xlpm.valuta = "USD", _xlpm.valuta = "$"), "$",
    OR(_xlpm.valuta = "EUR", _xlpm.valuta = "€"), "€",
    TRUE, _xlpm.valuta
  )
)</f>
        <v>€</v>
      </c>
      <c r="M160" s="3" t="str">
        <f>"E" &amp; TEXT(VALUE(SUBSTITUTE(SUBSTITUTE(SUBSTITUTE(UPPER(TRIM('Sales_RAW(BEFORE)'!L165)), "EMP", ""), "E", ""), "-", "")),"000")</f>
        <v>E021</v>
      </c>
      <c r="N160" s="3" t="str">
        <f>_xlfn.XLOOKUP(M160,Employees!$D$2:$D$26,Employees!$A$2:$A$26)</f>
        <v>Chris Williams</v>
      </c>
      <c r="O160" s="3" t="str">
        <f>_xlfn.XLOOKUP(N160,Employees!$A$2:$A$26,Employees!$C$2:$C$26,2)</f>
        <v>Sales</v>
      </c>
      <c r="P160" s="3" t="str">
        <f>PROPER('Sales_RAW(BEFORE)'!N165)</f>
        <v>North</v>
      </c>
      <c r="Q160" s="3" t="str">
        <f>VLOOKUP(N160,Employees!$A$2:$B$26,2,FALSE)</f>
        <v>Boston</v>
      </c>
      <c r="R160" s="3" t="str">
        <f>PROPER('Sales_RAW(BEFORE)'!P165)</f>
        <v xml:space="preserve">Initech Inc  </v>
      </c>
      <c r="S160" s="3" t="str">
        <f>SUBSTITUTE(SUBSTITUTE('Sales_RAW(BEFORE)'!Q165,"EIN",""),":","")</f>
        <v xml:space="preserve"> 266600621</v>
      </c>
      <c r="T160" s="3" t="s">
        <v>994</v>
      </c>
      <c r="U160" s="3" t="s">
        <v>2838</v>
      </c>
      <c r="V160" s="3" t="s">
        <v>2839</v>
      </c>
      <c r="W160" s="3" t="s">
        <v>2840</v>
      </c>
      <c r="X160" s="3" t="s">
        <v>173</v>
      </c>
      <c r="Y160" s="3" t="str">
        <f>PROPER('Sales_RAW(BEFORE)'!W165)</f>
        <v>Credit Card</v>
      </c>
      <c r="Z160" s="3" t="str">
        <f>PROPER('Sales_RAW(BEFORE)'!X165)</f>
        <v>Processing</v>
      </c>
      <c r="AA160" s="3" t="str" cm="1">
        <f t="array" ref="AA160">_xlfn.LET(
  _xlpm.val, TRIM(LOWER('Sales_RAW(BEFORE)'!Y165)),
  _xlfn.IFS(
    OR(_xlpm.val="yes", _xlpm.val="paid"), "Paid",
    OR(_xlpm.val="no", _xlpm.val="unpaid"), "Unpaid",
    OR(_xlpm.val="partial", _xlpm.val="partial paid"), "Partial",
    _xlpm.val="", "",
    TRUE, 'Sales_RAW(BEFORE)'!AY165
  )
)</f>
        <v>Partial</v>
      </c>
      <c r="AB160" s="3" t="s">
        <v>2841</v>
      </c>
      <c r="AC160" s="3" t="str">
        <f>PROPER('Sales_RAW(BEFORE)'!AA165)</f>
        <v>Phone</v>
      </c>
      <c r="AD160" s="3" t="str">
        <f>SUBSTITUTE(SUBSTITUTE(SUBSTITUTE(SUBSTITUTE('Sales_RAW(BEFORE)'!AB165,"st",""),"q",""),"Q",""),"uarter","")</f>
        <v>2</v>
      </c>
      <c r="AE160" s="3" t="str">
        <f>TEXT(IFERROR(DATEVALUE('Sales_RAW(BEFORE)'!AC165 &amp; " 1"), IFERROR(DATE(2025, 'Sales_RAW(BEFORE)'!AC165, 1), 'Sales_RAW(BEFORE)'!AC165)), "mmmm")</f>
        <v>February</v>
      </c>
      <c r="AF160" s="3">
        <f>_xlfn.LET(
  _xlpm.raw, TRIM(SUBSTITUTE('Sales_RAW(BEFORE)'!AD165, "'", "")),
  _xlpm.num, IFERROR(VALUE(_xlpm.raw), 0),
  IF(_xlpm.num &lt; 100, 2000 + _xlpm.num, _xlpm.num)
)</f>
        <v>2025</v>
      </c>
      <c r="AG160" s="3" t="str">
        <f>PROPER('Sales_RAW(BEFORE)'!AE165)</f>
        <v>15</v>
      </c>
      <c r="AH160" s="3" cm="1">
        <f t="array" ref="AH160">_xlfn.LET(
  _xlpm.val, LOWER(TRIM('Sales_RAW(BEFORE)'!AF165)),
  _xlfn.IFS(
    OR(_xlpm.val="", _xlpm.val="null", _xlpm.val="N/A", _xlpm.val="-", _xlpm.val="#N/A"), 0,
    ISNUMBER('Sales_RAW(BEFORE)'!AF165), 'Sales_RAW(BEFORE)'!AF165,
    TRUE, IFERROR(_xlfn.NUMBERVALUE(_xlpm.val), 0)
  )
)</f>
        <v>69</v>
      </c>
      <c r="AI160" s="5">
        <f>IF(IFERROR(VALUE(SUBSTITUTE(SUBSTITUTE(TRIM('Sales_RAW(BEFORE)'!AG165), "%", ""), ",", ".")), 0) &gt; 1, IFERROR(VALUE(SUBSTITUTE(SUBSTITUTE(TRIM('Sales_RAW(BEFORE)'!AG165), "%", ""), ",", ".")), 0) / 100, IFERROR(VALUE(SUBSTITUTE(SUBSTITUTE(TRIM('Sales_RAW(BEFORE)'!AG165), "%", ""), ",", ".")), 0))</f>
        <v>0.08</v>
      </c>
      <c r="AJ160" s="6">
        <f t="shared" si="11"/>
        <v>2746.3090909090911</v>
      </c>
      <c r="AK160" s="6">
        <f t="shared" si="12"/>
        <v>37075.172727272729</v>
      </c>
      <c r="AL160" s="6">
        <f>IFERROR(VALUE(SUBSTITUTE(SUBSTITUTE(SUBSTITUTE('Sales_RAW(BEFORE)'!AJ165,"$",""),"USD",""),",",".")),0)</f>
        <v>11.91</v>
      </c>
      <c r="AM160" s="3" t="str">
        <f>SUBSTITUTE(SUBSTITUTE(PROPER('Sales_RAW(BEFORE)'!AK165), "Fed Ex", "FedEx"),"Fedex","FedEx")</f>
        <v>Dhl</v>
      </c>
      <c r="AN160" s="3" t="s">
        <v>2843</v>
      </c>
      <c r="AO160" s="3" t="str">
        <f>SUBSTITUTE('Sales_RAW(BEFORE)'!AM165,"kg","")</f>
        <v xml:space="preserve">17.3 </v>
      </c>
      <c r="AP160" s="3" t="str">
        <f>_xlfn.LET(
  _xlpm.raw, UPPER(TRIM('Sales_RAW(BEFORE)'!AN165)),
  _xlpm.clean, RIGHT(_xlpm.raw, 1),
  IF(OR(_xlpm.raw="", _xlpm.raw="null"), "N/A", _xlpm.clean)
)</f>
        <v>A</v>
      </c>
      <c r="AQ160" s="3">
        <v>349</v>
      </c>
      <c r="AR160" s="3" cm="1">
        <f t="array" ref="AR160">_xlfn.LET(
  _xlpm.raw, LOWER(TRIM('Sales_RAW(BEFORE)'!AP165)),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60" s="3"/>
      <c r="AT160" s="3"/>
      <c r="AU160" s="3"/>
      <c r="AV160" s="8">
        <f>IF(IFERROR(VALUE(SUBSTITUTE(SUBSTITUTE(TRIM('Sales_RAW(BEFORE)'!AT165), "%", ""), ",", ".")), 0) &gt; 1, IFERROR(VALUE(SUBSTITUTE(SUBSTITUTE(TRIM('Sales_RAW(BEFORE)'!AT165), "%", ""), ",", ".")), 0) / 100, IFERROR(VALUE(SUBSTITUTE(SUBSTITUTE(TRIM('Sales_RAW(BEFORE)'!AT165), "%", ""), ",", ".")), 0))</f>
        <v>0.18</v>
      </c>
      <c r="AW160" s="6">
        <f>BA160*(_xlfn.XLOOKUP(N160,Employees!$A$2:$A$26,Employees!$E$2:$E$26,2))</f>
        <v>889.80414545454551</v>
      </c>
      <c r="AX160" s="3" t="str">
        <f>PROPER('Sales_RAW(BEFORE)'!AV165)</f>
        <v>Laura Davis</v>
      </c>
      <c r="AY160" s="3" t="str">
        <f t="shared" si="13"/>
        <v>Laura Davis</v>
      </c>
      <c r="AZ160" s="3"/>
      <c r="BA160" s="24">
        <f>AK160*(1-(_xlfn.XLOOKUP(G160, Exchange_Rates!$B$8:$F$8, Exchange_Rates!$B$9:$F$9, 0)+J160))</f>
        <v>29660.138181818184</v>
      </c>
      <c r="BB160" s="7" cm="1">
        <f t="array" ref="BB160">_xlfn.LET(
  _xlpm.raw_dt, SUBSTITUTE(TRIM(C160), ".", "/"),
  _xlpm.dt, IFERROR(DATEVALUE(_xlpm.raw_dt), C160),
  _xlpm.p_code, TRIM(E160),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46809</v>
      </c>
      <c r="BC160" s="25">
        <f t="shared" si="14"/>
        <v>5338.824872727273</v>
      </c>
    </row>
    <row r="161" spans="1:55" ht="15.75" thickBot="1" x14ac:dyDescent="0.3">
      <c r="A161" s="3" t="s">
        <v>2847</v>
      </c>
      <c r="B161" s="10">
        <v>45977</v>
      </c>
      <c r="C161" s="4">
        <v>45989</v>
      </c>
      <c r="D161" s="3" t="str">
        <f>"P-" &amp; TEXT(VALUE(SUBSTITUTE(SUBSTITUTE(SUBSTITUTE(UPPER(TRIM('Sales_RAW(BEFORE)'!D166)), "P", ""), "-", ""), "_", "")),"000")</f>
        <v>P-011</v>
      </c>
      <c r="E161" s="3" t="str">
        <f>VLOOKUP(D161,Product_List!$A$2:$B$61,2,FALSE)</f>
        <v>Mouse Pro 11</v>
      </c>
      <c r="F161" s="3" t="str">
        <f>_xlfn.XLOOKUP(E161,Product_List!$B$2:$B$61,Product_List!$E$2:$E$61,2)</f>
        <v>OfficeHub</v>
      </c>
      <c r="G161" s="3" t="str">
        <f>VLOOKUP(E161,Product_List!$B$2:$C$61,2,FALSE)</f>
        <v>Equipment</v>
      </c>
      <c r="H161" s="3" t="str">
        <f>SUBSTITUTE(SUBSTITUTE('Sales_RAW(BEFORE)'!G166,"kom",""),".","")</f>
        <v xml:space="preserve">7 </v>
      </c>
      <c r="I161" s="6">
        <f>VLOOKUP(E161,Product_List!$B$2:$D$61,3,FALSE)</f>
        <v>858.95</v>
      </c>
      <c r="J161" s="5">
        <f>IF(IFERROR(VALUE(SUBSTITUTE(SUBSTITUTE(TRIM('Sales_RAW(BEFORE)'!I166), "%", ""), ",", ".")), 0) &gt; 1, IFERROR(VALUE(SUBSTITUTE(SUBSTITUTE(TRIM('Sales_RAW(BEFORE)'!I166), "%", ""), ",", ".")), 0) / 100, IFERROR(VALUE(SUBSTITUTE(SUBSTITUTE(TRIM('Sales_RAW(BEFORE)'!I166), "%", ""), ",", ".")), 0))</f>
        <v>0.1</v>
      </c>
      <c r="K161" s="6">
        <f t="shared" si="10"/>
        <v>6012.6500000000005</v>
      </c>
      <c r="L161" s="6" t="str" cm="1">
        <f t="array" ref="L161">_xlfn.LET(
  _xlpm.valuta, UPPER(TRIM('Sales_RAW(BEFORE)'!K166)),
  _xlfn.IFS(
    _xlpm.valuta = "", "",
    OR(_xlpm.valuta = "USD", _xlpm.valuta = "$"), "$",
    OR(_xlpm.valuta = "EUR", _xlpm.valuta = "€"), "€",
    TRUE, _xlpm.valuta
  )
)</f>
        <v>$</v>
      </c>
      <c r="M161" s="3" t="str">
        <f>"E" &amp; TEXT(VALUE(SUBSTITUTE(SUBSTITUTE(SUBSTITUTE(UPPER(TRIM('Sales_RAW(BEFORE)'!L166)), "EMP", ""), "E", ""), "-", "")),"000")</f>
        <v>E007</v>
      </c>
      <c r="N161" s="3" t="str">
        <f>_xlfn.XLOOKUP(M161,Employees!$D$2:$D$26,Employees!$A$2:$A$26)</f>
        <v>Emma Johnson</v>
      </c>
      <c r="O161" s="3" t="str">
        <f>_xlfn.XLOOKUP(N161,Employees!$A$2:$A$26,Employees!$C$2:$C$26,2)</f>
        <v>Wholesale</v>
      </c>
      <c r="P161" s="3" t="str">
        <f>PROPER('Sales_RAW(BEFORE)'!N166)</f>
        <v>North</v>
      </c>
      <c r="Q161" s="3" t="str">
        <f>VLOOKUP(N161,Employees!$A$2:$B$26,2,FALSE)</f>
        <v>Seattle</v>
      </c>
      <c r="R161" s="3" t="str">
        <f>PROPER('Sales_RAW(BEFORE)'!P166)</f>
        <v xml:space="preserve">Globex Ltd. </v>
      </c>
      <c r="S161" s="3" t="str">
        <f>SUBSTITUTE(SUBSTITUTE('Sales_RAW(BEFORE)'!Q166,"EIN",""),":","")</f>
        <v>443962858</v>
      </c>
      <c r="T161" s="3" t="s">
        <v>307</v>
      </c>
      <c r="U161" s="3" t="s">
        <v>2854</v>
      </c>
      <c r="V161" s="3" t="s">
        <v>2855</v>
      </c>
      <c r="W161" s="3" t="s">
        <v>2856</v>
      </c>
      <c r="X161" s="3" t="s">
        <v>173</v>
      </c>
      <c r="Y161" s="3" t="str">
        <f>PROPER('Sales_RAW(BEFORE)'!W166)</f>
        <v>Wire Transfer</v>
      </c>
      <c r="Z161" s="3" t="str">
        <f>PROPER('Sales_RAW(BEFORE)'!X166)</f>
        <v>Delivered</v>
      </c>
      <c r="AA161" s="3" t="str" cm="1">
        <f t="array" ref="AA161">_xlfn.LET(
  _xlpm.val, TRIM(LOWER('Sales_RAW(BEFORE)'!Y166)),
  _xlfn.IFS(
    OR(_xlpm.val="yes", _xlpm.val="paid"), "Paid",
    OR(_xlpm.val="no", _xlpm.val="unpaid"), "Unpaid",
    OR(_xlpm.val="partial", _xlpm.val="partial paid"), "Partial",
    _xlpm.val="", "",
    TRUE, 'Sales_RAW(BEFORE)'!AY166
  )
)</f>
        <v>Paid</v>
      </c>
      <c r="AB161" s="3" t="s">
        <v>2857</v>
      </c>
      <c r="AC161" s="3" t="str">
        <f>PROPER('Sales_RAW(BEFORE)'!AA166)</f>
        <v>Online</v>
      </c>
      <c r="AD161" s="3" t="str">
        <f>SUBSTITUTE(SUBSTITUTE(SUBSTITUTE(SUBSTITUTE('Sales_RAW(BEFORE)'!AB166,"st",""),"q",""),"Q",""),"uarter","")</f>
        <v>1</v>
      </c>
      <c r="AE161" s="3" t="str">
        <f>TEXT(IFERROR(DATEVALUE('Sales_RAW(BEFORE)'!AC166 &amp; " 1"), IFERROR(DATE(2025, 'Sales_RAW(BEFORE)'!AC166, 1), 'Sales_RAW(BEFORE)'!AC166)), "mmmm")</f>
        <v>November</v>
      </c>
      <c r="AF161" s="3">
        <f>_xlfn.LET(
  _xlpm.raw, TRIM(SUBSTITUTE('Sales_RAW(BEFORE)'!AD166, "'", "")),
  _xlpm.num, IFERROR(VALUE(_xlpm.raw), 0),
  IF(_xlpm.num &lt; 100, 2000 + _xlpm.num, _xlpm.num)
)</f>
        <v>2025</v>
      </c>
      <c r="AG161" s="3" t="str">
        <f>PROPER('Sales_RAW(BEFORE)'!AE166)</f>
        <v>15</v>
      </c>
      <c r="AH161" s="3" cm="1">
        <f t="array" ref="AH161">_xlfn.LET(
  _xlpm.val, LOWER(TRIM('Sales_RAW(BEFORE)'!AF166)),
  _xlfn.IFS(
    OR(_xlpm.val="", _xlpm.val="null", _xlpm.val="N/A", _xlpm.val="-", _xlpm.val="#N/A"), 0,
    ISNUMBER('Sales_RAW(BEFORE)'!AF166), 'Sales_RAW(BEFORE)'!AF166,
    TRUE, IFERROR(_xlfn.NUMBERVALUE(_xlpm.val), 0)
  )
)</f>
        <v>46</v>
      </c>
      <c r="AI161" s="5">
        <f>IF(IFERROR(VALUE(SUBSTITUTE(SUBSTITUTE(TRIM('Sales_RAW(BEFORE)'!AG166), "%", ""), ",", ".")), 0) &gt; 1, IFERROR(VALUE(SUBSTITUTE(SUBSTITUTE(TRIM('Sales_RAW(BEFORE)'!AG166), "%", ""), ",", ".")), 0) / 100, IFERROR(VALUE(SUBSTITUTE(SUBSTITUTE(TRIM('Sales_RAW(BEFORE)'!AG166), "%", ""), ",", ".")), 0))</f>
        <v>0.08</v>
      </c>
      <c r="AJ161" s="6">
        <f t="shared" si="11"/>
        <v>481.01200000000006</v>
      </c>
      <c r="AK161" s="6">
        <f t="shared" si="12"/>
        <v>6493.6620000000003</v>
      </c>
      <c r="AL161" s="6">
        <f>IFERROR(VALUE(SUBSTITUTE(SUBSTITUTE(SUBSTITUTE('Sales_RAW(BEFORE)'!AJ166,"$",""),"USD",""),",",".")),0)</f>
        <v>25.58</v>
      </c>
      <c r="AM161" s="3" t="str">
        <f>SUBSTITUTE(SUBSTITUTE(PROPER('Sales_RAW(BEFORE)'!AK166), "Fed Ex", "FedEx"),"Fedex","FedEx")</f>
        <v>Dhl</v>
      </c>
      <c r="AN161" s="3" t="s">
        <v>2858</v>
      </c>
      <c r="AO161" s="3" t="str">
        <f>SUBSTITUTE('Sales_RAW(BEFORE)'!AM166,"kg","")</f>
        <v>13,39</v>
      </c>
      <c r="AP161" s="3" t="str">
        <f>_xlfn.LET(
  _xlpm.raw, UPPER(TRIM('Sales_RAW(BEFORE)'!AN166)),
  _xlpm.clean, RIGHT(_xlpm.raw, 1),
  IF(OR(_xlpm.raw="", _xlpm.raw="null"), "N/A", _xlpm.clean)
)</f>
        <v>B</v>
      </c>
      <c r="AQ161" s="3">
        <v>212</v>
      </c>
      <c r="AR161" s="3" cm="1">
        <f t="array" ref="AR161">_xlfn.LET(
  _xlpm.raw, LOWER(TRIM('Sales_RAW(BEFORE)'!AP166)),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161" s="3"/>
      <c r="AT161" s="3"/>
      <c r="AU161" s="3"/>
      <c r="AV161" s="8">
        <f>IF(IFERROR(VALUE(SUBSTITUTE(SUBSTITUTE(TRIM('Sales_RAW(BEFORE)'!AT166), "%", ""), ",", ".")), 0) &gt; 1, IFERROR(VALUE(SUBSTITUTE(SUBSTITUTE(TRIM('Sales_RAW(BEFORE)'!AT166), "%", ""), ",", ".")), 0) / 100, IFERROR(VALUE(SUBSTITUTE(SUBSTITUTE(TRIM('Sales_RAW(BEFORE)'!AT166), "%", ""), ",", ".")), 0))</f>
        <v>0.15</v>
      </c>
      <c r="AW161" s="6">
        <f>BA161*(_xlfn.XLOOKUP(N161,Employees!$A$2:$A$26,Employees!$E$2:$E$26,2))</f>
        <v>155.84788800000001</v>
      </c>
      <c r="AX161" s="3" t="str">
        <f>PROPER('Sales_RAW(BEFORE)'!AV166)</f>
        <v xml:space="preserve">  Michael Williams  </v>
      </c>
      <c r="AY161" s="3" t="str">
        <f t="shared" si="13"/>
        <v xml:space="preserve">  Michael Williams  </v>
      </c>
      <c r="AZ161" s="3"/>
      <c r="BA161" s="24">
        <f>AK161*(1-(_xlfn.XLOOKUP(G161, Exchange_Rates!$B$8:$F$8, Exchange_Rates!$B$9:$F$9, 0)+J161))</f>
        <v>5194.9296000000004</v>
      </c>
      <c r="BB161" s="7" cm="1">
        <f t="array" ref="BB161">_xlfn.LET(
  _xlpm.raw_dt, SUBSTITUTE(TRIM(C161), ".", "/"),
  _xlpm.dt, IFERROR(DATEVALUE(_xlpm.raw_dt), C161),
  _xlpm.p_code, TRIM(E161),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46354</v>
      </c>
      <c r="BC161" s="25">
        <f t="shared" si="14"/>
        <v>779.23944000000006</v>
      </c>
    </row>
    <row r="162" spans="1:55" ht="15.75" thickBot="1" x14ac:dyDescent="0.3">
      <c r="A162" s="3" t="s">
        <v>2862</v>
      </c>
      <c r="B162" s="10">
        <v>46242</v>
      </c>
      <c r="C162" s="4">
        <f>DATE(2026,8,11)</f>
        <v>46245</v>
      </c>
      <c r="D162" s="3" t="str">
        <f>"P-" &amp; TEXT(VALUE(SUBSTITUTE(SUBSTITUTE(SUBSTITUTE(UPPER(TRIM('Sales_RAW(BEFORE)'!D167)), "P", ""), "-", ""), "_", "")),"000")</f>
        <v>P-020</v>
      </c>
      <c r="E162" s="3" t="str">
        <f>VLOOKUP(D162,Product_List!$A$2:$B$61,2,FALSE)</f>
        <v>Desk X 20</v>
      </c>
      <c r="F162" s="3" t="str">
        <f>_xlfn.XLOOKUP(E162,Product_List!$B$2:$B$61,Product_List!$E$2:$E$61,2)</f>
        <v>BestParts</v>
      </c>
      <c r="G162" s="3" t="str">
        <f>VLOOKUP(E162,Product_List!$B$2:$C$61,2,FALSE)</f>
        <v>Software</v>
      </c>
      <c r="H162" s="3" t="str">
        <f>SUBSTITUTE(SUBSTITUTE('Sales_RAW(BEFORE)'!G167,"kom",""),".","")</f>
        <v xml:space="preserve">4 </v>
      </c>
      <c r="I162" s="6">
        <f>VLOOKUP(E162,Product_List!$B$2:$D$61,3,FALSE)</f>
        <v>635.44000000000005</v>
      </c>
      <c r="J162" s="5">
        <f>IF(IFERROR(VALUE(SUBSTITUTE(SUBSTITUTE(TRIM('Sales_RAW(BEFORE)'!I167), "%", ""), ",", ".")), 0) &gt; 1, IFERROR(VALUE(SUBSTITUTE(SUBSTITUTE(TRIM('Sales_RAW(BEFORE)'!I167), "%", ""), ",", ".")), 0) / 100, IFERROR(VALUE(SUBSTITUTE(SUBSTITUTE(TRIM('Sales_RAW(BEFORE)'!I167), "%", ""), ",", ".")), 0))</f>
        <v>0.1</v>
      </c>
      <c r="K162" s="6">
        <f t="shared" si="10"/>
        <v>2541.7600000000002</v>
      </c>
      <c r="L162" s="6" t="str" cm="1">
        <f t="array" ref="L162">_xlfn.LET(
  _xlpm.valuta, UPPER(TRIM('Sales_RAW(BEFORE)'!K167)),
  _xlfn.IFS(
    _xlpm.valuta = "", "",
    OR(_xlpm.valuta = "USD", _xlpm.valuta = "$"), "$",
    OR(_xlpm.valuta = "EUR", _xlpm.valuta = "€"), "€",
    TRUE, _xlpm.valuta
  )
)</f>
        <v>$</v>
      </c>
      <c r="M162" s="3" t="str">
        <f>"E" &amp; TEXT(VALUE(SUBSTITUTE(SUBSTITUTE(SUBSTITUTE(UPPER(TRIM('Sales_RAW(BEFORE)'!L167)), "EMP", ""), "E", ""), "-", "")),"000")</f>
        <v>E017</v>
      </c>
      <c r="N162" s="3" t="str">
        <f>_xlfn.XLOOKUP(M162,Employees!$D$2:$D$26,Employees!$A$2:$A$26)</f>
        <v>Robert Davis</v>
      </c>
      <c r="O162" s="3" t="str">
        <f>_xlfn.XLOOKUP(N162,Employees!$A$2:$A$26,Employees!$C$2:$C$26,2)</f>
        <v>Wholesale</v>
      </c>
      <c r="P162" s="3" t="str">
        <f>PROPER('Sales_RAW(BEFORE)'!N167)</f>
        <v>West</v>
      </c>
      <c r="Q162" s="3" t="str">
        <f>VLOOKUP(N162,Employees!$A$2:$B$26,2,FALSE)</f>
        <v>Miami</v>
      </c>
      <c r="R162" s="3" t="str">
        <f>PROPER('Sales_RAW(BEFORE)'!P167)</f>
        <v>Vortex Inc</v>
      </c>
      <c r="S162" s="3" t="str">
        <f>SUBSTITUTE(SUBSTITUTE('Sales_RAW(BEFORE)'!Q167,"EIN",""),":","")</f>
        <v xml:space="preserve"> 719431798</v>
      </c>
      <c r="T162" s="3" t="s">
        <v>1984</v>
      </c>
      <c r="U162" s="3" t="s">
        <v>2872</v>
      </c>
      <c r="V162" s="3" t="s">
        <v>2873</v>
      </c>
      <c r="W162" s="3" t="s">
        <v>2874</v>
      </c>
      <c r="X162" s="3" t="s">
        <v>173</v>
      </c>
      <c r="Y162" s="3" t="str">
        <f>PROPER('Sales_RAW(BEFORE)'!W167)</f>
        <v>Credit Card</v>
      </c>
      <c r="Z162" s="3" t="str">
        <f>PROPER('Sales_RAW(BEFORE)'!X167)</f>
        <v>Cancelled</v>
      </c>
      <c r="AA162" s="3" t="str" cm="1">
        <f t="array" ref="AA162">_xlfn.LET(
  _xlpm.val, TRIM(LOWER('Sales_RAW(BEFORE)'!Y167)),
  _xlfn.IFS(
    OR(_xlpm.val="yes", _xlpm.val="paid"), "Paid",
    OR(_xlpm.val="no", _xlpm.val="unpaid"), "Unpaid",
    OR(_xlpm.val="partial", _xlpm.val="partial paid"), "Partial",
    _xlpm.val="", "",
    TRUE, 'Sales_RAW(BEFORE)'!AY167
  )
)</f>
        <v>Paid</v>
      </c>
      <c r="AB162" s="3" t="s">
        <v>2875</v>
      </c>
      <c r="AC162" s="3" t="str">
        <f>PROPER('Sales_RAW(BEFORE)'!AA167)</f>
        <v>Online</v>
      </c>
      <c r="AD162" s="3" t="str">
        <f>SUBSTITUTE(SUBSTITUTE(SUBSTITUTE(SUBSTITUTE('Sales_RAW(BEFORE)'!AB167,"st",""),"q",""),"Q",""),"uarter","")</f>
        <v>3</v>
      </c>
      <c r="AE162" s="3" t="str">
        <f>TEXT(IFERROR(DATEVALUE('Sales_RAW(BEFORE)'!AC167 &amp; " 1"), IFERROR(DATE(2025, 'Sales_RAW(BEFORE)'!AC167, 1), 'Sales_RAW(BEFORE)'!AC167)), "mmmm")</f>
        <v>August</v>
      </c>
      <c r="AF162" s="3">
        <f>_xlfn.LET(
  _xlpm.raw, TRIM(SUBSTITUTE('Sales_RAW(BEFORE)'!AD167, "'", "")),
  _xlpm.num, IFERROR(VALUE(_xlpm.raw), 0),
  IF(_xlpm.num &lt; 100, 2000 + _xlpm.num, _xlpm.num)
)</f>
        <v>2026</v>
      </c>
      <c r="AG162" s="3" t="str">
        <f>PROPER('Sales_RAW(BEFORE)'!AE167)</f>
        <v>15</v>
      </c>
      <c r="AH162" s="3" cm="1">
        <f t="array" ref="AH162">_xlfn.LET(
  _xlpm.val, LOWER(TRIM('Sales_RAW(BEFORE)'!AF167)),
  _xlfn.IFS(
    OR(_xlpm.val="", _xlpm.val="null", _xlpm.val="N/A", _xlpm.val="-", _xlpm.val="#N/A"), 0,
    ISNUMBER('Sales_RAW(BEFORE)'!AF167), 'Sales_RAW(BEFORE)'!AF167,
    TRUE, IFERROR(_xlfn.NUMBERVALUE(_xlpm.val), 0)
  )
)</f>
        <v>6</v>
      </c>
      <c r="AI162" s="5">
        <f>IF(IFERROR(VALUE(SUBSTITUTE(SUBSTITUTE(TRIM('Sales_RAW(BEFORE)'!AG167), "%", ""), ",", ".")), 0) &gt; 1, IFERROR(VALUE(SUBSTITUTE(SUBSTITUTE(TRIM('Sales_RAW(BEFORE)'!AG167), "%", ""), ",", ".")), 0) / 100, IFERROR(VALUE(SUBSTITUTE(SUBSTITUTE(TRIM('Sales_RAW(BEFORE)'!AG167), "%", ""), ",", ".")), 0))</f>
        <v>0.08</v>
      </c>
      <c r="AJ162" s="6">
        <f t="shared" si="11"/>
        <v>203.34080000000003</v>
      </c>
      <c r="AK162" s="6">
        <f t="shared" si="12"/>
        <v>2745.1008000000002</v>
      </c>
      <c r="AL162" s="6">
        <f>IFERROR(VALUE(SUBSTITUTE(SUBSTITUTE(SUBSTITUTE('Sales_RAW(BEFORE)'!AJ167,"$",""),"USD",""),",",".")),0)</f>
        <v>20.260000000000002</v>
      </c>
      <c r="AM162" s="3" t="str">
        <f>SUBSTITUTE(SUBSTITUTE(PROPER('Sales_RAW(BEFORE)'!AK167), "Fed Ex", "FedEx"),"Fedex","FedEx")</f>
        <v>FedEx</v>
      </c>
      <c r="AN162" s="3" t="s">
        <v>2877</v>
      </c>
      <c r="AO162" s="3" t="str">
        <f>SUBSTITUTE('Sales_RAW(BEFORE)'!AM167,"kg","")</f>
        <v xml:space="preserve">2.5 </v>
      </c>
      <c r="AP162" s="3" t="str">
        <f>_xlfn.LET(
  _xlpm.raw, UPPER(TRIM('Sales_RAW(BEFORE)'!AN167)),
  _xlpm.clean, RIGHT(_xlpm.raw, 1),
  IF(OR(_xlpm.raw="", _xlpm.raw="null"), "N/A", _xlpm.clean)
)</f>
        <v>A</v>
      </c>
      <c r="AQ162" s="3">
        <v>322</v>
      </c>
      <c r="AR162" s="3" cm="1">
        <f t="array" ref="AR162">_xlfn.LET(
  _xlpm.raw, LOWER(TRIM('Sales_RAW(BEFORE)'!AP167)),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162" s="3"/>
      <c r="AT162" s="3"/>
      <c r="AU162" s="3"/>
      <c r="AV162" s="8">
        <f>IF(IFERROR(VALUE(SUBSTITUTE(SUBSTITUTE(TRIM('Sales_RAW(BEFORE)'!AT167), "%", ""), ",", ".")), 0) &gt; 1, IFERROR(VALUE(SUBSTITUTE(SUBSTITUTE(TRIM('Sales_RAW(BEFORE)'!AT167), "%", ""), ",", ".")), 0) / 100, IFERROR(VALUE(SUBSTITUTE(SUBSTITUTE(TRIM('Sales_RAW(BEFORE)'!AT167), "%", ""), ",", ".")), 0))</f>
        <v>0.3</v>
      </c>
      <c r="AW162" s="6">
        <f>BA162*(_xlfn.XLOOKUP(N162,Employees!$A$2:$A$26,Employees!$E$2:$E$26,2))</f>
        <v>61.764768000000004</v>
      </c>
      <c r="AX162" s="3" t="str">
        <f>PROPER('Sales_RAW(BEFORE)'!AV167)</f>
        <v>Michael Taylor</v>
      </c>
      <c r="AY162" s="3" t="str">
        <f t="shared" si="13"/>
        <v>Michael Taylor</v>
      </c>
      <c r="AZ162" s="3"/>
      <c r="BA162" s="24">
        <f>AK162*(1-(_xlfn.XLOOKUP(G162, Exchange_Rates!$B$8:$F$8, Exchange_Rates!$B$9:$F$9, 0)+J162))</f>
        <v>2058.8256000000001</v>
      </c>
      <c r="BB162" s="7" cm="1">
        <f t="array" ref="BB162">_xlfn.LET(
  _xlpm.raw_dt, SUBSTITUTE(TRIM(C162), ".", "/"),
  _xlpm.dt, IFERROR(DATEVALUE(_xlpm.raw_dt), C162),
  _xlpm.p_code, TRIM(E162),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46976</v>
      </c>
      <c r="BC162" s="25">
        <f t="shared" si="14"/>
        <v>617.64768000000004</v>
      </c>
    </row>
    <row r="163" spans="1:55" ht="15.75" thickBot="1" x14ac:dyDescent="0.3">
      <c r="A163" s="3" t="s">
        <v>2881</v>
      </c>
      <c r="B163" s="10">
        <v>45711</v>
      </c>
      <c r="C163" s="4">
        <v>45725</v>
      </c>
      <c r="D163" s="3" t="str">
        <f>"P-" &amp; TEXT(VALUE(SUBSTITUTE(SUBSTITUTE(SUBSTITUTE(UPPER(TRIM('Sales_RAW(BEFORE)'!D168)), "P", ""), "-", ""), "_", "")),"000")</f>
        <v>P-001</v>
      </c>
      <c r="E163" s="3" t="str">
        <f>VLOOKUP(D163,Product_List!$A$2:$B$61,2,FALSE)</f>
        <v>Desk X 1</v>
      </c>
      <c r="F163" s="3" t="str">
        <f>_xlfn.XLOOKUP(E163,Product_List!$B$2:$B$61,Product_List!$E$2:$E$61,2)</f>
        <v>Global Distrib</v>
      </c>
      <c r="G163" s="3" t="str">
        <f>VLOOKUP(E163,Product_List!$B$2:$C$61,2,FALSE)</f>
        <v>Software</v>
      </c>
      <c r="H163" s="3" t="str">
        <f>SUBSTITUTE(SUBSTITUTE('Sales_RAW(BEFORE)'!G168,"kom",""),".","")</f>
        <v>35</v>
      </c>
      <c r="I163" s="6">
        <f>VLOOKUP(E163,Product_List!$B$2:$D$61,3,FALSE)</f>
        <v>978.15</v>
      </c>
      <c r="J163" s="5">
        <f>IF(IFERROR(VALUE(SUBSTITUTE(SUBSTITUTE(TRIM('Sales_RAW(BEFORE)'!I168), "%", ""), ",", ".")), 0) &gt; 1, IFERROR(VALUE(SUBSTITUTE(SUBSTITUTE(TRIM('Sales_RAW(BEFORE)'!I168), "%", ""), ",", ".")), 0) / 100, IFERROR(VALUE(SUBSTITUTE(SUBSTITUTE(TRIM('Sales_RAW(BEFORE)'!I168), "%", ""), ",", ".")), 0))</f>
        <v>0.1</v>
      </c>
      <c r="K163" s="6">
        <f t="shared" si="10"/>
        <v>34235.25</v>
      </c>
      <c r="L163" s="6" t="str" cm="1">
        <f t="array" ref="L163">_xlfn.LET(
  _xlpm.valuta, UPPER(TRIM('Sales_RAW(BEFORE)'!K168)),
  _xlfn.IFS(
    _xlpm.valuta = "", "",
    OR(_xlpm.valuta = "USD", _xlpm.valuta = "$"), "$",
    OR(_xlpm.valuta = "EUR", _xlpm.valuta = "€"), "€",
    TRUE, _xlpm.valuta
  )
)</f>
        <v>$</v>
      </c>
      <c r="M163" s="3" t="str">
        <f>"E" &amp; TEXT(VALUE(SUBSTITUTE(SUBSTITUTE(SUBSTITUTE(UPPER(TRIM('Sales_RAW(BEFORE)'!L168)), "EMP", ""), "E", ""), "-", "")),"000")</f>
        <v>E016</v>
      </c>
      <c r="N163" s="3" t="str">
        <f>_xlfn.XLOOKUP(M163,Employees!$D$2:$D$26,Employees!$A$2:$A$26)</f>
        <v>Chris Anderson</v>
      </c>
      <c r="O163" s="3" t="str">
        <f>_xlfn.XLOOKUP(N163,Employees!$A$2:$A$26,Employees!$C$2:$C$26,2)</f>
        <v>Online</v>
      </c>
      <c r="P163" s="3" t="str">
        <f>PROPER('Sales_RAW(BEFORE)'!N168)</f>
        <v>East</v>
      </c>
      <c r="Q163" s="3" t="str">
        <f>VLOOKUP(N163,Employees!$A$2:$B$26,2,FALSE)</f>
        <v>Chicago</v>
      </c>
      <c r="R163" s="3" t="str">
        <f>PROPER('Sales_RAW(BEFORE)'!P168)</f>
        <v xml:space="preserve">Wayne Inc </v>
      </c>
      <c r="S163" s="3" t="str">
        <f>SUBSTITUTE(SUBSTITUTE('Sales_RAW(BEFORE)'!Q168,"EIN",""),":","")</f>
        <v xml:space="preserve"> 573509462</v>
      </c>
      <c r="T163" s="3" t="s">
        <v>2253</v>
      </c>
      <c r="U163" s="3" t="s">
        <v>2888</v>
      </c>
      <c r="V163" s="3" t="s">
        <v>2889</v>
      </c>
      <c r="W163" s="3" t="s">
        <v>2890</v>
      </c>
      <c r="X163" s="3" t="s">
        <v>173</v>
      </c>
      <c r="Y163" s="3" t="str">
        <f>PROPER('Sales_RAW(BEFORE)'!W168)</f>
        <v>Wire</v>
      </c>
      <c r="Z163" s="3" t="str">
        <f>PROPER('Sales_RAW(BEFORE)'!X168)</f>
        <v>Delivered</v>
      </c>
      <c r="AA163" s="3" t="str" cm="1">
        <f t="array" ref="AA163">_xlfn.LET(
  _xlpm.val, TRIM(LOWER('Sales_RAW(BEFORE)'!Y168)),
  _xlfn.IFS(
    OR(_xlpm.val="yes", _xlpm.val="paid"), "Paid",
    OR(_xlpm.val="no", _xlpm.val="unpaid"), "Unpaid",
    OR(_xlpm.val="partial", _xlpm.val="partial paid"), "Partial",
    _xlpm.val="", "",
    TRUE, 'Sales_RAW(BEFORE)'!AY168
  )
)</f>
        <v>Paid</v>
      </c>
      <c r="AB163" s="3" t="s">
        <v>2891</v>
      </c>
      <c r="AC163" s="3" t="str">
        <f>PROPER('Sales_RAW(BEFORE)'!AA168)</f>
        <v>Phone</v>
      </c>
      <c r="AD163" s="3" t="str">
        <f>SUBSTITUTE(SUBSTITUTE(SUBSTITUTE(SUBSTITUTE('Sales_RAW(BEFORE)'!AB168,"st",""),"q",""),"Q",""),"uarter","")</f>
        <v>4</v>
      </c>
      <c r="AE163" s="3" t="str">
        <f>TEXT(IFERROR(DATEVALUE('Sales_RAW(BEFORE)'!AC168 &amp; " 1"), IFERROR(DATE(2025, 'Sales_RAW(BEFORE)'!AC168, 1), 'Sales_RAW(BEFORE)'!AC168)), "mmmm")</f>
        <v>February</v>
      </c>
      <c r="AF163" s="3">
        <f>_xlfn.LET(
  _xlpm.raw, TRIM(SUBSTITUTE('Sales_RAW(BEFORE)'!AD168, "'", "")),
  _xlpm.num, IFERROR(VALUE(_xlpm.raw), 0),
  IF(_xlpm.num &lt; 100, 2000 + _xlpm.num, _xlpm.num)
)</f>
        <v>2025</v>
      </c>
      <c r="AG163" s="3" t="str">
        <f>PROPER('Sales_RAW(BEFORE)'!AE168)</f>
        <v>Immediate</v>
      </c>
      <c r="AH163" s="3" cm="1">
        <f t="array" ref="AH163">_xlfn.LET(
  _xlpm.val, LOWER(TRIM('Sales_RAW(BEFORE)'!AF168)),
  _xlfn.IFS(
    OR(_xlpm.val="", _xlpm.val="null", _xlpm.val="N/A", _xlpm.val="-", _xlpm.val="#N/A"), 0,
    ISNUMBER('Sales_RAW(BEFORE)'!AF168), 'Sales_RAW(BEFORE)'!AF168,
    TRUE, IFERROR(_xlfn.NUMBERVALUE(_xlpm.val), 0)
  )
)</f>
        <v>19</v>
      </c>
      <c r="AI163" s="5">
        <f>IF(IFERROR(VALUE(SUBSTITUTE(SUBSTITUTE(TRIM('Sales_RAW(BEFORE)'!AG168), "%", ""), ",", ".")), 0) &gt; 1, IFERROR(VALUE(SUBSTITUTE(SUBSTITUTE(TRIM('Sales_RAW(BEFORE)'!AG168), "%", ""), ",", ".")), 0) / 100, IFERROR(VALUE(SUBSTITUTE(SUBSTITUTE(TRIM('Sales_RAW(BEFORE)'!AG168), "%", ""), ",", ".")), 0))</f>
        <v>0.08</v>
      </c>
      <c r="AJ163" s="6">
        <f t="shared" si="11"/>
        <v>2738.82</v>
      </c>
      <c r="AK163" s="6">
        <f t="shared" si="12"/>
        <v>36974.07</v>
      </c>
      <c r="AL163" s="6">
        <f>IFERROR(VALUE(SUBSTITUTE(SUBSTITUTE(SUBSTITUTE('Sales_RAW(BEFORE)'!AJ168,"$",""),"USD",""),",",".")),0)</f>
        <v>41.16</v>
      </c>
      <c r="AM163" s="3" t="str">
        <f>SUBSTITUTE(SUBSTITUTE(PROPER('Sales_RAW(BEFORE)'!AK168), "Fed Ex", "FedEx"),"Fedex","FedEx")</f>
        <v>Usps</v>
      </c>
      <c r="AN163" s="3" t="s">
        <v>2893</v>
      </c>
      <c r="AO163" s="3" t="str">
        <f>SUBSTITUTE('Sales_RAW(BEFORE)'!AM168,"kg","")</f>
        <v xml:space="preserve">26.5 </v>
      </c>
      <c r="AP163" s="3" t="str">
        <f>_xlfn.LET(
  _xlpm.raw, UPPER(TRIM('Sales_RAW(BEFORE)'!AN168)),
  _xlpm.clean, RIGHT(_xlpm.raw, 1),
  IF(OR(_xlpm.raw="", _xlpm.raw="null"), "N/A", _xlpm.clean)
)</f>
        <v>C</v>
      </c>
      <c r="AQ163" s="3">
        <v>435</v>
      </c>
      <c r="AR163" s="3" cm="1">
        <f t="array" ref="AR163">_xlfn.LET(
  _xlpm.raw, LOWER(TRIM('Sales_RAW(BEFORE)'!AP168)),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163" s="3"/>
      <c r="AT163" s="3"/>
      <c r="AU163" s="3"/>
      <c r="AV163" s="8">
        <f>IF(IFERROR(VALUE(SUBSTITUTE(SUBSTITUTE(TRIM('Sales_RAW(BEFORE)'!AT168), "%", ""), ",", ".")), 0) &gt; 1, IFERROR(VALUE(SUBSTITUTE(SUBSTITUTE(TRIM('Sales_RAW(BEFORE)'!AT168), "%", ""), ",", ".")), 0) / 100, IFERROR(VALUE(SUBSTITUTE(SUBSTITUTE(TRIM('Sales_RAW(BEFORE)'!AT168), "%", ""), ",", ".")), 0))</f>
        <v>0.15</v>
      </c>
      <c r="AW163" s="6">
        <f>BA163*(_xlfn.XLOOKUP(N163,Employees!$A$2:$A$26,Employees!$E$2:$E$26,2))</f>
        <v>831.91657499999985</v>
      </c>
      <c r="AX163" s="3" t="str">
        <f>PROPER('Sales_RAW(BEFORE)'!AV168)</f>
        <v>Chris Anderson</v>
      </c>
      <c r="AY163" s="3" t="str">
        <f t="shared" si="13"/>
        <v>Chris Anderson</v>
      </c>
      <c r="AZ163" s="3"/>
      <c r="BA163" s="24">
        <f>AK163*(1-(_xlfn.XLOOKUP(G163, Exchange_Rates!$B$8:$F$8, Exchange_Rates!$B$9:$F$9, 0)+J163))</f>
        <v>27730.552499999998</v>
      </c>
      <c r="BB163" s="7" cm="1">
        <f t="array" ref="BB163">_xlfn.LET(
  _xlpm.raw_dt, SUBSTITUTE(TRIM(C163), ".", "/"),
  _xlpm.dt, IFERROR(DATEVALUE(_xlpm.raw_dt), C163),
  _xlpm.p_code, TRIM(E163),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46455</v>
      </c>
      <c r="BC163" s="25">
        <f t="shared" si="14"/>
        <v>4159.5828749999991</v>
      </c>
    </row>
    <row r="164" spans="1:55" ht="15.75" thickBot="1" x14ac:dyDescent="0.3">
      <c r="A164" s="3" t="s">
        <v>2895</v>
      </c>
      <c r="B164" s="10">
        <f>DATE(2025,12,4)</f>
        <v>45995</v>
      </c>
      <c r="C164" s="4">
        <v>45997</v>
      </c>
      <c r="D164" s="3" t="str">
        <f>"P-" &amp; TEXT(VALUE(SUBSTITUTE(SUBSTITUTE(SUBSTITUTE(UPPER(TRIM('Sales_RAW(BEFORE)'!D169)), "P", ""), "-", ""), "_", "")),"000")</f>
        <v>P-040</v>
      </c>
      <c r="E164" s="3" t="str">
        <f>VLOOKUP(D164,Product_List!$A$2:$B$61,2,FALSE)</f>
        <v>Monitor Plus 40</v>
      </c>
      <c r="F164" s="3" t="str">
        <f>_xlfn.XLOOKUP(E164,Product_List!$B$2:$B$61,Product_List!$E$2:$E$61,2)</f>
        <v>TechSupply Co</v>
      </c>
      <c r="G164" s="3" t="str">
        <f>VLOOKUP(E164,Product_List!$B$2:$C$61,2,FALSE)</f>
        <v>Software</v>
      </c>
      <c r="H164" s="3" t="str">
        <f>SUBSTITUTE(SUBSTITUTE('Sales_RAW(BEFORE)'!G169,"kom",""),".","")</f>
        <v xml:space="preserve">17 </v>
      </c>
      <c r="I164" s="6">
        <f>VLOOKUP(E164,Product_List!$B$2:$D$61,3,FALSE)</f>
        <v>98.06</v>
      </c>
      <c r="J164" s="5">
        <f>IF(IFERROR(VALUE(SUBSTITUTE(SUBSTITUTE(TRIM('Sales_RAW(BEFORE)'!I169), "%", ""), ",", ".")), 0) &gt; 1, IFERROR(VALUE(SUBSTITUTE(SUBSTITUTE(TRIM('Sales_RAW(BEFORE)'!I169), "%", ""), ",", ".")), 0) / 100, IFERROR(VALUE(SUBSTITUTE(SUBSTITUTE(TRIM('Sales_RAW(BEFORE)'!I169), "%", ""), ",", ".")), 0))</f>
        <v>0.1</v>
      </c>
      <c r="K164" s="6">
        <f t="shared" si="10"/>
        <v>1667.02</v>
      </c>
      <c r="L164" s="6" t="str" cm="1">
        <f t="array" ref="L164">_xlfn.LET(
  _xlpm.valuta, UPPER(TRIM('Sales_RAW(BEFORE)'!K169)),
  _xlfn.IFS(
    _xlpm.valuta = "", "",
    OR(_xlpm.valuta = "USD", _xlpm.valuta = "$"), "$",
    OR(_xlpm.valuta = "EUR", _xlpm.valuta = "€"), "€",
    TRUE, _xlpm.valuta
  )
)</f>
        <v>$</v>
      </c>
      <c r="M164" s="3" t="str">
        <f>"E" &amp; TEXT(VALUE(SUBSTITUTE(SUBSTITUTE(SUBSTITUTE(UPPER(TRIM('Sales_RAW(BEFORE)'!L169)), "EMP", ""), "E", ""), "-", "")),"000")</f>
        <v>E008</v>
      </c>
      <c r="N164" s="3" t="str">
        <f>_xlfn.XLOOKUP(M164,Employees!$D$2:$D$26,Employees!$A$2:$A$26)</f>
        <v>Michael Williams</v>
      </c>
      <c r="O164" s="3" t="str">
        <f>_xlfn.XLOOKUP(N164,Employees!$A$2:$A$26,Employees!$C$2:$C$26,2)</f>
        <v>Wholesale</v>
      </c>
      <c r="P164" s="3" t="str">
        <f>PROPER('Sales_RAW(BEFORE)'!N169)</f>
        <v>East</v>
      </c>
      <c r="Q164" s="3" t="str">
        <f>VLOOKUP(N164,Employees!$A$2:$B$26,2,FALSE)</f>
        <v>New York</v>
      </c>
      <c r="R164" s="3" t="str">
        <f>PROPER('Sales_RAW(BEFORE)'!P169)</f>
        <v xml:space="preserve">Wayne Inc   </v>
      </c>
      <c r="S164" s="3" t="str">
        <f>SUBSTITUTE(SUBSTITUTE('Sales_RAW(BEFORE)'!Q169,"EIN",""),":","")</f>
        <v xml:space="preserve"> 624344031</v>
      </c>
      <c r="T164" s="3" t="s">
        <v>624</v>
      </c>
      <c r="U164" s="3" t="s">
        <v>2904</v>
      </c>
      <c r="V164" s="3" t="s">
        <v>2905</v>
      </c>
      <c r="W164" s="3" t="s">
        <v>142</v>
      </c>
      <c r="X164" s="3" t="s">
        <v>173</v>
      </c>
      <c r="Y164" s="3" t="str">
        <f>PROPER('Sales_RAW(BEFORE)'!W169)</f>
        <v>Credit Card</v>
      </c>
      <c r="Z164" s="3" t="str">
        <f>PROPER('Sales_RAW(BEFORE)'!X169)</f>
        <v>Processing</v>
      </c>
      <c r="AA164" s="3" t="str" cm="1">
        <f t="array" ref="AA164">_xlfn.LET(
  _xlpm.val, TRIM(LOWER('Sales_RAW(BEFORE)'!Y169)),
  _xlfn.IFS(
    OR(_xlpm.val="yes", _xlpm.val="paid"), "Paid",
    OR(_xlpm.val="no", _xlpm.val="unpaid"), "Unpaid",
    OR(_xlpm.val="partial", _xlpm.val="partial paid"), "Partial",
    _xlpm.val="", "",
    TRUE, 'Sales_RAW(BEFORE)'!AY169
  )
)</f>
        <v>Paid</v>
      </c>
      <c r="AB164" s="3" t="s">
        <v>2906</v>
      </c>
      <c r="AC164" s="3" t="str">
        <f>PROPER('Sales_RAW(BEFORE)'!AA169)</f>
        <v>Online</v>
      </c>
      <c r="AD164" s="3" t="str">
        <f>SUBSTITUTE(SUBSTITUTE(SUBSTITUTE(SUBSTITUTE('Sales_RAW(BEFORE)'!AB169,"st",""),"q",""),"Q",""),"uarter","")</f>
        <v>4</v>
      </c>
      <c r="AE164" s="3" t="str">
        <f>TEXT(IFERROR(DATEVALUE('Sales_RAW(BEFORE)'!AC169 &amp; " 1"), IFERROR(DATE(2025, 'Sales_RAW(BEFORE)'!AC169, 1), 'Sales_RAW(BEFORE)'!AC169)), "mmmm")</f>
        <v>December</v>
      </c>
      <c r="AF164" s="3">
        <f>_xlfn.LET(
  _xlpm.raw, TRIM(SUBSTITUTE('Sales_RAW(BEFORE)'!AD169, "'", "")),
  _xlpm.num, IFERROR(VALUE(_xlpm.raw), 0),
  IF(_xlpm.num &lt; 100, 2000 + _xlpm.num, _xlpm.num)
)</f>
        <v>2025</v>
      </c>
      <c r="AG164" s="3" t="str">
        <f>PROPER('Sales_RAW(BEFORE)'!AE169)</f>
        <v>Immediate</v>
      </c>
      <c r="AH164" s="3" cm="1">
        <f t="array" ref="AH164">_xlfn.LET(
  _xlpm.val, LOWER(TRIM('Sales_RAW(BEFORE)'!AF169)),
  _xlfn.IFS(
    OR(_xlpm.val="", _xlpm.val="null", _xlpm.val="N/A", _xlpm.val="-", _xlpm.val="#N/A"), 0,
    ISNUMBER('Sales_RAW(BEFORE)'!AF169), 'Sales_RAW(BEFORE)'!AF169,
    TRUE, IFERROR(_xlfn.NUMBERVALUE(_xlpm.val), 0)
  )
)</f>
        <v>39</v>
      </c>
      <c r="AI164" s="5">
        <f>IF(IFERROR(VALUE(SUBSTITUTE(SUBSTITUTE(TRIM('Sales_RAW(BEFORE)'!AG169), "%", ""), ",", ".")), 0) &gt; 1, IFERROR(VALUE(SUBSTITUTE(SUBSTITUTE(TRIM('Sales_RAW(BEFORE)'!AG169), "%", ""), ",", ".")), 0) / 100, IFERROR(VALUE(SUBSTITUTE(SUBSTITUTE(TRIM('Sales_RAW(BEFORE)'!AG169), "%", ""), ",", ".")), 0))</f>
        <v>0.08</v>
      </c>
      <c r="AJ164" s="6">
        <f t="shared" si="11"/>
        <v>133.36160000000001</v>
      </c>
      <c r="AK164" s="6">
        <f t="shared" si="12"/>
        <v>1800.3815999999999</v>
      </c>
      <c r="AL164" s="6">
        <f>IFERROR(VALUE(SUBSTITUTE(SUBSTITUTE(SUBSTITUTE('Sales_RAW(BEFORE)'!AJ169,"$",""),"USD",""),",",".")),0)</f>
        <v>29.15</v>
      </c>
      <c r="AM164" s="3" t="str">
        <f>SUBSTITUTE(SUBSTITUTE(PROPER('Sales_RAW(BEFORE)'!AK169), "Fed Ex", "FedEx"),"Fedex","FedEx")</f>
        <v>Dhl</v>
      </c>
      <c r="AN164" s="3" t="s">
        <v>2908</v>
      </c>
      <c r="AO164" s="3" t="str">
        <f>SUBSTITUTE('Sales_RAW(BEFORE)'!AM169,"kg","")</f>
        <v>25.43</v>
      </c>
      <c r="AP164" s="3" t="str">
        <f>_xlfn.LET(
  _xlpm.raw, UPPER(TRIM('Sales_RAW(BEFORE)'!AN169)),
  _xlpm.clean, RIGHT(_xlpm.raw, 1),
  IF(OR(_xlpm.raw="", _xlpm.raw="null"), "N/A", _xlpm.clean)
)</f>
        <v>C</v>
      </c>
      <c r="AQ164" s="3">
        <v>228</v>
      </c>
      <c r="AR164" s="3" cm="1">
        <f t="array" ref="AR164">_xlfn.LET(
  _xlpm.raw, LOWER(TRIM('Sales_RAW(BEFORE)'!AP169)),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64" s="3"/>
      <c r="AT164" s="3"/>
      <c r="AU164" s="3"/>
      <c r="AV164" s="8">
        <f>IF(IFERROR(VALUE(SUBSTITUTE(SUBSTITUTE(TRIM('Sales_RAW(BEFORE)'!AT169), "%", ""), ",", ".")), 0) &gt; 1, IFERROR(VALUE(SUBSTITUTE(SUBSTITUTE(TRIM('Sales_RAW(BEFORE)'!AT169), "%", ""), ",", ".")), 0) / 100, IFERROR(VALUE(SUBSTITUTE(SUBSTITUTE(TRIM('Sales_RAW(BEFORE)'!AT169), "%", ""), ",", ".")), 0))</f>
        <v>0</v>
      </c>
      <c r="AW164" s="6">
        <f>BA164*(_xlfn.XLOOKUP(N164,Employees!$A$2:$A$26,Employees!$E$2:$E$26,2))</f>
        <v>67.514310000000009</v>
      </c>
      <c r="AX164" s="3" t="str">
        <f>PROPER('Sales_RAW(BEFORE)'!AV169)</f>
        <v xml:space="preserve">James Smith </v>
      </c>
      <c r="AY164" s="3" t="str">
        <f t="shared" si="13"/>
        <v xml:space="preserve">James Smith </v>
      </c>
      <c r="AZ164" s="3"/>
      <c r="BA164" s="24">
        <f>AK164*(1-(_xlfn.XLOOKUP(G164, Exchange_Rates!$B$8:$F$8, Exchange_Rates!$B$9:$F$9, 0)+J164))</f>
        <v>1350.2862</v>
      </c>
      <c r="BB164" s="7" cm="1">
        <f t="array" ref="BB164">_xlfn.LET(
  _xlpm.raw_dt, SUBSTITUTE(TRIM(C164), ".", "/"),
  _xlpm.dt, IFERROR(DATEVALUE(_xlpm.raw_dt), C164),
  _xlpm.p_code, TRIM(E164),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46727</v>
      </c>
      <c r="BC164" s="25">
        <f t="shared" si="14"/>
        <v>0</v>
      </c>
    </row>
    <row r="165" spans="1:55" ht="15.75" thickBot="1" x14ac:dyDescent="0.3">
      <c r="A165" s="3" t="s">
        <v>2910</v>
      </c>
      <c r="B165" s="10">
        <v>45827</v>
      </c>
      <c r="C165" s="4">
        <v>45839</v>
      </c>
      <c r="D165" s="3" t="str">
        <f>"P-" &amp; TEXT(VALUE(SUBSTITUTE(SUBSTITUTE(SUBSTITUTE(UPPER(TRIM('Sales_RAW(BEFORE)'!D170)), "P", ""), "-", ""), "_", "")),"000")</f>
        <v>P-011</v>
      </c>
      <c r="E165" s="3" t="str">
        <f>VLOOKUP(D165,Product_List!$A$2:$B$61,2,FALSE)</f>
        <v>Mouse Pro 11</v>
      </c>
      <c r="F165" s="3" t="str">
        <f>_xlfn.XLOOKUP(E165,Product_List!$B$2:$B$61,Product_List!$E$2:$E$61,2)</f>
        <v>OfficeHub</v>
      </c>
      <c r="G165" s="3" t="str">
        <f>VLOOKUP(E165,Product_List!$B$2:$C$61,2,FALSE)</f>
        <v>Equipment</v>
      </c>
      <c r="H165" s="3" t="str">
        <f>SUBSTITUTE(SUBSTITUTE('Sales_RAW(BEFORE)'!G170,"kom",""),".","")</f>
        <v xml:space="preserve">38 </v>
      </c>
      <c r="I165" s="6">
        <f>VLOOKUP(E165,Product_List!$B$2:$D$61,3,FALSE)</f>
        <v>858.95</v>
      </c>
      <c r="J165" s="5">
        <f>IF(IFERROR(VALUE(SUBSTITUTE(SUBSTITUTE(TRIM('Sales_RAW(BEFORE)'!I170), "%", ""), ",", ".")), 0) &gt; 1, IFERROR(VALUE(SUBSTITUTE(SUBSTITUTE(TRIM('Sales_RAW(BEFORE)'!I170), "%", ""), ",", ".")), 0) / 100, IFERROR(VALUE(SUBSTITUTE(SUBSTITUTE(TRIM('Sales_RAW(BEFORE)'!I170), "%", ""), ",", ".")), 0))</f>
        <v>0.1</v>
      </c>
      <c r="K165" s="6">
        <f t="shared" si="10"/>
        <v>32640.100000000002</v>
      </c>
      <c r="L165" s="6" t="str" cm="1">
        <f t="array" ref="L165">_xlfn.LET(
  _xlpm.valuta, UPPER(TRIM('Sales_RAW(BEFORE)'!K170)),
  _xlfn.IFS(
    _xlpm.valuta = "", "",
    OR(_xlpm.valuta = "USD", _xlpm.valuta = "$"), "$",
    OR(_xlpm.valuta = "EUR", _xlpm.valuta = "€"), "€",
    TRUE, _xlpm.valuta
  )
)</f>
        <v>$</v>
      </c>
      <c r="M165" s="3" t="str">
        <f>"E" &amp; TEXT(VALUE(SUBSTITUTE(SUBSTITUTE(SUBSTITUTE(UPPER(TRIM('Sales_RAW(BEFORE)'!L170)), "EMP", ""), "E", ""), "-", "")),"000")</f>
        <v>E015</v>
      </c>
      <c r="N165" s="3" t="str">
        <f>_xlfn.XLOOKUP(M165,Employees!$D$2:$D$26,Employees!$A$2:$A$26)</f>
        <v>Sarah Jones</v>
      </c>
      <c r="O165" s="3" t="str">
        <f>_xlfn.XLOOKUP(N165,Employees!$A$2:$A$26,Employees!$C$2:$C$26,2)</f>
        <v>Wholesale</v>
      </c>
      <c r="P165" s="3" t="str">
        <f>PROPER('Sales_RAW(BEFORE)'!N170)</f>
        <v>South</v>
      </c>
      <c r="Q165" s="3" t="str">
        <f>VLOOKUP(N165,Employees!$A$2:$B$26,2,FALSE)</f>
        <v>Boston</v>
      </c>
      <c r="R165" s="3" t="str">
        <f>PROPER('Sales_RAW(BEFORE)'!P170)</f>
        <v xml:space="preserve">Wayne Inc.   </v>
      </c>
      <c r="S165" s="3" t="str">
        <f>SUBSTITUTE(SUBSTITUTE('Sales_RAW(BEFORE)'!Q170,"EIN",""),":","")</f>
        <v>828169653</v>
      </c>
      <c r="T165" s="3" t="s">
        <v>201</v>
      </c>
      <c r="U165" s="3" t="s">
        <v>2919</v>
      </c>
      <c r="V165" s="3" t="s">
        <v>2920</v>
      </c>
      <c r="W165" s="3" t="s">
        <v>2921</v>
      </c>
      <c r="X165" s="3" t="s">
        <v>173</v>
      </c>
      <c r="Y165" s="3" t="str">
        <f>PROPER('Sales_RAW(BEFORE)'!W170)</f>
        <v>Cash</v>
      </c>
      <c r="Z165" s="3" t="str">
        <f>PROPER('Sales_RAW(BEFORE)'!X170)</f>
        <v>Delivered</v>
      </c>
      <c r="AA165" s="3" t="str" cm="1">
        <f t="array" ref="AA165">_xlfn.LET(
  _xlpm.val, TRIM(LOWER('Sales_RAW(BEFORE)'!Y170)),
  _xlfn.IFS(
    OR(_xlpm.val="yes", _xlpm.val="paid"), "Paid",
    OR(_xlpm.val="no", _xlpm.val="unpaid"), "Unpaid",
    OR(_xlpm.val="partial", _xlpm.val="partial paid"), "Partial",
    _xlpm.val="", "",
    TRUE, 'Sales_RAW(BEFORE)'!AY170
  )
)</f>
        <v>Paid</v>
      </c>
      <c r="AB165" s="3" t="s">
        <v>2922</v>
      </c>
      <c r="AC165" s="3" t="str">
        <f>PROPER('Sales_RAW(BEFORE)'!AA170)</f>
        <v>Online</v>
      </c>
      <c r="AD165" s="3" t="str">
        <f>SUBSTITUTE(SUBSTITUTE(SUBSTITUTE(SUBSTITUTE('Sales_RAW(BEFORE)'!AB170,"st",""),"q",""),"Q",""),"uarter","")</f>
        <v>1</v>
      </c>
      <c r="AE165" s="3" t="str">
        <f>TEXT(IFERROR(DATEVALUE('Sales_RAW(BEFORE)'!AC170 &amp; " 1"), IFERROR(DATE(2025, 'Sales_RAW(BEFORE)'!AC170, 1), 'Sales_RAW(BEFORE)'!AC170)), "mmmm")</f>
        <v>June</v>
      </c>
      <c r="AF165" s="3">
        <f>_xlfn.LET(
  _xlpm.raw, TRIM(SUBSTITUTE('Sales_RAW(BEFORE)'!AD170, "'", "")),
  _xlpm.num, IFERROR(VALUE(_xlpm.raw), 0),
  IF(_xlpm.num &lt; 100, 2000 + _xlpm.num, _xlpm.num)
)</f>
        <v>2025</v>
      </c>
      <c r="AG165" s="3" t="str">
        <f>PROPER('Sales_RAW(BEFORE)'!AE170)</f>
        <v>Net 60</v>
      </c>
      <c r="AH165" s="3" cm="1">
        <f t="array" ref="AH165">_xlfn.LET(
  _xlpm.val, LOWER(TRIM('Sales_RAW(BEFORE)'!AF170)),
  _xlfn.IFS(
    OR(_xlpm.val="", _xlpm.val="null", _xlpm.val="N/A", _xlpm.val="-", _xlpm.val="#N/A"), 0,
    ISNUMBER('Sales_RAW(BEFORE)'!AF170), 'Sales_RAW(BEFORE)'!AF170,
    TRUE, IFERROR(_xlfn.NUMBERVALUE(_xlpm.val), 0)
  )
)</f>
        <v>18</v>
      </c>
      <c r="AI165" s="5">
        <f>IF(IFERROR(VALUE(SUBSTITUTE(SUBSTITUTE(TRIM('Sales_RAW(BEFORE)'!AG170), "%", ""), ",", ".")), 0) &gt; 1, IFERROR(VALUE(SUBSTITUTE(SUBSTITUTE(TRIM('Sales_RAW(BEFORE)'!AG170), "%", ""), ",", ".")), 0) / 100, IFERROR(VALUE(SUBSTITUTE(SUBSTITUTE(TRIM('Sales_RAW(BEFORE)'!AG170), "%", ""), ",", ".")), 0))</f>
        <v>0.08</v>
      </c>
      <c r="AJ165" s="6">
        <f t="shared" si="11"/>
        <v>2611.2080000000001</v>
      </c>
      <c r="AK165" s="6">
        <f t="shared" si="12"/>
        <v>35251.308000000005</v>
      </c>
      <c r="AL165" s="6">
        <f>IFERROR(VALUE(SUBSTITUTE(SUBSTITUTE(SUBSTITUTE('Sales_RAW(BEFORE)'!AJ170,"$",""),"USD",""),",",".")),0)</f>
        <v>6.47</v>
      </c>
      <c r="AM165" s="3" t="str">
        <f>SUBSTITUTE(SUBSTITUTE(PROPER('Sales_RAW(BEFORE)'!AK170), "Fed Ex", "FedEx"),"Fedex","FedEx")</f>
        <v>Dhl</v>
      </c>
      <c r="AN165" s="3" t="s">
        <v>2924</v>
      </c>
      <c r="AO165" s="3" t="str">
        <f>SUBSTITUTE('Sales_RAW(BEFORE)'!AM170,"kg","")</f>
        <v>22,89</v>
      </c>
      <c r="AP165" s="3" t="str">
        <f>_xlfn.LET(
  _xlpm.raw, UPPER(TRIM('Sales_RAW(BEFORE)'!AN170)),
  _xlpm.clean, RIGHT(_xlpm.raw, 1),
  IF(OR(_xlpm.raw="", _xlpm.raw="null"), "N/A", _xlpm.clean)
)</f>
        <v>A</v>
      </c>
      <c r="AQ165" s="3">
        <v>400</v>
      </c>
      <c r="AR165" s="3" cm="1">
        <f t="array" ref="AR165">_xlfn.LET(
  _xlpm.raw, LOWER(TRIM('Sales_RAW(BEFORE)'!AP170)),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65" s="3"/>
      <c r="AT165" s="3"/>
      <c r="AU165" s="3"/>
      <c r="AV165" s="8">
        <f>IF(IFERROR(VALUE(SUBSTITUTE(SUBSTITUTE(TRIM('Sales_RAW(BEFORE)'!AT170), "%", ""), ",", ".")), 0) &gt; 1, IFERROR(VALUE(SUBSTITUTE(SUBSTITUTE(TRIM('Sales_RAW(BEFORE)'!AT170), "%", ""), ",", ".")), 0) / 100, IFERROR(VALUE(SUBSTITUTE(SUBSTITUTE(TRIM('Sales_RAW(BEFORE)'!AT170), "%", ""), ",", ".")), 0))</f>
        <v>0.25</v>
      </c>
      <c r="AW165" s="6">
        <f>BA165*(_xlfn.XLOOKUP(N165,Employees!$A$2:$A$26,Employees!$E$2:$E$26,2))</f>
        <v>846.03139200000021</v>
      </c>
      <c r="AX165" s="3" t="str">
        <f>PROPER('Sales_RAW(BEFORE)'!AV170)</f>
        <v>Laura Johnson</v>
      </c>
      <c r="AY165" s="3" t="str">
        <f t="shared" si="13"/>
        <v>Laura Johnson</v>
      </c>
      <c r="AZ165" s="3"/>
      <c r="BA165" s="24">
        <f>AK165*(1-(_xlfn.XLOOKUP(G165, Exchange_Rates!$B$8:$F$8, Exchange_Rates!$B$9:$F$9, 0)+J165))</f>
        <v>28201.046400000007</v>
      </c>
      <c r="BB165" s="7" cm="1">
        <f t="array" ref="BB165">_xlfn.LET(
  _xlpm.raw_dt, SUBSTITUTE(TRIM(C165), ".", "/"),
  _xlpm.dt, IFERROR(DATEVALUE(_xlpm.raw_dt), C165),
  _xlpm.p_code, TRIM(E165),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46204</v>
      </c>
      <c r="BC165" s="25">
        <f t="shared" si="14"/>
        <v>7050.2616000000016</v>
      </c>
    </row>
    <row r="166" spans="1:55" ht="15.75" thickBot="1" x14ac:dyDescent="0.3">
      <c r="A166" s="3" t="s">
        <v>2928</v>
      </c>
      <c r="B166" s="10">
        <v>46163</v>
      </c>
      <c r="C166" s="4" t="s">
        <v>91</v>
      </c>
      <c r="D166" s="3" t="str">
        <f>"P-" &amp; TEXT(VALUE(SUBSTITUTE(SUBSTITUTE(SUBSTITUTE(UPPER(TRIM('Sales_RAW(BEFORE)'!D171)), "P", ""), "-", ""), "_", "")),"000")</f>
        <v>P-025</v>
      </c>
      <c r="E166" s="3" t="str">
        <f>VLOOKUP(D166,Product_List!$A$2:$B$61,2,FALSE)</f>
        <v>Chair Max 25</v>
      </c>
      <c r="F166" s="3" t="str">
        <f>_xlfn.XLOOKUP(E166,Product_List!$B$2:$B$61,Product_List!$E$2:$E$61,2)</f>
        <v>TechSupply Co</v>
      </c>
      <c r="G166" s="3" t="str">
        <f>VLOOKUP(E166,Product_List!$B$2:$C$61,2,FALSE)</f>
        <v>Software</v>
      </c>
      <c r="H166" s="3" t="str">
        <f>SUBSTITUTE(SUBSTITUTE('Sales_RAW(BEFORE)'!G171,"kom",""),".","")</f>
        <v>11</v>
      </c>
      <c r="I166" s="6">
        <f>VLOOKUP(E166,Product_List!$B$2:$D$61,3,FALSE)</f>
        <v>430.47</v>
      </c>
      <c r="J166" s="5">
        <f>IF(IFERROR(VALUE(SUBSTITUTE(SUBSTITUTE(TRIM('Sales_RAW(BEFORE)'!I171), "%", ""), ",", ".")), 0) &gt; 1, IFERROR(VALUE(SUBSTITUTE(SUBSTITUTE(TRIM('Sales_RAW(BEFORE)'!I171), "%", ""), ",", ".")), 0) / 100, IFERROR(VALUE(SUBSTITUTE(SUBSTITUTE(TRIM('Sales_RAW(BEFORE)'!I171), "%", ""), ",", ".")), 0))</f>
        <v>0</v>
      </c>
      <c r="K166" s="6">
        <f>(H166*I166)/(HLOOKUP(AE166,Exchange_Rates!$B$1:$M$2,2,FALSE))</f>
        <v>5124.6428571428569</v>
      </c>
      <c r="L166" s="6" t="str" cm="1">
        <f t="array" ref="L166">_xlfn.LET(
  _xlpm.valuta, UPPER(TRIM('Sales_RAW(BEFORE)'!K171)),
  _xlfn.IFS(
    _xlpm.valuta = "", "",
    OR(_xlpm.valuta = "USD", _xlpm.valuta = "$"), "$",
    OR(_xlpm.valuta = "EUR", _xlpm.valuta = "€"), "€",
    TRUE, _xlpm.valuta
  )
)</f>
        <v>€</v>
      </c>
      <c r="M166" s="3" t="str">
        <f>"E" &amp; TEXT(VALUE(SUBSTITUTE(SUBSTITUTE(SUBSTITUTE(UPPER(TRIM('Sales_RAW(BEFORE)'!L171)), "EMP", ""), "E", ""), "-", "")),"000")</f>
        <v>E019</v>
      </c>
      <c r="N166" s="3" t="str">
        <f>_xlfn.XLOOKUP(M166,Employees!$D$2:$D$26,Employees!$A$2:$A$26)</f>
        <v>Sophia Taylor</v>
      </c>
      <c r="O166" s="3" t="str">
        <f>_xlfn.XLOOKUP(N166,Employees!$A$2:$A$26,Employees!$C$2:$C$26,2)</f>
        <v>Wholesale</v>
      </c>
      <c r="P166" s="3" t="str">
        <f>PROPER('Sales_RAW(BEFORE)'!N171)</f>
        <v>North</v>
      </c>
      <c r="Q166" s="3" t="str">
        <f>VLOOKUP(N166,Employees!$A$2:$B$26,2,FALSE)</f>
        <v>Los Angeles</v>
      </c>
      <c r="R166" s="3" t="str">
        <f>PROPER('Sales_RAW(BEFORE)'!P171)</f>
        <v>Umbrella Llc</v>
      </c>
      <c r="S166" s="3" t="str">
        <f>SUBSTITUTE(SUBSTITUTE('Sales_RAW(BEFORE)'!Q171,"EIN",""),":","")</f>
        <v xml:space="preserve"> 728103691</v>
      </c>
      <c r="T166" s="3" t="s">
        <v>1359</v>
      </c>
      <c r="U166" s="3" t="s">
        <v>2936</v>
      </c>
      <c r="V166" s="3" t="s">
        <v>2937</v>
      </c>
      <c r="W166" s="3" t="s">
        <v>2938</v>
      </c>
      <c r="X166" s="3" t="s">
        <v>173</v>
      </c>
      <c r="Y166" s="3" t="str">
        <f>PROPER('Sales_RAW(BEFORE)'!W171)</f>
        <v>Cash</v>
      </c>
      <c r="Z166" s="3" t="str">
        <f>PROPER('Sales_RAW(BEFORE)'!X171)</f>
        <v>Delivered</v>
      </c>
      <c r="AA166" s="3" t="str" cm="1">
        <f t="array" ref="AA166">_xlfn.LET(
  _xlpm.val, TRIM(LOWER('Sales_RAW(BEFORE)'!Y171)),
  _xlfn.IFS(
    OR(_xlpm.val="yes", _xlpm.val="paid"), "Paid",
    OR(_xlpm.val="no", _xlpm.val="unpaid"), "Unpaid",
    OR(_xlpm.val="partial", _xlpm.val="partial paid"), "Partial",
    _xlpm.val="", "",
    TRUE, 'Sales_RAW(BEFORE)'!AY171
  )
)</f>
        <v>Unpaid</v>
      </c>
      <c r="AB166" s="3" t="s">
        <v>2939</v>
      </c>
      <c r="AC166" s="3" t="str">
        <f>PROPER('Sales_RAW(BEFORE)'!AA171)</f>
        <v>Online</v>
      </c>
      <c r="AD166" s="3" t="str">
        <f>SUBSTITUTE(SUBSTITUTE(SUBSTITUTE(SUBSTITUTE('Sales_RAW(BEFORE)'!AB171,"st",""),"q",""),"Q",""),"uarter","")</f>
        <v xml:space="preserve">1 </v>
      </c>
      <c r="AE166" s="3" t="str">
        <f>TEXT(IFERROR(DATEVALUE('Sales_RAW(BEFORE)'!AC171 &amp; " 1"), IFERROR(DATE(2025, 'Sales_RAW(BEFORE)'!AC171, 1), 'Sales_RAW(BEFORE)'!AC171)), "mmmm")</f>
        <v>May</v>
      </c>
      <c r="AF166" s="3">
        <f>_xlfn.LET(
  _xlpm.raw, TRIM(SUBSTITUTE('Sales_RAW(BEFORE)'!AD171, "'", "")),
  _xlpm.num, IFERROR(VALUE(_xlpm.raw), 0),
  IF(_xlpm.num &lt; 100, 2000 + _xlpm.num, _xlpm.num)
)</f>
        <v>2026</v>
      </c>
      <c r="AG166" s="3" t="str">
        <f>PROPER('Sales_RAW(BEFORE)'!AE171)</f>
        <v>Net 30</v>
      </c>
      <c r="AH166" s="3" cm="1">
        <f t="array" ref="AH166">_xlfn.LET(
  _xlpm.val, LOWER(TRIM('Sales_RAW(BEFORE)'!AF171)),
  _xlfn.IFS(
    OR(_xlpm.val="", _xlpm.val="null", _xlpm.val="N/A", _xlpm.val="-", _xlpm.val="#N/A"), 0,
    ISNUMBER('Sales_RAW(BEFORE)'!AF171), 'Sales_RAW(BEFORE)'!AF171,
    TRUE, IFERROR(_xlfn.NUMBERVALUE(_xlpm.val), 0)
  )
)</f>
        <v>60</v>
      </c>
      <c r="AI166" s="5">
        <f>IF(IFERROR(VALUE(SUBSTITUTE(SUBSTITUTE(TRIM('Sales_RAW(BEFORE)'!AG171), "%", ""), ",", ".")), 0) &gt; 1, IFERROR(VALUE(SUBSTITUTE(SUBSTITUTE(TRIM('Sales_RAW(BEFORE)'!AG171), "%", ""), ",", ".")), 0) / 100, IFERROR(VALUE(SUBSTITUTE(SUBSTITUTE(TRIM('Sales_RAW(BEFORE)'!AG171), "%", ""), ",", ".")), 0))</f>
        <v>0.08</v>
      </c>
      <c r="AJ166" s="6">
        <f t="shared" si="11"/>
        <v>409.97142857142853</v>
      </c>
      <c r="AK166" s="6">
        <f t="shared" si="12"/>
        <v>5534.6142857142859</v>
      </c>
      <c r="AL166" s="6">
        <f>IFERROR(VALUE(SUBSTITUTE(SUBSTITUTE(SUBSTITUTE('Sales_RAW(BEFORE)'!AJ171,"$",""),"USD",""),",",".")),0)</f>
        <v>38.75</v>
      </c>
      <c r="AM166" s="3" t="str">
        <f>SUBSTITUTE(SUBSTITUTE(PROPER('Sales_RAW(BEFORE)'!AK171), "Fed Ex", "FedEx"),"Fedex","FedEx")</f>
        <v>FedEx</v>
      </c>
      <c r="AN166" s="3" t="s">
        <v>2941</v>
      </c>
      <c r="AO166" s="3" t="str">
        <f>SUBSTITUTE('Sales_RAW(BEFORE)'!AM171,"kg","")</f>
        <v>12.59</v>
      </c>
      <c r="AP166" s="3" t="str">
        <f>_xlfn.LET(
  _xlpm.raw, UPPER(TRIM('Sales_RAW(BEFORE)'!AN171)),
  _xlpm.clean, RIGHT(_xlpm.raw, 1),
  IF(OR(_xlpm.raw="", _xlpm.raw="null"), "N/A", _xlpm.clean)
)</f>
        <v>C</v>
      </c>
      <c r="AQ166" s="3">
        <v>349</v>
      </c>
      <c r="AR166" s="3" cm="1">
        <f t="array" ref="AR166">_xlfn.LET(
  _xlpm.raw, LOWER(TRIM('Sales_RAW(BEFORE)'!AP171)),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66" s="3"/>
      <c r="AT166" s="3"/>
      <c r="AU166" s="3"/>
      <c r="AV166" s="8">
        <f>IF(IFERROR(VALUE(SUBSTITUTE(SUBSTITUTE(TRIM('Sales_RAW(BEFORE)'!AT171), "%", ""), ",", ".")), 0) &gt; 1, IFERROR(VALUE(SUBSTITUTE(SUBSTITUTE(TRIM('Sales_RAW(BEFORE)'!AT171), "%", ""), ",", ".")), 0) / 100, IFERROR(VALUE(SUBSTITUTE(SUBSTITUTE(TRIM('Sales_RAW(BEFORE)'!AT171), "%", ""), ",", ".")), 0))</f>
        <v>0.15</v>
      </c>
      <c r="AW166" s="6">
        <f>BA166*(_xlfn.XLOOKUP(N166,Employees!$A$2:$A$26,Employees!$E$2:$E$26,2))</f>
        <v>141.13266428571427</v>
      </c>
      <c r="AX166" s="3" t="str">
        <f>PROPER('Sales_RAW(BEFORE)'!AV171)</f>
        <v>Emily Wilson</v>
      </c>
      <c r="AY166" s="3" t="str">
        <f t="shared" si="13"/>
        <v>Emily Wilson</v>
      </c>
      <c r="AZ166" s="3"/>
      <c r="BA166" s="24">
        <f>AK166*(1-(_xlfn.XLOOKUP(G166, Exchange_Rates!$B$8:$F$8, Exchange_Rates!$B$9:$F$9, 0)+J166))</f>
        <v>4704.4221428571427</v>
      </c>
      <c r="BB166" s="7" t="str" cm="1">
        <f t="array" ref="BB166">_xlfn.LET(
  _xlpm.raw_dt, SUBSTITUTE(TRIM(C166), ".", "/"),
  _xlpm.dt, IFERROR(DATEVALUE(_xlpm.raw_dt), C166),
  _xlpm.p_code, TRIM(E166),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Empty</v>
      </c>
      <c r="BC166" s="25">
        <f t="shared" si="14"/>
        <v>705.66332142857141</v>
      </c>
    </row>
    <row r="167" spans="1:55" ht="15.75" thickBot="1" x14ac:dyDescent="0.3">
      <c r="A167" s="3" t="s">
        <v>2942</v>
      </c>
      <c r="B167" s="10">
        <v>46134</v>
      </c>
      <c r="C167" s="4">
        <f>DATE(2026,5,5)</f>
        <v>46147</v>
      </c>
      <c r="D167" s="3" t="str">
        <f>"P-" &amp; TEXT(VALUE(SUBSTITUTE(SUBSTITUTE(SUBSTITUTE(UPPER(TRIM('Sales_RAW(BEFORE)'!D172)), "P", ""), "-", ""), "_", "")),"000")</f>
        <v>P-057</v>
      </c>
      <c r="E167" s="3" t="str">
        <f>VLOOKUP(D167,Product_List!$A$2:$B$61,2,FALSE)</f>
        <v>Keyboard X 57</v>
      </c>
      <c r="F167" s="3" t="str">
        <f>_xlfn.XLOOKUP(E167,Product_List!$B$2:$B$61,Product_List!$E$2:$E$61,2)</f>
        <v>BestParts</v>
      </c>
      <c r="G167" s="3" t="str">
        <f>VLOOKUP(E167,Product_List!$B$2:$C$61,2,FALSE)</f>
        <v>Equipment</v>
      </c>
      <c r="H167" s="3" t="str">
        <f>SUBSTITUTE(SUBSTITUTE('Sales_RAW(BEFORE)'!G172,"kom",""),".","")</f>
        <v xml:space="preserve">27 </v>
      </c>
      <c r="I167" s="6">
        <f>VLOOKUP(E167,Product_List!$B$2:$D$61,3,FALSE)</f>
        <v>741.71</v>
      </c>
      <c r="J167" s="5">
        <f>IF(IFERROR(VALUE(SUBSTITUTE(SUBSTITUTE(TRIM('Sales_RAW(BEFORE)'!I172), "%", ""), ",", ".")), 0) &gt; 1, IFERROR(VALUE(SUBSTITUTE(SUBSTITUTE(TRIM('Sales_RAW(BEFORE)'!I172), "%", ""), ",", ".")), 0) / 100, IFERROR(VALUE(SUBSTITUTE(SUBSTITUTE(TRIM('Sales_RAW(BEFORE)'!I172), "%", ""), ",", ".")), 0))</f>
        <v>0.1</v>
      </c>
      <c r="K167" s="6">
        <f t="shared" si="10"/>
        <v>20026.170000000002</v>
      </c>
      <c r="L167" s="6" t="str" cm="1">
        <f t="array" ref="L167">_xlfn.LET(
  _xlpm.valuta, UPPER(TRIM('Sales_RAW(BEFORE)'!K172)),
  _xlfn.IFS(
    _xlpm.valuta = "", "",
    OR(_xlpm.valuta = "USD", _xlpm.valuta = "$"), "$",
    OR(_xlpm.valuta = "EUR", _xlpm.valuta = "€"), "€",
    TRUE, _xlpm.valuta
  )
)</f>
        <v>$</v>
      </c>
      <c r="M167" s="3" t="str">
        <f>"E" &amp; TEXT(VALUE(SUBSTITUTE(SUBSTITUTE(SUBSTITUTE(UPPER(TRIM('Sales_RAW(BEFORE)'!L172)), "EMP", ""), "E", ""), "-", "")),"000")</f>
        <v>E008</v>
      </c>
      <c r="N167" s="3" t="str">
        <f>_xlfn.XLOOKUP(M167,Employees!$D$2:$D$26,Employees!$A$2:$A$26)</f>
        <v>Michael Williams</v>
      </c>
      <c r="O167" s="3" t="str">
        <f>_xlfn.XLOOKUP(N167,Employees!$A$2:$A$26,Employees!$C$2:$C$26,2)</f>
        <v>Wholesale</v>
      </c>
      <c r="P167" s="3" t="str">
        <f>PROPER('Sales_RAW(BEFORE)'!N172)</f>
        <v>East</v>
      </c>
      <c r="Q167" s="3" t="str">
        <f>VLOOKUP(N167,Employees!$A$2:$B$26,2,FALSE)</f>
        <v>New York</v>
      </c>
      <c r="R167" s="3" t="str">
        <f>PROPER('Sales_RAW(BEFORE)'!P172)</f>
        <v xml:space="preserve"> Vortex Inc</v>
      </c>
      <c r="S167" s="3" t="str">
        <f>SUBSTITUTE(SUBSTITUTE('Sales_RAW(BEFORE)'!Q172,"EIN",""),":","")</f>
        <v xml:space="preserve"> 610496630</v>
      </c>
      <c r="T167" s="3" t="s">
        <v>378</v>
      </c>
      <c r="U167" s="3" t="s">
        <v>2950</v>
      </c>
      <c r="V167" s="3" t="s">
        <v>2951</v>
      </c>
      <c r="W167" s="3" t="s">
        <v>2952</v>
      </c>
      <c r="X167" s="3" t="s">
        <v>173</v>
      </c>
      <c r="Y167" s="3" t="str">
        <f>PROPER('Sales_RAW(BEFORE)'!W172)</f>
        <v>Credit Card</v>
      </c>
      <c r="Z167" s="3" t="str">
        <f>PROPER('Sales_RAW(BEFORE)'!X172)</f>
        <v>Delivered</v>
      </c>
      <c r="AA167" s="3" t="str" cm="1">
        <f t="array" ref="AA167">_xlfn.LET(
  _xlpm.val, TRIM(LOWER('Sales_RAW(BEFORE)'!Y172)),
  _xlfn.IFS(
    OR(_xlpm.val="yes", _xlpm.val="paid"), "Paid",
    OR(_xlpm.val="no", _xlpm.val="unpaid"), "Unpaid",
    OR(_xlpm.val="partial", _xlpm.val="partial paid"), "Partial",
    _xlpm.val="", "",
    TRUE, 'Sales_RAW(BEFORE)'!AY172
  )
)</f>
        <v>Unpaid</v>
      </c>
      <c r="AB167" s="3" t="s">
        <v>2953</v>
      </c>
      <c r="AC167" s="3" t="str">
        <f>PROPER('Sales_RAW(BEFORE)'!AA172)</f>
        <v>Store</v>
      </c>
      <c r="AD167" s="3" t="str">
        <f>SUBSTITUTE(SUBSTITUTE(SUBSTITUTE(SUBSTITUTE('Sales_RAW(BEFORE)'!AB172,"st",""),"q",""),"Q",""),"uarter","")</f>
        <v>3</v>
      </c>
      <c r="AE167" s="3" t="str">
        <f>TEXT(IFERROR(DATEVALUE('Sales_RAW(BEFORE)'!AC172 &amp; " 1"), IFERROR(DATE(2025, 'Sales_RAW(BEFORE)'!AC172, 1), 'Sales_RAW(BEFORE)'!AC172)), "mmmm")</f>
        <v>April</v>
      </c>
      <c r="AF167" s="3">
        <f>_xlfn.LET(
  _xlpm.raw, TRIM(SUBSTITUTE('Sales_RAW(BEFORE)'!AD172, "'", "")),
  _xlpm.num, IFERROR(VALUE(_xlpm.raw), 0),
  IF(_xlpm.num &lt; 100, 2000 + _xlpm.num, _xlpm.num)
)</f>
        <v>2026</v>
      </c>
      <c r="AG167" s="3" t="str">
        <f>PROPER('Sales_RAW(BEFORE)'!AE172)</f>
        <v>Net 60</v>
      </c>
      <c r="AH167" s="3" cm="1">
        <f t="array" ref="AH167">_xlfn.LET(
  _xlpm.val, LOWER(TRIM('Sales_RAW(BEFORE)'!AF172)),
  _xlfn.IFS(
    OR(_xlpm.val="", _xlpm.val="null", _xlpm.val="N/A", _xlpm.val="-", _xlpm.val="#N/A"), 0,
    ISNUMBER('Sales_RAW(BEFORE)'!AF172), 'Sales_RAW(BEFORE)'!AF172,
    TRUE, IFERROR(_xlfn.NUMBERVALUE(_xlpm.val), 0)
  )
)</f>
        <v>0</v>
      </c>
      <c r="AI167" s="5">
        <f>IF(IFERROR(VALUE(SUBSTITUTE(SUBSTITUTE(TRIM('Sales_RAW(BEFORE)'!AG172), "%", ""), ",", ".")), 0) &gt; 1, IFERROR(VALUE(SUBSTITUTE(SUBSTITUTE(TRIM('Sales_RAW(BEFORE)'!AG172), "%", ""), ",", ".")), 0) / 100, IFERROR(VALUE(SUBSTITUTE(SUBSTITUTE(TRIM('Sales_RAW(BEFORE)'!AG172), "%", ""), ",", ".")), 0))</f>
        <v>0.08</v>
      </c>
      <c r="AJ167" s="6">
        <f t="shared" si="11"/>
        <v>1602.0936000000002</v>
      </c>
      <c r="AK167" s="6">
        <f t="shared" si="12"/>
        <v>21628.263600000002</v>
      </c>
      <c r="AL167" s="6">
        <f>IFERROR(VALUE(SUBSTITUTE(SUBSTITUTE(SUBSTITUTE('Sales_RAW(BEFORE)'!AJ172,"$",""),"USD",""),",",".")),0)</f>
        <v>30.3</v>
      </c>
      <c r="AM167" s="3" t="str">
        <f>SUBSTITUTE(SUBSTITUTE(PROPER('Sales_RAW(BEFORE)'!AK172), "Fed Ex", "FedEx"),"Fedex","FedEx")</f>
        <v>Ups</v>
      </c>
      <c r="AN167" s="3" t="s">
        <v>2955</v>
      </c>
      <c r="AO167" s="3" t="str">
        <f>SUBSTITUTE('Sales_RAW(BEFORE)'!AM172,"kg","")</f>
        <v>26,21</v>
      </c>
      <c r="AP167" s="3" t="str">
        <f>_xlfn.LET(
  _xlpm.raw, UPPER(TRIM('Sales_RAW(BEFORE)'!AN172)),
  _xlpm.clean, RIGHT(_xlpm.raw, 1),
  IF(OR(_xlpm.raw="", _xlpm.raw="null"), "N/A", _xlpm.clean)
)</f>
        <v>C</v>
      </c>
      <c r="AQ167" s="3">
        <v>336</v>
      </c>
      <c r="AR167" s="3" cm="1">
        <f t="array" ref="AR167">_xlfn.LET(
  _xlpm.raw, LOWER(TRIM('Sales_RAW(BEFORE)'!AP172)),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67" s="3"/>
      <c r="AT167" s="3"/>
      <c r="AU167" s="3"/>
      <c r="AV167" s="8">
        <f>IF(IFERROR(VALUE(SUBSTITUTE(SUBSTITUTE(TRIM('Sales_RAW(BEFORE)'!AT172), "%", ""), ",", ".")), 0) &gt; 1, IFERROR(VALUE(SUBSTITUTE(SUBSTITUTE(TRIM('Sales_RAW(BEFORE)'!AT172), "%", ""), ",", ".")), 0) / 100, IFERROR(VALUE(SUBSTITUTE(SUBSTITUTE(TRIM('Sales_RAW(BEFORE)'!AT172), "%", ""), ",", ".")), 0))</f>
        <v>0.15</v>
      </c>
      <c r="AW167" s="6">
        <f>BA167*(_xlfn.XLOOKUP(N167,Employees!$A$2:$A$26,Employees!$E$2:$E$26,2))</f>
        <v>865.13054400000021</v>
      </c>
      <c r="AX167" s="3" t="str">
        <f>PROPER('Sales_RAW(BEFORE)'!AV172)</f>
        <v xml:space="preserve">Emma Jones  </v>
      </c>
      <c r="AY167" s="3" t="str">
        <f t="shared" si="13"/>
        <v xml:space="preserve">Emma Jones  </v>
      </c>
      <c r="AZ167" s="3"/>
      <c r="BA167" s="24">
        <f>AK167*(1-(_xlfn.XLOOKUP(G167, Exchange_Rates!$B$8:$F$8, Exchange_Rates!$B$9:$F$9, 0)+J167))</f>
        <v>17302.610880000004</v>
      </c>
      <c r="BB167" s="7" cm="1">
        <f t="array" ref="BB167">_xlfn.LET(
  _xlpm.raw_dt, SUBSTITUTE(TRIM(C167), ".", "/"),
  _xlpm.dt, IFERROR(DATEVALUE(_xlpm.raw_dt), C167),
  _xlpm.p_code, TRIM(E167),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47243</v>
      </c>
      <c r="BC167" s="25">
        <f t="shared" si="14"/>
        <v>2595.3916320000003</v>
      </c>
    </row>
    <row r="168" spans="1:55" ht="15.75" thickBot="1" x14ac:dyDescent="0.3">
      <c r="A168" s="3" t="s">
        <v>2959</v>
      </c>
      <c r="B168" s="10">
        <v>45665</v>
      </c>
      <c r="C168" s="4">
        <v>45675</v>
      </c>
      <c r="D168" s="3" t="str">
        <f>"P-" &amp; TEXT(VALUE(SUBSTITUTE(SUBSTITUTE(SUBSTITUTE(UPPER(TRIM('Sales_RAW(BEFORE)'!D173)), "P", ""), "-", ""), "_", "")),"000")</f>
        <v>P-035</v>
      </c>
      <c r="E168" s="3" t="str">
        <f>VLOOKUP(D168,Product_List!$A$2:$B$61,2,FALSE)</f>
        <v>Headphones X 35</v>
      </c>
      <c r="F168" s="3" t="str">
        <f>_xlfn.XLOOKUP(E168,Product_List!$B$2:$B$61,Product_List!$E$2:$E$61,2)</f>
        <v>BestParts</v>
      </c>
      <c r="G168" s="3" t="str">
        <f>VLOOKUP(E168,Product_List!$B$2:$C$61,2,FALSE)</f>
        <v>Furniture</v>
      </c>
      <c r="H168" s="3" t="str">
        <f>SUBSTITUTE(SUBSTITUTE('Sales_RAW(BEFORE)'!G173,"kom",""),".","")</f>
        <v>24</v>
      </c>
      <c r="I168" s="6">
        <f>VLOOKUP(E168,Product_List!$B$2:$D$61,3,FALSE)</f>
        <v>426.49</v>
      </c>
      <c r="J168" s="5">
        <f>IF(IFERROR(VALUE(SUBSTITUTE(SUBSTITUTE(TRIM('Sales_RAW(BEFORE)'!I173), "%", ""), ",", ".")), 0) &gt; 1, IFERROR(VALUE(SUBSTITUTE(SUBSTITUTE(TRIM('Sales_RAW(BEFORE)'!I173), "%", ""), ",", ".")), 0) / 100, IFERROR(VALUE(SUBSTITUTE(SUBSTITUTE(TRIM('Sales_RAW(BEFORE)'!I173), "%", ""), ",", ".")), 0))</f>
        <v>0.1</v>
      </c>
      <c r="K168" s="6">
        <f t="shared" si="10"/>
        <v>10235.76</v>
      </c>
      <c r="L168" s="6" t="str" cm="1">
        <f t="array" ref="L168">_xlfn.LET(
  _xlpm.valuta, UPPER(TRIM('Sales_RAW(BEFORE)'!K173)),
  _xlfn.IFS(
    _xlpm.valuta = "", "",
    OR(_xlpm.valuta = "USD", _xlpm.valuta = "$"), "$",
    OR(_xlpm.valuta = "EUR", _xlpm.valuta = "€"), "€",
    TRUE, _xlpm.valuta
  )
)</f>
        <v>$</v>
      </c>
      <c r="M168" s="3" t="str">
        <f>"E" &amp; TEXT(VALUE(SUBSTITUTE(SUBSTITUTE(SUBSTITUTE(UPPER(TRIM('Sales_RAW(BEFORE)'!L173)), "EMP", ""), "E", ""), "-", "")),"000")</f>
        <v>E020</v>
      </c>
      <c r="N168" s="3" t="str">
        <f>_xlfn.XLOOKUP(M168,Employees!$D$2:$D$26,Employees!$A$2:$A$26)</f>
        <v>Robert Taylor</v>
      </c>
      <c r="O168" s="3" t="str">
        <f>_xlfn.XLOOKUP(N168,Employees!$A$2:$A$26,Employees!$C$2:$C$26,2)</f>
        <v>Retail</v>
      </c>
      <c r="P168" s="3" t="str">
        <f>PROPER('Sales_RAW(BEFORE)'!N173)</f>
        <v>North</v>
      </c>
      <c r="Q168" s="3" t="str">
        <f>VLOOKUP(N168,Employees!$A$2:$B$26,2,FALSE)</f>
        <v>New York</v>
      </c>
      <c r="R168" s="3" t="str">
        <f>PROPER('Sales_RAW(BEFORE)'!P173)</f>
        <v xml:space="preserve"> Wayne Llc</v>
      </c>
      <c r="S168" s="3" t="str">
        <f>SUBSTITUTE(SUBSTITUTE('Sales_RAW(BEFORE)'!Q173,"EIN",""),":","")</f>
        <v>285714857</v>
      </c>
      <c r="T168" s="3" t="s">
        <v>1292</v>
      </c>
      <c r="U168" s="3" t="s">
        <v>2969</v>
      </c>
      <c r="V168" s="3" t="s">
        <v>2970</v>
      </c>
      <c r="W168" s="3" t="s">
        <v>2971</v>
      </c>
      <c r="X168" s="3" t="s">
        <v>173</v>
      </c>
      <c r="Y168" s="3" t="str">
        <f>PROPER('Sales_RAW(BEFORE)'!W173)</f>
        <v>Paypal</v>
      </c>
      <c r="Z168" s="3" t="str">
        <f>PROPER('Sales_RAW(BEFORE)'!X173)</f>
        <v>Cancelled</v>
      </c>
      <c r="AA168" s="3" t="str" cm="1">
        <f t="array" ref="AA168">_xlfn.LET(
  _xlpm.val, TRIM(LOWER('Sales_RAW(BEFORE)'!Y173)),
  _xlfn.IFS(
    OR(_xlpm.val="yes", _xlpm.val="paid"), "Paid",
    OR(_xlpm.val="no", _xlpm.val="unpaid"), "Unpaid",
    OR(_xlpm.val="partial", _xlpm.val="partial paid"), "Partial",
    _xlpm.val="", "",
    TRUE, 'Sales_RAW(BEFORE)'!AY173
  )
)</f>
        <v>Unpaid</v>
      </c>
      <c r="AB168" s="3" t="s">
        <v>2972</v>
      </c>
      <c r="AC168" s="3" t="str">
        <f>PROPER('Sales_RAW(BEFORE)'!AA173)</f>
        <v>Online</v>
      </c>
      <c r="AD168" s="3" t="str">
        <f>SUBSTITUTE(SUBSTITUTE(SUBSTITUTE(SUBSTITUTE('Sales_RAW(BEFORE)'!AB173,"st",""),"q",""),"Q",""),"uarter","")</f>
        <v>1</v>
      </c>
      <c r="AE168" s="3" t="str">
        <f>TEXT(IFERROR(DATEVALUE('Sales_RAW(BEFORE)'!AC173 &amp; " 1"), IFERROR(DATE(2025, 'Sales_RAW(BEFORE)'!AC173, 1), 'Sales_RAW(BEFORE)'!AC173)), "mmmm")</f>
        <v>January</v>
      </c>
      <c r="AF168" s="3">
        <f>_xlfn.LET(
  _xlpm.raw, TRIM(SUBSTITUTE('Sales_RAW(BEFORE)'!AD173, "'", "")),
  _xlpm.num, IFERROR(VALUE(_xlpm.raw), 0),
  IF(_xlpm.num &lt; 100, 2000 + _xlpm.num, _xlpm.num)
)</f>
        <v>2025</v>
      </c>
      <c r="AG168" s="3" t="str">
        <f>PROPER('Sales_RAW(BEFORE)'!AE173)</f>
        <v>15</v>
      </c>
      <c r="AH168" s="3" cm="1">
        <f t="array" ref="AH168">_xlfn.LET(
  _xlpm.val, LOWER(TRIM('Sales_RAW(BEFORE)'!AF173)),
  _xlfn.IFS(
    OR(_xlpm.val="", _xlpm.val="null", _xlpm.val="N/A", _xlpm.val="-", _xlpm.val="#N/A"), 0,
    ISNUMBER('Sales_RAW(BEFORE)'!AF173), 'Sales_RAW(BEFORE)'!AF173,
    TRUE, IFERROR(_xlfn.NUMBERVALUE(_xlpm.val), 0)
  )
)</f>
        <v>56</v>
      </c>
      <c r="AI168" s="5">
        <f>IF(IFERROR(VALUE(SUBSTITUTE(SUBSTITUTE(TRIM('Sales_RAW(BEFORE)'!AG173), "%", ""), ",", ".")), 0) &gt; 1, IFERROR(VALUE(SUBSTITUTE(SUBSTITUTE(TRIM('Sales_RAW(BEFORE)'!AG173), "%", ""), ",", ".")), 0) / 100, IFERROR(VALUE(SUBSTITUTE(SUBSTITUTE(TRIM('Sales_RAW(BEFORE)'!AG173), "%", ""), ",", ".")), 0))</f>
        <v>0.08</v>
      </c>
      <c r="AJ168" s="6">
        <f t="shared" si="11"/>
        <v>818.86080000000004</v>
      </c>
      <c r="AK168" s="6">
        <f t="shared" si="12"/>
        <v>11054.620800000001</v>
      </c>
      <c r="AL168" s="6">
        <f>IFERROR(VALUE(SUBSTITUTE(SUBSTITUTE(SUBSTITUTE('Sales_RAW(BEFORE)'!AJ173,"$",""),"USD",""),",",".")),0)</f>
        <v>37.75</v>
      </c>
      <c r="AM168" s="3" t="str">
        <f>SUBSTITUTE(SUBSTITUTE(PROPER('Sales_RAW(BEFORE)'!AK173), "Fed Ex", "FedEx"),"Fedex","FedEx")</f>
        <v>Dhl</v>
      </c>
      <c r="AN168" s="3" t="s">
        <v>2974</v>
      </c>
      <c r="AO168" s="3" t="str">
        <f>SUBSTITUTE('Sales_RAW(BEFORE)'!AM173,"kg","")</f>
        <v>21,13</v>
      </c>
      <c r="AP168" s="3" t="str">
        <f>_xlfn.LET(
  _xlpm.raw, UPPER(TRIM('Sales_RAW(BEFORE)'!AN173)),
  _xlpm.clean, RIGHT(_xlpm.raw, 1),
  IF(OR(_xlpm.raw="", _xlpm.raw="null"), "N/A", _xlpm.clean)
)</f>
        <v>A</v>
      </c>
      <c r="AQ168" s="3">
        <v>325</v>
      </c>
      <c r="AR168" s="3" cm="1">
        <f t="array" ref="AR168">_xlfn.LET(
  _xlpm.raw, LOWER(TRIM('Sales_RAW(BEFORE)'!AP173)),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168" s="3"/>
      <c r="AT168" s="3"/>
      <c r="AU168" s="3"/>
      <c r="AV168" s="8">
        <f>IF(IFERROR(VALUE(SUBSTITUTE(SUBSTITUTE(TRIM('Sales_RAW(BEFORE)'!AT173), "%", ""), ",", ".")), 0) &gt; 1, IFERROR(VALUE(SUBSTITUTE(SUBSTITUTE(TRIM('Sales_RAW(BEFORE)'!AT173), "%", ""), ",", ".")), 0) / 100, IFERROR(VALUE(SUBSTITUTE(SUBSTITUTE(TRIM('Sales_RAW(BEFORE)'!AT173), "%", ""), ",", ".")), 0))</f>
        <v>0.18</v>
      </c>
      <c r="AW168" s="6">
        <f>BA168*(_xlfn.XLOOKUP(N168,Employees!$A$2:$A$26,Employees!$E$2:$E$26,2))</f>
        <v>265.31089919999999</v>
      </c>
      <c r="AX168" s="3" t="str">
        <f>PROPER('Sales_RAW(BEFORE)'!AV173)</f>
        <v>Ryan Brown</v>
      </c>
      <c r="AY168" s="3" t="str">
        <f t="shared" si="13"/>
        <v>Ryan Brown</v>
      </c>
      <c r="AZ168" s="3"/>
      <c r="BA168" s="24">
        <f>AK168*(1-(_xlfn.XLOOKUP(G168, Exchange_Rates!$B$8:$F$8, Exchange_Rates!$B$9:$F$9, 0)+J168))</f>
        <v>8843.6966400000001</v>
      </c>
      <c r="BB168" s="7" cm="1">
        <f t="array" ref="BB168">_xlfn.LET(
  _xlpm.raw_dt, SUBSTITUTE(TRIM(C168), ".", "/"),
  _xlpm.dt, IFERROR(DATEVALUE(_xlpm.raw_dt), C168),
  _xlpm.p_code, TRIM(E168),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46405</v>
      </c>
      <c r="BC168" s="25">
        <f t="shared" si="14"/>
        <v>1591.8653952</v>
      </c>
    </row>
    <row r="169" spans="1:55" ht="15.75" thickBot="1" x14ac:dyDescent="0.3">
      <c r="A169" s="3" t="s">
        <v>2978</v>
      </c>
      <c r="B169" s="10">
        <v>45864</v>
      </c>
      <c r="C169" s="4">
        <v>45875</v>
      </c>
      <c r="D169" s="3" t="str">
        <f>"P-" &amp; TEXT(VALUE(SUBSTITUTE(SUBSTITUTE(SUBSTITUTE(UPPER(TRIM('Sales_RAW(BEFORE)'!D174)), "P", ""), "-", ""), "_", "")),"000")</f>
        <v>P-051</v>
      </c>
      <c r="E169" s="3" t="str">
        <f>VLOOKUP(D169,Product_List!$A$2:$B$61,2,FALSE)</f>
        <v>Cable Basic 51</v>
      </c>
      <c r="F169" s="3" t="str">
        <f>_xlfn.XLOOKUP(E169,Product_List!$B$2:$B$61,Product_List!$E$2:$E$61,2)</f>
        <v>TechSupply Co</v>
      </c>
      <c r="G169" s="3" t="str">
        <f>VLOOKUP(E169,Product_List!$B$2:$C$61,2,FALSE)</f>
        <v>Office</v>
      </c>
      <c r="H169" s="3" t="str">
        <f>SUBSTITUTE(SUBSTITUTE('Sales_RAW(BEFORE)'!G174,"kom",""),".","")</f>
        <v>37</v>
      </c>
      <c r="I169" s="6">
        <f>VLOOKUP(E169,Product_List!$B$2:$D$61,3,FALSE)</f>
        <v>1036.6500000000001</v>
      </c>
      <c r="J169" s="5">
        <f>IF(IFERROR(VALUE(SUBSTITUTE(SUBSTITUTE(TRIM('Sales_RAW(BEFORE)'!I174), "%", ""), ",", ".")), 0) &gt; 1, IFERROR(VALUE(SUBSTITUTE(SUBSTITUTE(TRIM('Sales_RAW(BEFORE)'!I174), "%", ""), ",", ".")), 0) / 100, IFERROR(VALUE(SUBSTITUTE(SUBSTITUTE(TRIM('Sales_RAW(BEFORE)'!I174), "%", ""), ",", ".")), 0))</f>
        <v>0.05</v>
      </c>
      <c r="K169" s="6">
        <f t="shared" si="10"/>
        <v>38356.050000000003</v>
      </c>
      <c r="L169" s="6" t="str" cm="1">
        <f t="array" ref="L169">_xlfn.LET(
  _xlpm.valuta, UPPER(TRIM('Sales_RAW(BEFORE)'!K174)),
  _xlfn.IFS(
    _xlpm.valuta = "", "",
    OR(_xlpm.valuta = "USD", _xlpm.valuta = "$"), "$",
    OR(_xlpm.valuta = "EUR", _xlpm.valuta = "€"), "€",
    TRUE, _xlpm.valuta
  )
)</f>
        <v>$</v>
      </c>
      <c r="M169" s="3" t="str">
        <f>"E" &amp; TEXT(VALUE(SUBSTITUTE(SUBSTITUTE(SUBSTITUTE(UPPER(TRIM('Sales_RAW(BEFORE)'!L174)), "EMP", ""), "E", ""), "-", "")),"000")</f>
        <v>E025</v>
      </c>
      <c r="N169" s="3" t="str">
        <f>_xlfn.XLOOKUP(M169,Employees!$D$2:$D$26,Employees!$A$2:$A$26)</f>
        <v>Chris Johnson</v>
      </c>
      <c r="O169" s="3" t="str">
        <f>_xlfn.XLOOKUP(N169,Employees!$A$2:$A$26,Employees!$C$2:$C$26,2)</f>
        <v>Sales</v>
      </c>
      <c r="P169" s="3" t="str">
        <f>PROPER('Sales_RAW(BEFORE)'!N174)</f>
        <v>North</v>
      </c>
      <c r="Q169" s="3" t="str">
        <f>VLOOKUP(N169,Employees!$A$2:$B$26,2,FALSE)</f>
        <v>Boston</v>
      </c>
      <c r="R169" s="3" t="str">
        <f>PROPER('Sales_RAW(BEFORE)'!P174)</f>
        <v xml:space="preserve">  Acme Inc</v>
      </c>
      <c r="S169" s="3" t="str">
        <f>SUBSTITUTE(SUBSTITUTE('Sales_RAW(BEFORE)'!Q174,"EIN",""),":","")</f>
        <v>660706416</v>
      </c>
      <c r="T169" s="3" t="s">
        <v>646</v>
      </c>
      <c r="U169" s="3" t="s">
        <v>2984</v>
      </c>
      <c r="V169" s="3" t="s">
        <v>2985</v>
      </c>
      <c r="W169" s="3" t="s">
        <v>2986</v>
      </c>
      <c r="X169" s="3" t="s">
        <v>173</v>
      </c>
      <c r="Y169" s="3" t="str">
        <f>PROPER('Sales_RAW(BEFORE)'!W174)</f>
        <v>Wire Transfer</v>
      </c>
      <c r="Z169" s="3" t="str">
        <f>PROPER('Sales_RAW(BEFORE)'!X174)</f>
        <v>Delivered</v>
      </c>
      <c r="AA169" s="3" t="str" cm="1">
        <f t="array" ref="AA169">_xlfn.LET(
  _xlpm.val, TRIM(LOWER('Sales_RAW(BEFORE)'!Y174)),
  _xlfn.IFS(
    OR(_xlpm.val="yes", _xlpm.val="paid"), "Paid",
    OR(_xlpm.val="no", _xlpm.val="unpaid"), "Unpaid",
    OR(_xlpm.val="partial", _xlpm.val="partial paid"), "Partial",
    _xlpm.val="", "",
    TRUE, 'Sales_RAW(BEFORE)'!AY174
  )
)</f>
        <v>Partial</v>
      </c>
      <c r="AB169" s="3" t="s">
        <v>2987</v>
      </c>
      <c r="AC169" s="3" t="str">
        <f>PROPER('Sales_RAW(BEFORE)'!AA174)</f>
        <v>Phone</v>
      </c>
      <c r="AD169" s="3" t="str">
        <f>SUBSTITUTE(SUBSTITUTE(SUBSTITUTE(SUBSTITUTE('Sales_RAW(BEFORE)'!AB174,"st",""),"q",""),"Q",""),"uarter","")</f>
        <v>2</v>
      </c>
      <c r="AE169" s="3" t="str">
        <f>TEXT(IFERROR(DATEVALUE('Sales_RAW(BEFORE)'!AC174 &amp; " 1"), IFERROR(DATE(2025, 'Sales_RAW(BEFORE)'!AC174, 1), 'Sales_RAW(BEFORE)'!AC174)), "mmmm")</f>
        <v>July</v>
      </c>
      <c r="AF169" s="3">
        <f>_xlfn.LET(
  _xlpm.raw, TRIM(SUBSTITUTE('Sales_RAW(BEFORE)'!AD174, "'", "")),
  _xlpm.num, IFERROR(VALUE(_xlpm.raw), 0),
  IF(_xlpm.num &lt; 100, 2000 + _xlpm.num, _xlpm.num)
)</f>
        <v>2025</v>
      </c>
      <c r="AG169" s="3" t="str">
        <f>PROPER('Sales_RAW(BEFORE)'!AE174)</f>
        <v>Immediate</v>
      </c>
      <c r="AH169" s="3" cm="1">
        <f t="array" ref="AH169">_xlfn.LET(
  _xlpm.val, LOWER(TRIM('Sales_RAW(BEFORE)'!AF174)),
  _xlfn.IFS(
    OR(_xlpm.val="", _xlpm.val="null", _xlpm.val="N/A", _xlpm.val="-", _xlpm.val="#N/A"), 0,
    ISNUMBER('Sales_RAW(BEFORE)'!AF174), 'Sales_RAW(BEFORE)'!AF174,
    TRUE, IFERROR(_xlfn.NUMBERVALUE(_xlpm.val), 0)
  )
)</f>
        <v>87</v>
      </c>
      <c r="AI169" s="5">
        <f>IF(IFERROR(VALUE(SUBSTITUTE(SUBSTITUTE(TRIM('Sales_RAW(BEFORE)'!AG174), "%", ""), ",", ".")), 0) &gt; 1, IFERROR(VALUE(SUBSTITUTE(SUBSTITUTE(TRIM('Sales_RAW(BEFORE)'!AG174), "%", ""), ",", ".")), 0) / 100, IFERROR(VALUE(SUBSTITUTE(SUBSTITUTE(TRIM('Sales_RAW(BEFORE)'!AG174), "%", ""), ",", ".")), 0))</f>
        <v>0.08</v>
      </c>
      <c r="AJ169" s="6">
        <f t="shared" si="11"/>
        <v>3068.4840000000004</v>
      </c>
      <c r="AK169" s="6">
        <f t="shared" si="12"/>
        <v>41424.534</v>
      </c>
      <c r="AL169" s="6">
        <f>IFERROR(VALUE(SUBSTITUTE(SUBSTITUTE(SUBSTITUTE('Sales_RAW(BEFORE)'!AJ174,"$",""),"USD",""),",",".")),0)</f>
        <v>39.9</v>
      </c>
      <c r="AM169" s="3" t="str">
        <f>SUBSTITUTE(SUBSTITUTE(PROPER('Sales_RAW(BEFORE)'!AK174), "Fed Ex", "FedEx"),"Fedex","FedEx")</f>
        <v>Ups</v>
      </c>
      <c r="AN169" s="3" t="s">
        <v>2989</v>
      </c>
      <c r="AO169" s="3" t="str">
        <f>SUBSTITUTE('Sales_RAW(BEFORE)'!AM174,"kg","")</f>
        <v xml:space="preserve">10.8 </v>
      </c>
      <c r="AP169" s="3" t="str">
        <f>_xlfn.LET(
  _xlpm.raw, UPPER(TRIM('Sales_RAW(BEFORE)'!AN174)),
  _xlpm.clean, RIGHT(_xlpm.raw, 1),
  IF(OR(_xlpm.raw="", _xlpm.raw="null"), "N/A", _xlpm.clean)
)</f>
        <v>A</v>
      </c>
      <c r="AQ169" s="3">
        <v>305</v>
      </c>
      <c r="AR169" s="3" cm="1">
        <f t="array" ref="AR169">_xlfn.LET(
  _xlpm.raw, LOWER(TRIM('Sales_RAW(BEFORE)'!AP174)),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169" s="3"/>
      <c r="AT169" s="3"/>
      <c r="AU169" s="3"/>
      <c r="AV169" s="8">
        <f>IF(IFERROR(VALUE(SUBSTITUTE(SUBSTITUTE(TRIM('Sales_RAW(BEFORE)'!AT174), "%", ""), ",", ".")), 0) &gt; 1, IFERROR(VALUE(SUBSTITUTE(SUBSTITUTE(TRIM('Sales_RAW(BEFORE)'!AT174), "%", ""), ",", ".")), 0) / 100, IFERROR(VALUE(SUBSTITUTE(SUBSTITUTE(TRIM('Sales_RAW(BEFORE)'!AT174), "%", ""), ",", ".")), 0))</f>
        <v>0.25</v>
      </c>
      <c r="AW169" s="6">
        <f>BA169*(_xlfn.XLOOKUP(N169,Employees!$A$2:$A$26,Employees!$E$2:$E$26,2))</f>
        <v>1760.5426950000001</v>
      </c>
      <c r="AX169" s="3" t="str">
        <f>PROPER('Sales_RAW(BEFORE)'!AV174)</f>
        <v xml:space="preserve"> Ryan Johnson </v>
      </c>
      <c r="AY169" s="3" t="str">
        <f t="shared" si="13"/>
        <v xml:space="preserve"> Ryan Johnson </v>
      </c>
      <c r="AZ169" s="3"/>
      <c r="BA169" s="24">
        <f>AK169*(1-(_xlfn.XLOOKUP(G169, Exchange_Rates!$B$8:$F$8, Exchange_Rates!$B$9:$F$9, 0)+J169))</f>
        <v>35210.853900000002</v>
      </c>
      <c r="BB169" s="7" cm="1">
        <f t="array" ref="BB169">_xlfn.LET(
  _xlpm.raw_dt, SUBSTITUTE(TRIM(C169), ".", "/"),
  _xlpm.dt, IFERROR(DATEVALUE(_xlpm.raw_dt), C169),
  _xlpm.p_code, TRIM(E169),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46605</v>
      </c>
      <c r="BC169" s="25">
        <f t="shared" si="14"/>
        <v>8802.7134750000005</v>
      </c>
    </row>
    <row r="170" spans="1:55" ht="15.75" thickBot="1" x14ac:dyDescent="0.3">
      <c r="A170" s="3" t="s">
        <v>2992</v>
      </c>
      <c r="B170" s="10">
        <v>46212</v>
      </c>
      <c r="C170" s="4">
        <v>46363</v>
      </c>
      <c r="D170" s="3" t="str">
        <f>"P-" &amp; TEXT(VALUE(SUBSTITUTE(SUBSTITUTE(SUBSTITUTE(UPPER(TRIM('Sales_RAW(BEFORE)'!D175)), "P", ""), "-", ""), "_", "")),"000")</f>
        <v>P-027</v>
      </c>
      <c r="E170" s="3" t="str">
        <f>VLOOKUP(D170,Product_List!$A$2:$B$61,2,FALSE)</f>
        <v>Desk X 27</v>
      </c>
      <c r="F170" s="3" t="str">
        <f>_xlfn.XLOOKUP(E170,Product_List!$B$2:$B$61,Product_List!$E$2:$E$61,2)</f>
        <v>Global Distrib</v>
      </c>
      <c r="G170" s="3" t="str">
        <f>VLOOKUP(E170,Product_List!$B$2:$C$61,2,FALSE)</f>
        <v>Equipment</v>
      </c>
      <c r="H170" s="3" t="str">
        <f>SUBSTITUTE(SUBSTITUTE('Sales_RAW(BEFORE)'!G175,"kom",""),".","")</f>
        <v>13</v>
      </c>
      <c r="I170" s="6">
        <f>VLOOKUP(E170,Product_List!$B$2:$D$61,3,FALSE)</f>
        <v>180.06</v>
      </c>
      <c r="J170" s="5">
        <f>IF(IFERROR(VALUE(SUBSTITUTE(SUBSTITUTE(TRIM('Sales_RAW(BEFORE)'!I175), "%", ""), ",", ".")), 0) &gt; 1, IFERROR(VALUE(SUBSTITUTE(SUBSTITUTE(TRIM('Sales_RAW(BEFORE)'!I175), "%", ""), ",", ".")), 0) / 100, IFERROR(VALUE(SUBSTITUTE(SUBSTITUTE(TRIM('Sales_RAW(BEFORE)'!I175), "%", ""), ",", ".")), 0))</f>
        <v>0</v>
      </c>
      <c r="K170" s="6">
        <f t="shared" si="10"/>
        <v>2340.7800000000002</v>
      </c>
      <c r="L170" s="6" t="str" cm="1">
        <f t="array" ref="L170">_xlfn.LET(
  _xlpm.valuta, UPPER(TRIM('Sales_RAW(BEFORE)'!K175)),
  _xlfn.IFS(
    _xlpm.valuta = "", "",
    OR(_xlpm.valuta = "USD", _xlpm.valuta = "$"), "$",
    OR(_xlpm.valuta = "EUR", _xlpm.valuta = "€"), "€",
    TRUE, _xlpm.valuta
  )
)</f>
        <v>$</v>
      </c>
      <c r="M170" s="3" t="str">
        <f>"E" &amp; TEXT(VALUE(SUBSTITUTE(SUBSTITUTE(SUBSTITUTE(UPPER(TRIM('Sales_RAW(BEFORE)'!L175)), "EMP", ""), "E", ""), "-", "")),"000")</f>
        <v>E019</v>
      </c>
      <c r="N170" s="3" t="str">
        <f>_xlfn.XLOOKUP(M170,Employees!$D$2:$D$26,Employees!$A$2:$A$26)</f>
        <v>Sophia Taylor</v>
      </c>
      <c r="O170" s="3" t="str">
        <f>_xlfn.XLOOKUP(N170,Employees!$A$2:$A$26,Employees!$C$2:$C$26,2)</f>
        <v>Wholesale</v>
      </c>
      <c r="P170" s="3" t="str">
        <f>PROPER('Sales_RAW(BEFORE)'!N175)</f>
        <v>West</v>
      </c>
      <c r="Q170" s="3" t="str">
        <f>VLOOKUP(N170,Employees!$A$2:$B$26,2,FALSE)</f>
        <v>Los Angeles</v>
      </c>
      <c r="R170" s="3" t="str">
        <f>PROPER('Sales_RAW(BEFORE)'!P175)</f>
        <v>Umbrella Inc</v>
      </c>
      <c r="S170" s="3" t="str">
        <f>SUBSTITUTE(SUBSTITUTE('Sales_RAW(BEFORE)'!Q175,"EIN",""),":","")</f>
        <v>751146060</v>
      </c>
      <c r="T170" s="3" t="s">
        <v>1292</v>
      </c>
      <c r="U170" s="3" t="s">
        <v>2998</v>
      </c>
      <c r="V170" s="3" t="s">
        <v>2999</v>
      </c>
      <c r="W170" s="3" t="s">
        <v>3000</v>
      </c>
      <c r="X170" s="3" t="s">
        <v>173</v>
      </c>
      <c r="Y170" s="3" t="str">
        <f>PROPER('Sales_RAW(BEFORE)'!W175)</f>
        <v>Paypal</v>
      </c>
      <c r="Z170" s="3" t="str">
        <f>PROPER('Sales_RAW(BEFORE)'!X175)</f>
        <v>Delivered</v>
      </c>
      <c r="AA170" s="3" t="str" cm="1">
        <f t="array" ref="AA170">_xlfn.LET(
  _xlpm.val, TRIM(LOWER('Sales_RAW(BEFORE)'!Y175)),
  _xlfn.IFS(
    OR(_xlpm.val="yes", _xlpm.val="paid"), "Paid",
    OR(_xlpm.val="no", _xlpm.val="unpaid"), "Unpaid",
    OR(_xlpm.val="partial", _xlpm.val="partial paid"), "Partial",
    _xlpm.val="", "",
    TRUE, 'Sales_RAW(BEFORE)'!AY175
  )
)</f>
        <v>Unpaid</v>
      </c>
      <c r="AB170" s="3" t="s">
        <v>3001</v>
      </c>
      <c r="AC170" s="3" t="str">
        <f>PROPER('Sales_RAW(BEFORE)'!AA175)</f>
        <v>Web</v>
      </c>
      <c r="AD170" s="3" t="str">
        <f>SUBSTITUTE(SUBSTITUTE(SUBSTITUTE(SUBSTITUTE('Sales_RAW(BEFORE)'!AB175,"st",""),"q",""),"Q",""),"uarter","")</f>
        <v xml:space="preserve">1 </v>
      </c>
      <c r="AE170" s="3" t="str">
        <f>TEXT(IFERROR(DATEVALUE('Sales_RAW(BEFORE)'!AC175 &amp; " 1"), IFERROR(DATE(2025, 'Sales_RAW(BEFORE)'!AC175, 1), 'Sales_RAW(BEFORE)'!AC175)), "mmmm")</f>
        <v>July</v>
      </c>
      <c r="AF170" s="3">
        <f>_xlfn.LET(
  _xlpm.raw, TRIM(SUBSTITUTE('Sales_RAW(BEFORE)'!AD175, "'", "")),
  _xlpm.num, IFERROR(VALUE(_xlpm.raw), 0),
  IF(_xlpm.num &lt; 100, 2000 + _xlpm.num, _xlpm.num)
)</f>
        <v>2026</v>
      </c>
      <c r="AG170" s="3" t="str">
        <f>PROPER('Sales_RAW(BEFORE)'!AE175)</f>
        <v>Net 60</v>
      </c>
      <c r="AH170" s="3" cm="1">
        <f t="array" ref="AH170">_xlfn.LET(
  _xlpm.val, LOWER(TRIM('Sales_RAW(BEFORE)'!AF175)),
  _xlfn.IFS(
    OR(_xlpm.val="", _xlpm.val="null", _xlpm.val="N/A", _xlpm.val="-", _xlpm.val="#N/A"), 0,
    ISNUMBER('Sales_RAW(BEFORE)'!AF175), 'Sales_RAW(BEFORE)'!AF175,
    TRUE, IFERROR(_xlfn.NUMBERVALUE(_xlpm.val), 0)
  )
)</f>
        <v>24</v>
      </c>
      <c r="AI170" s="5">
        <f>IF(IFERROR(VALUE(SUBSTITUTE(SUBSTITUTE(TRIM('Sales_RAW(BEFORE)'!AG175), "%", ""), ",", ".")), 0) &gt; 1, IFERROR(VALUE(SUBSTITUTE(SUBSTITUTE(TRIM('Sales_RAW(BEFORE)'!AG175), "%", ""), ",", ".")), 0) / 100, IFERROR(VALUE(SUBSTITUTE(SUBSTITUTE(TRIM('Sales_RAW(BEFORE)'!AG175), "%", ""), ",", ".")), 0))</f>
        <v>0.08</v>
      </c>
      <c r="AJ170" s="6">
        <f t="shared" si="11"/>
        <v>187.26240000000001</v>
      </c>
      <c r="AK170" s="6">
        <f t="shared" si="12"/>
        <v>2528.0424000000003</v>
      </c>
      <c r="AL170" s="6">
        <f>IFERROR(VALUE(SUBSTITUTE(SUBSTITUTE(SUBSTITUTE('Sales_RAW(BEFORE)'!AJ175,"$",""),"USD",""),",",".")),0)</f>
        <v>42</v>
      </c>
      <c r="AM170" s="3" t="str">
        <f>SUBSTITUTE(SUBSTITUTE(PROPER('Sales_RAW(BEFORE)'!AK175), "Fed Ex", "FedEx"),"Fedex","FedEx")</f>
        <v>Ups</v>
      </c>
      <c r="AN170" s="3" t="s">
        <v>3003</v>
      </c>
      <c r="AO170" s="3" t="str">
        <f>SUBSTITUTE('Sales_RAW(BEFORE)'!AM175,"kg","")</f>
        <v>1.63</v>
      </c>
      <c r="AP170" s="3" t="str">
        <f>_xlfn.LET(
  _xlpm.raw, UPPER(TRIM('Sales_RAW(BEFORE)'!AN175)),
  _xlpm.clean, RIGHT(_xlpm.raw, 1),
  IF(OR(_xlpm.raw="", _xlpm.raw="null"), "N/A", _xlpm.clean)
)</f>
        <v>B</v>
      </c>
      <c r="AQ170" s="3">
        <v>483</v>
      </c>
      <c r="AR170" s="3" cm="1">
        <f t="array" ref="AR170">_xlfn.LET(
  _xlpm.raw, LOWER(TRIM('Sales_RAW(BEFORE)'!AP175)),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170" s="3"/>
      <c r="AT170" s="3"/>
      <c r="AU170" s="3"/>
      <c r="AV170" s="8">
        <f>IF(IFERROR(VALUE(SUBSTITUTE(SUBSTITUTE(TRIM('Sales_RAW(BEFORE)'!AT175), "%", ""), ",", ".")), 0) &gt; 1, IFERROR(VALUE(SUBSTITUTE(SUBSTITUTE(TRIM('Sales_RAW(BEFORE)'!AT175), "%", ""), ",", ".")), 0) / 100, IFERROR(VALUE(SUBSTITUTE(SUBSTITUTE(TRIM('Sales_RAW(BEFORE)'!AT175), "%", ""), ",", ".")), 0))</f>
        <v>0.25</v>
      </c>
      <c r="AW170" s="6">
        <f>BA170*(_xlfn.XLOOKUP(N170,Employees!$A$2:$A$26,Employees!$E$2:$E$26,2))</f>
        <v>68.257144800000006</v>
      </c>
      <c r="AX170" s="3" t="str">
        <f>PROPER('Sales_RAW(BEFORE)'!AV175)</f>
        <v xml:space="preserve"> Ryan Smith</v>
      </c>
      <c r="AY170" s="3" t="str">
        <f t="shared" si="13"/>
        <v xml:space="preserve"> Ryan Smith</v>
      </c>
      <c r="AZ170" s="3"/>
      <c r="BA170" s="24">
        <f>AK170*(1-(_xlfn.XLOOKUP(G170, Exchange_Rates!$B$8:$F$8, Exchange_Rates!$B$9:$F$9, 0)+J170))</f>
        <v>2275.2381600000003</v>
      </c>
      <c r="BB170" s="7" cm="1">
        <f t="array" ref="BB170">_xlfn.LET(
  _xlpm.raw_dt, SUBSTITUTE(TRIM(C170), ".", "/"),
  _xlpm.dt, IFERROR(DATEVALUE(_xlpm.raw_dt), C170),
  _xlpm.p_code, TRIM(E170),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47094</v>
      </c>
      <c r="BC170" s="25">
        <f t="shared" si="14"/>
        <v>568.80954000000008</v>
      </c>
    </row>
    <row r="171" spans="1:55" ht="15.75" thickBot="1" x14ac:dyDescent="0.3">
      <c r="A171" s="3" t="s">
        <v>3007</v>
      </c>
      <c r="B171" s="10">
        <v>46136</v>
      </c>
      <c r="C171" s="4">
        <v>46144</v>
      </c>
      <c r="D171" s="3" t="str">
        <f>"P-" &amp; TEXT(VALUE(SUBSTITUTE(SUBSTITUTE(SUBSTITUTE(UPPER(TRIM('Sales_RAW(BEFORE)'!D176)), "P", ""), "-", ""), "_", "")),"000")</f>
        <v>P-042</v>
      </c>
      <c r="E171" s="3" t="str">
        <f>VLOOKUP(D171,Product_List!$A$2:$B$61,2,FALSE)</f>
        <v>Desk Max 42</v>
      </c>
      <c r="F171" s="3" t="str">
        <f>_xlfn.XLOOKUP(E171,Product_List!$B$2:$B$61,Product_List!$E$2:$E$61,2)</f>
        <v>TechSupply Co</v>
      </c>
      <c r="G171" s="3" t="str">
        <f>VLOOKUP(E171,Product_List!$B$2:$C$61,2,FALSE)</f>
        <v>Electronics</v>
      </c>
      <c r="H171" s="3" t="str">
        <f>SUBSTITUTE(SUBSTITUTE('Sales_RAW(BEFORE)'!G176,"kom",""),".","")</f>
        <v>14</v>
      </c>
      <c r="I171" s="6">
        <f>VLOOKUP(E171,Product_List!$B$2:$D$61,3,FALSE)</f>
        <v>158.06</v>
      </c>
      <c r="J171" s="5">
        <f>IF(IFERROR(VALUE(SUBSTITUTE(SUBSTITUTE(TRIM('Sales_RAW(BEFORE)'!I176), "%", ""), ",", ".")), 0) &gt; 1, IFERROR(VALUE(SUBSTITUTE(SUBSTITUTE(TRIM('Sales_RAW(BEFORE)'!I176), "%", ""), ",", ".")), 0) / 100, IFERROR(VALUE(SUBSTITUTE(SUBSTITUTE(TRIM('Sales_RAW(BEFORE)'!I176), "%", ""), ",", ".")), 0))</f>
        <v>0.1</v>
      </c>
      <c r="K171" s="6">
        <f>(H171*I171)/(HLOOKUP(AE171,Exchange_Rates!$B$1:$M$2,2,FALSE))</f>
        <v>2381.9590958019376</v>
      </c>
      <c r="L171" s="6" t="str" cm="1">
        <f t="array" ref="L171">_xlfn.LET(
  _xlpm.valuta, UPPER(TRIM('Sales_RAW(BEFORE)'!K176)),
  _xlfn.IFS(
    _xlpm.valuta = "", "",
    OR(_xlpm.valuta = "USD", _xlpm.valuta = "$"), "$",
    OR(_xlpm.valuta = "EUR", _xlpm.valuta = "€"), "€",
    TRUE, _xlpm.valuta
  )
)</f>
        <v>€</v>
      </c>
      <c r="M171" s="3" t="str">
        <f>"E" &amp; TEXT(VALUE(SUBSTITUTE(SUBSTITUTE(SUBSTITUTE(UPPER(TRIM('Sales_RAW(BEFORE)'!L176)), "EMP", ""), "E", ""), "-", "")),"000")</f>
        <v>E019</v>
      </c>
      <c r="N171" s="3" t="str">
        <f>_xlfn.XLOOKUP(M171,Employees!$D$2:$D$26,Employees!$A$2:$A$26)</f>
        <v>Sophia Taylor</v>
      </c>
      <c r="O171" s="3" t="str">
        <f>_xlfn.XLOOKUP(N171,Employees!$A$2:$A$26,Employees!$C$2:$C$26,2)</f>
        <v>Wholesale</v>
      </c>
      <c r="P171" s="3" t="str">
        <f>PROPER('Sales_RAW(BEFORE)'!N176)</f>
        <v>North</v>
      </c>
      <c r="Q171" s="3" t="str">
        <f>VLOOKUP(N171,Employees!$A$2:$B$26,2,FALSE)</f>
        <v>Los Angeles</v>
      </c>
      <c r="R171" s="3" t="str">
        <f>PROPER('Sales_RAW(BEFORE)'!P176)</f>
        <v>Initech Inc</v>
      </c>
      <c r="S171" s="3" t="str">
        <f>SUBSTITUTE(SUBSTITUTE('Sales_RAW(BEFORE)'!Q176,"EIN",""),":","")</f>
        <v>503271299</v>
      </c>
      <c r="T171" s="3" t="s">
        <v>420</v>
      </c>
      <c r="U171" s="3" t="s">
        <v>3014</v>
      </c>
      <c r="V171" s="3" t="s">
        <v>3015</v>
      </c>
      <c r="W171" s="3" t="s">
        <v>3016</v>
      </c>
      <c r="X171" s="3" t="s">
        <v>173</v>
      </c>
      <c r="Y171" s="3" t="str">
        <f>PROPER('Sales_RAW(BEFORE)'!W176)</f>
        <v>Cash</v>
      </c>
      <c r="Z171" s="3" t="str">
        <f>PROPER('Sales_RAW(BEFORE)'!X176)</f>
        <v>Cancelled</v>
      </c>
      <c r="AA171" s="3" t="str" cm="1">
        <f t="array" ref="AA171">_xlfn.LET(
  _xlpm.val, TRIM(LOWER('Sales_RAW(BEFORE)'!Y176)),
  _xlfn.IFS(
    OR(_xlpm.val="yes", _xlpm.val="paid"), "Paid",
    OR(_xlpm.val="no", _xlpm.val="unpaid"), "Unpaid",
    OR(_xlpm.val="partial", _xlpm.val="partial paid"), "Partial",
    _xlpm.val="", "",
    TRUE, 'Sales_RAW(BEFORE)'!AY176
  )
)</f>
        <v>Unpaid</v>
      </c>
      <c r="AB171" s="3" t="s">
        <v>3017</v>
      </c>
      <c r="AC171" s="3" t="str">
        <f>PROPER('Sales_RAW(BEFORE)'!AA176)</f>
        <v>Store</v>
      </c>
      <c r="AD171" s="3" t="str">
        <f>SUBSTITUTE(SUBSTITUTE(SUBSTITUTE(SUBSTITUTE('Sales_RAW(BEFORE)'!AB176,"st",""),"q",""),"Q",""),"uarter","")</f>
        <v xml:space="preserve">1 </v>
      </c>
      <c r="AE171" s="3" t="str">
        <f>TEXT(IFERROR(DATEVALUE('Sales_RAW(BEFORE)'!AC176 &amp; " 1"), IFERROR(DATE(2025, 'Sales_RAW(BEFORE)'!AC176, 1), 'Sales_RAW(BEFORE)'!AC176)), "mmmm")</f>
        <v>April</v>
      </c>
      <c r="AF171" s="3">
        <f>_xlfn.LET(
  _xlpm.raw, TRIM(SUBSTITUTE('Sales_RAW(BEFORE)'!AD176, "'", "")),
  _xlpm.num, IFERROR(VALUE(_xlpm.raw), 0),
  IF(_xlpm.num &lt; 100, 2000 + _xlpm.num, _xlpm.num)
)</f>
        <v>2026</v>
      </c>
      <c r="AG171" s="3" t="str">
        <f>PROPER('Sales_RAW(BEFORE)'!AE176)</f>
        <v>Net 60</v>
      </c>
      <c r="AH171" s="3" cm="1">
        <f t="array" ref="AH171">_xlfn.LET(
  _xlpm.val, LOWER(TRIM('Sales_RAW(BEFORE)'!AF176)),
  _xlfn.IFS(
    OR(_xlpm.val="", _xlpm.val="null", _xlpm.val="N/A", _xlpm.val="-", _xlpm.val="#N/A"), 0,
    ISNUMBER('Sales_RAW(BEFORE)'!AF176), 'Sales_RAW(BEFORE)'!AF176,
    TRUE, IFERROR(_xlfn.NUMBERVALUE(_xlpm.val), 0)
  )
)</f>
        <v>66</v>
      </c>
      <c r="AI171" s="5">
        <f>IF(IFERROR(VALUE(SUBSTITUTE(SUBSTITUTE(TRIM('Sales_RAW(BEFORE)'!AG176), "%", ""), ",", ".")), 0) &gt; 1, IFERROR(VALUE(SUBSTITUTE(SUBSTITUTE(TRIM('Sales_RAW(BEFORE)'!AG176), "%", ""), ",", ".")), 0) / 100, IFERROR(VALUE(SUBSTITUTE(SUBSTITUTE(TRIM('Sales_RAW(BEFORE)'!AG176), "%", ""), ",", ".")), 0))</f>
        <v>0.08</v>
      </c>
      <c r="AJ171" s="6">
        <f t="shared" si="11"/>
        <v>190.55672766415501</v>
      </c>
      <c r="AK171" s="6">
        <f t="shared" si="12"/>
        <v>2572.5158234660926</v>
      </c>
      <c r="AL171" s="6">
        <f>IFERROR(VALUE(SUBSTITUTE(SUBSTITUTE(SUBSTITUTE('Sales_RAW(BEFORE)'!AJ176,"$",""),"USD",""),",",".")),0)</f>
        <v>9.39</v>
      </c>
      <c r="AM171" s="3" t="str">
        <f>SUBSTITUTE(SUBSTITUTE(PROPER('Sales_RAW(BEFORE)'!AK176), "Fed Ex", "FedEx"),"Fedex","FedEx")</f>
        <v>Usps</v>
      </c>
      <c r="AN171" s="3" t="s">
        <v>3019</v>
      </c>
      <c r="AO171" s="3" t="str">
        <f>SUBSTITUTE('Sales_RAW(BEFORE)'!AM176,"kg","")</f>
        <v xml:space="preserve">21.0 </v>
      </c>
      <c r="AP171" s="3" t="str">
        <f>_xlfn.LET(
  _xlpm.raw, UPPER(TRIM('Sales_RAW(BEFORE)'!AN176)),
  _xlpm.clean, RIGHT(_xlpm.raw, 1),
  IF(OR(_xlpm.raw="", _xlpm.raw="null"), "N/A", _xlpm.clean)
)</f>
        <v>C</v>
      </c>
      <c r="AQ171" s="3">
        <v>380</v>
      </c>
      <c r="AR171" s="3" cm="1">
        <f t="array" ref="AR171">_xlfn.LET(
  _xlpm.raw, LOWER(TRIM('Sales_RAW(BEFORE)'!AP176)),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171" s="3"/>
      <c r="AT171" s="3"/>
      <c r="AU171" s="3"/>
      <c r="AV171" s="8">
        <f>IF(IFERROR(VALUE(SUBSTITUTE(SUBSTITUTE(TRIM('Sales_RAW(BEFORE)'!AT176), "%", ""), ",", ".")), 0) &gt; 1, IFERROR(VALUE(SUBSTITUTE(SUBSTITUTE(TRIM('Sales_RAW(BEFORE)'!AT176), "%", ""), ",", ".")), 0) / 100, IFERROR(VALUE(SUBSTITUTE(SUBSTITUTE(TRIM('Sales_RAW(BEFORE)'!AT176), "%", ""), ",", ".")), 0))</f>
        <v>0.25</v>
      </c>
      <c r="AW171" s="6">
        <f>BA171*(_xlfn.XLOOKUP(N171,Employees!$A$2:$A$26,Employees!$E$2:$E$26,2))</f>
        <v>61.740379763186219</v>
      </c>
      <c r="AX171" s="3" t="str">
        <f>PROPER('Sales_RAW(BEFORE)'!AV176)</f>
        <v>David Smith</v>
      </c>
      <c r="AY171" s="3" t="str">
        <f t="shared" si="13"/>
        <v>David Smith</v>
      </c>
      <c r="AZ171" s="3"/>
      <c r="BA171" s="24">
        <f>AK171*(1-(_xlfn.XLOOKUP(G171, Exchange_Rates!$B$8:$F$8, Exchange_Rates!$B$9:$F$9, 0)+J171))</f>
        <v>2058.0126587728741</v>
      </c>
      <c r="BB171" s="7" cm="1">
        <f t="array" ref="BB171">_xlfn.LET(
  _xlpm.raw_dt, SUBSTITUTE(TRIM(C171), ".", "/"),
  _xlpm.dt, IFERROR(DATEVALUE(_xlpm.raw_dt), C171),
  _xlpm.p_code, TRIM(E171),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47240</v>
      </c>
      <c r="BC171" s="25">
        <f t="shared" si="14"/>
        <v>514.50316469321854</v>
      </c>
    </row>
    <row r="172" spans="1:55" ht="15.75" thickBot="1" x14ac:dyDescent="0.3">
      <c r="A172" s="3" t="s">
        <v>3021</v>
      </c>
      <c r="B172" s="10">
        <v>45741</v>
      </c>
      <c r="C172" s="4">
        <f>DATE(2025,4,2)</f>
        <v>45749</v>
      </c>
      <c r="D172" s="3" t="str">
        <f>"P-" &amp; TEXT(VALUE(SUBSTITUTE(SUBSTITUTE(SUBSTITUTE(UPPER(TRIM('Sales_RAW(BEFORE)'!D177)), "P", ""), "-", ""), "_", "")),"000")</f>
        <v>P-055</v>
      </c>
      <c r="E172" s="3" t="str">
        <f>VLOOKUP(D172,Product_List!$A$2:$B$61,2,FALSE)</f>
        <v>Cable Basic 55</v>
      </c>
      <c r="F172" s="3" t="str">
        <f>_xlfn.XLOOKUP(E172,Product_List!$B$2:$B$61,Product_List!$E$2:$E$61,2)</f>
        <v>BestParts</v>
      </c>
      <c r="G172" s="3" t="str">
        <f>VLOOKUP(E172,Product_List!$B$2:$C$61,2,FALSE)</f>
        <v>Office</v>
      </c>
      <c r="H172" s="3" t="str">
        <f>SUBSTITUTE(SUBSTITUTE('Sales_RAW(BEFORE)'!G177,"kom",""),".","")</f>
        <v xml:space="preserve">15 </v>
      </c>
      <c r="I172" s="6">
        <f>VLOOKUP(E172,Product_List!$B$2:$D$61,3,FALSE)</f>
        <v>921.78</v>
      </c>
      <c r="J172" s="5">
        <f>IF(IFERROR(VALUE(SUBSTITUTE(SUBSTITUTE(TRIM('Sales_RAW(BEFORE)'!I177), "%", ""), ",", ".")), 0) &gt; 1, IFERROR(VALUE(SUBSTITUTE(SUBSTITUTE(TRIM('Sales_RAW(BEFORE)'!I177), "%", ""), ",", ".")), 0) / 100, IFERROR(VALUE(SUBSTITUTE(SUBSTITUTE(TRIM('Sales_RAW(BEFORE)'!I177), "%", ""), ",", ".")), 0))</f>
        <v>0</v>
      </c>
      <c r="K172" s="6">
        <f t="shared" si="10"/>
        <v>13826.699999999999</v>
      </c>
      <c r="L172" s="6" t="str" cm="1">
        <f t="array" ref="L172">_xlfn.LET(
  _xlpm.valuta, UPPER(TRIM('Sales_RAW(BEFORE)'!K177)),
  _xlfn.IFS(
    _xlpm.valuta = "", "",
    OR(_xlpm.valuta = "USD", _xlpm.valuta = "$"), "$",
    OR(_xlpm.valuta = "EUR", _xlpm.valuta = "€"), "€",
    TRUE, _xlpm.valuta
  )
)</f>
        <v>$</v>
      </c>
      <c r="M172" s="3" t="str">
        <f>"E" &amp; TEXT(VALUE(SUBSTITUTE(SUBSTITUTE(SUBSTITUTE(UPPER(TRIM('Sales_RAW(BEFORE)'!L177)), "EMP", ""), "E", ""), "-", "")),"000")</f>
        <v>E001</v>
      </c>
      <c r="N172" s="3" t="str">
        <f>_xlfn.XLOOKUP(M172,Employees!$D$2:$D$26,Employees!$A$2:$A$26)</f>
        <v>Sarah Wilson</v>
      </c>
      <c r="O172" s="3" t="str">
        <f>_xlfn.XLOOKUP(N172,Employees!$A$2:$A$26,Employees!$C$2:$C$26,2)</f>
        <v>Online</v>
      </c>
      <c r="P172" s="3" t="str">
        <f>PROPER('Sales_RAW(BEFORE)'!N177)</f>
        <v>West</v>
      </c>
      <c r="Q172" s="3" t="str">
        <f>VLOOKUP(N172,Employees!$A$2:$B$26,2,FALSE)</f>
        <v>Los Angeles</v>
      </c>
      <c r="R172" s="3" t="str">
        <f>PROPER('Sales_RAW(BEFORE)'!P177)</f>
        <v xml:space="preserve">  Stark Inc</v>
      </c>
      <c r="S172" s="3" t="str">
        <f>SUBSTITUTE(SUBSTITUTE('Sales_RAW(BEFORE)'!Q177,"EIN",""),":","")</f>
        <v xml:space="preserve"> 212305968</v>
      </c>
      <c r="T172" s="3" t="s">
        <v>1984</v>
      </c>
      <c r="U172" s="3" t="s">
        <v>3032</v>
      </c>
      <c r="V172" s="3" t="s">
        <v>3033</v>
      </c>
      <c r="W172" s="3" t="s">
        <v>3034</v>
      </c>
      <c r="X172" s="3" t="s">
        <v>173</v>
      </c>
      <c r="Y172" s="3" t="str">
        <f>PROPER('Sales_RAW(BEFORE)'!W177)</f>
        <v>Credit Card</v>
      </c>
      <c r="Z172" s="3" t="str">
        <f>PROPER('Sales_RAW(BEFORE)'!X177)</f>
        <v>Processing</v>
      </c>
      <c r="AA172" s="3" t="str" cm="1">
        <f t="array" ref="AA172">_xlfn.LET(
  _xlpm.val, TRIM(LOWER('Sales_RAW(BEFORE)'!Y177)),
  _xlfn.IFS(
    OR(_xlpm.val="yes", _xlpm.val="paid"), "Paid",
    OR(_xlpm.val="no", _xlpm.val="unpaid"), "Unpaid",
    OR(_xlpm.val="partial", _xlpm.val="partial paid"), "Partial",
    _xlpm.val="", "",
    TRUE, 'Sales_RAW(BEFORE)'!AY177
  )
)</f>
        <v>Paid</v>
      </c>
      <c r="AB172" s="3" t="s">
        <v>3035</v>
      </c>
      <c r="AC172" s="3" t="str">
        <f>PROPER('Sales_RAW(BEFORE)'!AA177)</f>
        <v>Online</v>
      </c>
      <c r="AD172" s="3" t="str">
        <f>SUBSTITUTE(SUBSTITUTE(SUBSTITUTE(SUBSTITUTE('Sales_RAW(BEFORE)'!AB177,"st",""),"q",""),"Q",""),"uarter","")</f>
        <v>4</v>
      </c>
      <c r="AE172" s="3" t="str">
        <f>TEXT(IFERROR(DATEVALUE('Sales_RAW(BEFORE)'!AC177 &amp; " 1"), IFERROR(DATE(2025, 'Sales_RAW(BEFORE)'!AC177, 1), 'Sales_RAW(BEFORE)'!AC177)), "mmmm")</f>
        <v>March</v>
      </c>
      <c r="AF172" s="3">
        <f>_xlfn.LET(
  _xlpm.raw, TRIM(SUBSTITUTE('Sales_RAW(BEFORE)'!AD177, "'", "")),
  _xlpm.num, IFERROR(VALUE(_xlpm.raw), 0),
  IF(_xlpm.num &lt; 100, 2000 + _xlpm.num, _xlpm.num)
)</f>
        <v>2025</v>
      </c>
      <c r="AG172" s="3" t="str">
        <f>PROPER('Sales_RAW(BEFORE)'!AE177)</f>
        <v>Net 60</v>
      </c>
      <c r="AH172" s="3" cm="1">
        <f t="array" ref="AH172">_xlfn.LET(
  _xlpm.val, LOWER(TRIM('Sales_RAW(BEFORE)'!AF177)),
  _xlfn.IFS(
    OR(_xlpm.val="", _xlpm.val="null", _xlpm.val="N/A", _xlpm.val="-", _xlpm.val="#N/A"), 0,
    ISNUMBER('Sales_RAW(BEFORE)'!AF177), 'Sales_RAW(BEFORE)'!AF177,
    TRUE, IFERROR(_xlfn.NUMBERVALUE(_xlpm.val), 0)
  )
)</f>
        <v>75</v>
      </c>
      <c r="AI172" s="5">
        <f>IF(IFERROR(VALUE(SUBSTITUTE(SUBSTITUTE(TRIM('Sales_RAW(BEFORE)'!AG177), "%", ""), ",", ".")), 0) &gt; 1, IFERROR(VALUE(SUBSTITUTE(SUBSTITUTE(TRIM('Sales_RAW(BEFORE)'!AG177), "%", ""), ",", ".")), 0) / 100, IFERROR(VALUE(SUBSTITUTE(SUBSTITUTE(TRIM('Sales_RAW(BEFORE)'!AG177), "%", ""), ",", ".")), 0))</f>
        <v>0.08</v>
      </c>
      <c r="AJ172" s="6">
        <f t="shared" si="11"/>
        <v>1106.136</v>
      </c>
      <c r="AK172" s="6">
        <f t="shared" si="12"/>
        <v>14932.835999999999</v>
      </c>
      <c r="AL172" s="6">
        <f>IFERROR(VALUE(SUBSTITUTE(SUBSTITUTE(SUBSTITUTE('Sales_RAW(BEFORE)'!AJ177,"$",""),"USD",""),",",".")),0)</f>
        <v>26</v>
      </c>
      <c r="AM172" s="3" t="str">
        <f>SUBSTITUTE(SUBSTITUTE(PROPER('Sales_RAW(BEFORE)'!AK177), "Fed Ex", "FedEx"),"Fedex","FedEx")</f>
        <v>FedEx</v>
      </c>
      <c r="AN172" s="3" t="s">
        <v>3037</v>
      </c>
      <c r="AO172" s="3" t="str">
        <f>SUBSTITUTE('Sales_RAW(BEFORE)'!AM177,"kg","")</f>
        <v>17.34</v>
      </c>
      <c r="AP172" s="3" t="str">
        <f>_xlfn.LET(
  _xlpm.raw, UPPER(TRIM('Sales_RAW(BEFORE)'!AN177)),
  _xlpm.clean, RIGHT(_xlpm.raw, 1),
  IF(OR(_xlpm.raw="", _xlpm.raw="null"), "N/A", _xlpm.clean)
)</f>
        <v>A</v>
      </c>
      <c r="AQ172" s="3">
        <v>302</v>
      </c>
      <c r="AR172" s="3" cm="1">
        <f t="array" ref="AR172">_xlfn.LET(
  _xlpm.raw, LOWER(TRIM('Sales_RAW(BEFORE)'!AP177)),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172" s="3"/>
      <c r="AT172" s="3"/>
      <c r="AU172" s="3"/>
      <c r="AV172" s="8">
        <f>IF(IFERROR(VALUE(SUBSTITUTE(SUBSTITUTE(TRIM('Sales_RAW(BEFORE)'!AT177), "%", ""), ",", ".")), 0) &gt; 1, IFERROR(VALUE(SUBSTITUTE(SUBSTITUTE(TRIM('Sales_RAW(BEFORE)'!AT177), "%", ""), ",", ".")), 0) / 100, IFERROR(VALUE(SUBSTITUTE(SUBSTITUTE(TRIM('Sales_RAW(BEFORE)'!AT177), "%", ""), ",", ".")), 0))</f>
        <v>0.15</v>
      </c>
      <c r="AW172" s="6">
        <f>BA172*(_xlfn.XLOOKUP(N172,Employees!$A$2:$A$26,Employees!$E$2:$E$26,2))</f>
        <v>403.18657200000001</v>
      </c>
      <c r="AX172" s="3" t="str">
        <f>PROPER('Sales_RAW(BEFORE)'!AV177)</f>
        <v>Michael Brown</v>
      </c>
      <c r="AY172" s="3" t="str">
        <f t="shared" si="13"/>
        <v>Michael Brown</v>
      </c>
      <c r="AZ172" s="3"/>
      <c r="BA172" s="24">
        <f>AK172*(1-(_xlfn.XLOOKUP(G172, Exchange_Rates!$B$8:$F$8, Exchange_Rates!$B$9:$F$9, 0)+J172))</f>
        <v>13439.5524</v>
      </c>
      <c r="BB172" s="7" cm="1">
        <f t="array" ref="BB172">_xlfn.LET(
  _xlpm.raw_dt, SUBSTITUTE(TRIM(C172), ".", "/"),
  _xlpm.dt, IFERROR(DATEVALUE(_xlpm.raw_dt), C172),
  _xlpm.p_code, TRIM(E172),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46479</v>
      </c>
      <c r="BC172" s="25">
        <f t="shared" si="14"/>
        <v>2015.9328599999999</v>
      </c>
    </row>
    <row r="173" spans="1:55" ht="15.75" thickBot="1" x14ac:dyDescent="0.3">
      <c r="A173" s="3" t="s">
        <v>3040</v>
      </c>
      <c r="B173" s="10">
        <v>46250</v>
      </c>
      <c r="C173" s="4">
        <v>46263</v>
      </c>
      <c r="D173" s="3" t="str">
        <f>"P-" &amp; TEXT(VALUE(SUBSTITUTE(SUBSTITUTE(SUBSTITUTE(UPPER(TRIM('Sales_RAW(BEFORE)'!D179)), "P", ""), "-", ""), "_", "")),"000")</f>
        <v>P-025</v>
      </c>
      <c r="E173" s="3" t="str">
        <f>VLOOKUP(D173,Product_List!$A$2:$B$61,2,FALSE)</f>
        <v>Chair Max 25</v>
      </c>
      <c r="F173" s="3" t="str">
        <f>_xlfn.XLOOKUP(E173,Product_List!$B$2:$B$61,Product_List!$E$2:$E$61,2)</f>
        <v>TechSupply Co</v>
      </c>
      <c r="G173" s="3" t="str">
        <f>VLOOKUP(E173,Product_List!$B$2:$C$61,2,FALSE)</f>
        <v>Software</v>
      </c>
      <c r="H173" s="3" t="str">
        <f>SUBSTITUTE(SUBSTITUTE('Sales_RAW(BEFORE)'!G179,"kom",""),".","")</f>
        <v>18</v>
      </c>
      <c r="I173" s="6">
        <f>VLOOKUP(E173,Product_List!$B$2:$D$61,3,FALSE)</f>
        <v>430.47</v>
      </c>
      <c r="J173" s="5">
        <f>IF(IFERROR(VALUE(SUBSTITUTE(SUBSTITUTE(TRIM('Sales_RAW(BEFORE)'!I179), "%", ""), ",", ".")), 0) &gt; 1, IFERROR(VALUE(SUBSTITUTE(SUBSTITUTE(TRIM('Sales_RAW(BEFORE)'!I179), "%", ""), ",", ".")), 0) / 100, IFERROR(VALUE(SUBSTITUTE(SUBSTITUTE(TRIM('Sales_RAW(BEFORE)'!I179), "%", ""), ",", ".")), 0))</f>
        <v>0.05</v>
      </c>
      <c r="K173" s="6">
        <f t="shared" si="10"/>
        <v>7748.4600000000009</v>
      </c>
      <c r="L173" s="6" t="str" cm="1">
        <f t="array" ref="L173">_xlfn.LET(
  _xlpm.valuta, UPPER(TRIM('Sales_RAW(BEFORE)'!K179)),
  _xlfn.IFS(
    _xlpm.valuta = "", "",
    OR(_xlpm.valuta = "USD", _xlpm.valuta = "$"), "$",
    OR(_xlpm.valuta = "EUR", _xlpm.valuta = "€"), "€",
    TRUE, _xlpm.valuta
  )
)</f>
        <v>$</v>
      </c>
      <c r="M173" s="3" t="str">
        <f>"E" &amp; TEXT(VALUE(SUBSTITUTE(SUBSTITUTE(SUBSTITUTE(UPPER(TRIM('Sales_RAW(BEFORE)'!L179)), "EMP", ""), "E", ""), "-", "")),"000")</f>
        <v>E005</v>
      </c>
      <c r="N173" s="3" t="str">
        <f>_xlfn.XLOOKUP(M173,Employees!$D$2:$D$26,Employees!$A$2:$A$26)</f>
        <v>Laura Williams</v>
      </c>
      <c r="O173" s="3" t="str">
        <f>_xlfn.XLOOKUP(N173,Employees!$A$2:$A$26,Employees!$C$2:$C$26,2)</f>
        <v>Online</v>
      </c>
      <c r="P173" s="3" t="str">
        <f>PROPER('Sales_RAW(BEFORE)'!N179)</f>
        <v>South</v>
      </c>
      <c r="Q173" s="3" t="str">
        <f>VLOOKUP(N173,Employees!$A$2:$B$26,2,FALSE)</f>
        <v>Houston</v>
      </c>
      <c r="R173" s="3" t="str">
        <f>PROPER('Sales_RAW(BEFORE)'!P179)</f>
        <v xml:space="preserve">  Initech Ltd. </v>
      </c>
      <c r="S173" s="3" t="str">
        <f>SUBSTITUTE(SUBSTITUTE('Sales_RAW(BEFORE)'!Q179,"EIN",""),":","")</f>
        <v>620903199</v>
      </c>
      <c r="T173" s="3" t="s">
        <v>464</v>
      </c>
      <c r="U173" s="3" t="s">
        <v>3047</v>
      </c>
      <c r="V173" s="3" t="s">
        <v>3048</v>
      </c>
      <c r="W173" s="3" t="s">
        <v>163</v>
      </c>
      <c r="X173" s="3" t="s">
        <v>173</v>
      </c>
      <c r="Y173" s="3" t="str">
        <f>PROPER('Sales_RAW(BEFORE)'!W179)</f>
        <v>Cash</v>
      </c>
      <c r="Z173" s="3" t="str">
        <f>PROPER('Sales_RAW(BEFORE)'!X179)</f>
        <v>Delivered</v>
      </c>
      <c r="AA173" s="3" t="str" cm="1">
        <f t="array" ref="AA173">_xlfn.LET(
  _xlpm.val, TRIM(LOWER('Sales_RAW(BEFORE)'!Y179)),
  _xlfn.IFS(
    OR(_xlpm.val="yes", _xlpm.val="paid"), "Paid",
    OR(_xlpm.val="no", _xlpm.val="unpaid"), "Unpaid",
    OR(_xlpm.val="partial", _xlpm.val="partial paid"), "Partial",
    _xlpm.val="", "",
    TRUE, 'Sales_RAW(BEFORE)'!AY179
  )
)</f>
        <v>Unpaid</v>
      </c>
      <c r="AB173" s="3" t="s">
        <v>3049</v>
      </c>
      <c r="AC173" s="3" t="str">
        <f>PROPER('Sales_RAW(BEFORE)'!AA179)</f>
        <v>Online</v>
      </c>
      <c r="AD173" s="3" t="str">
        <f>SUBSTITUTE(SUBSTITUTE(SUBSTITUTE(SUBSTITUTE('Sales_RAW(BEFORE)'!AB179,"st",""),"q",""),"Q",""),"uarter","")</f>
        <v>2</v>
      </c>
      <c r="AE173" s="3" t="str">
        <f>TEXT(IFERROR(DATEVALUE('Sales_RAW(BEFORE)'!AC179 &amp; " 1"), IFERROR(DATE(2025, 'Sales_RAW(BEFORE)'!AC179, 1), 'Sales_RAW(BEFORE)'!AC179)), "mmmm")</f>
        <v>August</v>
      </c>
      <c r="AF173" s="3">
        <f>_xlfn.LET(
  _xlpm.raw, TRIM(SUBSTITUTE('Sales_RAW(BEFORE)'!AD179, "'", "")),
  _xlpm.num, IFERROR(VALUE(_xlpm.raw), 0),
  IF(_xlpm.num &lt; 100, 2000 + _xlpm.num, _xlpm.num)
)</f>
        <v>2026</v>
      </c>
      <c r="AG173" s="3" t="str">
        <f>PROPER('Sales_RAW(BEFORE)'!AE179)</f>
        <v>Net 60</v>
      </c>
      <c r="AH173" s="3" cm="1">
        <f t="array" ref="AH173">_xlfn.LET(
  _xlpm.val, LOWER(TRIM('Sales_RAW(BEFORE)'!AF179)),
  _xlfn.IFS(
    OR(_xlpm.val="", _xlpm.val="null", _xlpm.val="N/A", _xlpm.val="-", _xlpm.val="#N/A"), 0,
    ISNUMBER('Sales_RAW(BEFORE)'!AF179), 'Sales_RAW(BEFORE)'!AF179,
    TRUE, IFERROR(_xlfn.NUMBERVALUE(_xlpm.val), 0)
  )
)</f>
        <v>36</v>
      </c>
      <c r="AI173" s="5">
        <f>IF(IFERROR(VALUE(SUBSTITUTE(SUBSTITUTE(TRIM('Sales_RAW(BEFORE)'!AG179), "%", ""), ",", ".")), 0) &gt; 1, IFERROR(VALUE(SUBSTITUTE(SUBSTITUTE(TRIM('Sales_RAW(BEFORE)'!AG179), "%", ""), ",", ".")), 0) / 100, IFERROR(VALUE(SUBSTITUTE(SUBSTITUTE(TRIM('Sales_RAW(BEFORE)'!AG179), "%", ""), ",", ".")), 0))</f>
        <v>0.08</v>
      </c>
      <c r="AJ173" s="6">
        <f t="shared" si="11"/>
        <v>619.87680000000012</v>
      </c>
      <c r="AK173" s="6">
        <f t="shared" si="12"/>
        <v>8368.3368000000009</v>
      </c>
      <c r="AL173" s="6">
        <f>IFERROR(VALUE(SUBSTITUTE(SUBSTITUTE(SUBSTITUTE('Sales_RAW(BEFORE)'!AJ179,"$",""),"USD",""),",",".")),0)</f>
        <v>45.77</v>
      </c>
      <c r="AM173" s="3" t="str">
        <f>SUBSTITUTE(SUBSTITUTE(PROPER('Sales_RAW(BEFORE)'!AK179), "Fed Ex", "FedEx"),"Fedex","FedEx")</f>
        <v>Ups</v>
      </c>
      <c r="AN173" s="3" t="s">
        <v>3051</v>
      </c>
      <c r="AO173" s="3" t="str">
        <f>SUBSTITUTE('Sales_RAW(BEFORE)'!AM179,"kg","")</f>
        <v>13,28</v>
      </c>
      <c r="AP173" s="3" t="str">
        <f>_xlfn.LET(
  _xlpm.raw, UPPER(TRIM('Sales_RAW(BEFORE)'!AN179)),
  _xlpm.clean, RIGHT(_xlpm.raw, 1),
  IF(OR(_xlpm.raw="", _xlpm.raw="null"), "N/A", _xlpm.clean)
)</f>
        <v>A</v>
      </c>
      <c r="AQ173" s="3">
        <v>472</v>
      </c>
      <c r="AR173" s="3" cm="1">
        <f t="array" ref="AR173">_xlfn.LET(
  _xlpm.raw, LOWER(TRIM('Sales_RAW(BEFORE)'!AP179)),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173" s="3"/>
      <c r="AT173" s="3"/>
      <c r="AU173" s="3"/>
      <c r="AV173" s="8">
        <f>IF(IFERROR(VALUE(SUBSTITUTE(SUBSTITUTE(TRIM('Sales_RAW(BEFORE)'!AT179), "%", ""), ",", ".")), 0) &gt; 1, IFERROR(VALUE(SUBSTITUTE(SUBSTITUTE(TRIM('Sales_RAW(BEFORE)'!AT179), "%", ""), ",", ".")), 0) / 100, IFERROR(VALUE(SUBSTITUTE(SUBSTITUTE(TRIM('Sales_RAW(BEFORE)'!AT179), "%", ""), ",", ".")), 0))</f>
        <v>0.18</v>
      </c>
      <c r="AW173" s="6">
        <f>BA173*(_xlfn.XLOOKUP(N173,Employees!$A$2:$A$26,Employees!$E$2:$E$26,2))</f>
        <v>200.84008320000004</v>
      </c>
      <c r="AX173" s="3" t="str">
        <f>PROPER('Sales_RAW(BEFORE)'!AV179)</f>
        <v xml:space="preserve">  Sophia Brown</v>
      </c>
      <c r="AY173" s="3" t="str">
        <f t="shared" si="13"/>
        <v xml:space="preserve">  Sophia Brown</v>
      </c>
      <c r="AZ173" s="3"/>
      <c r="BA173" s="24">
        <f>AK173*(1-(_xlfn.XLOOKUP(G173, Exchange_Rates!$B$8:$F$8, Exchange_Rates!$B$9:$F$9, 0)+J173))</f>
        <v>6694.6694400000015</v>
      </c>
      <c r="BB173" s="7" cm="1">
        <f t="array" ref="BB173">_xlfn.LET(
  _xlpm.raw_dt, SUBSTITUTE(TRIM(C173), ".", "/"),
  _xlpm.dt, IFERROR(DATEVALUE(_xlpm.raw_dt), C173),
  _xlpm.p_code, TRIM(E173),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46628</v>
      </c>
      <c r="BC173" s="25">
        <f t="shared" si="14"/>
        <v>1205.0404992000001</v>
      </c>
    </row>
    <row r="174" spans="1:55" ht="15.75" thickBot="1" x14ac:dyDescent="0.3">
      <c r="A174" s="3" t="s">
        <v>3055</v>
      </c>
      <c r="B174" s="10">
        <v>45943</v>
      </c>
      <c r="C174" s="4" t="s">
        <v>142</v>
      </c>
      <c r="D174" s="3" t="str">
        <f>"P-" &amp; TEXT(VALUE(SUBSTITUTE(SUBSTITUTE(SUBSTITUTE(UPPER(TRIM('Sales_RAW(BEFORE)'!D180)), "P", ""), "-", ""), "_", "")),"000")</f>
        <v>P-014</v>
      </c>
      <c r="E174" s="3" t="str">
        <f>VLOOKUP(D174,Product_List!$A$2:$B$61,2,FALSE)</f>
        <v>License Max 14</v>
      </c>
      <c r="F174" s="3" t="str">
        <f>_xlfn.XLOOKUP(E174,Product_List!$B$2:$B$61,Product_List!$E$2:$E$61,2)</f>
        <v>OfficeHub</v>
      </c>
      <c r="G174" s="3" t="str">
        <f>VLOOKUP(E174,Product_List!$B$2:$C$61,2,FALSE)</f>
        <v>Software</v>
      </c>
      <c r="H174" s="3" t="str">
        <f>SUBSTITUTE(SUBSTITUTE('Sales_RAW(BEFORE)'!G180,"kom",""),".","")</f>
        <v>37</v>
      </c>
      <c r="I174" s="6">
        <f>VLOOKUP(E174,Product_List!$B$2:$D$61,3,FALSE)</f>
        <v>1166.96</v>
      </c>
      <c r="J174" s="5">
        <f>IF(IFERROR(VALUE(SUBSTITUTE(SUBSTITUTE(TRIM('Sales_RAW(BEFORE)'!I180), "%", ""), ",", ".")), 0) &gt; 1, IFERROR(VALUE(SUBSTITUTE(SUBSTITUTE(TRIM('Sales_RAW(BEFORE)'!I180), "%", ""), ",", ".")), 0) / 100, IFERROR(VALUE(SUBSTITUTE(SUBSTITUTE(TRIM('Sales_RAW(BEFORE)'!I180), "%", ""), ",", ".")), 0))</f>
        <v>0.1</v>
      </c>
      <c r="K174" s="6">
        <f t="shared" si="10"/>
        <v>43177.520000000004</v>
      </c>
      <c r="L174" s="6" t="str" cm="1">
        <f t="array" ref="L174">_xlfn.LET(
  _xlpm.valuta, UPPER(TRIM('Sales_RAW(BEFORE)'!K180)),
  _xlfn.IFS(
    _xlpm.valuta = "", "",
    OR(_xlpm.valuta = "USD", _xlpm.valuta = "$"), "$",
    OR(_xlpm.valuta = "EUR", _xlpm.valuta = "€"), "€",
    TRUE, _xlpm.valuta
  )
)</f>
        <v>$</v>
      </c>
      <c r="M174" s="3" t="str">
        <f>"E" &amp; TEXT(VALUE(SUBSTITUTE(SUBSTITUTE(SUBSTITUTE(UPPER(TRIM('Sales_RAW(BEFORE)'!L180)), "EMP", ""), "E", ""), "-", "")),"000")</f>
        <v>E010</v>
      </c>
      <c r="N174" s="3" t="str">
        <f>_xlfn.XLOOKUP(M174,Employees!$D$2:$D$26,Employees!$A$2:$A$26)</f>
        <v>Olivia Anderson</v>
      </c>
      <c r="O174" s="3" t="str">
        <f>_xlfn.XLOOKUP(N174,Employees!$A$2:$A$26,Employees!$C$2:$C$26,2)</f>
        <v>Online</v>
      </c>
      <c r="P174" s="3" t="str">
        <f>PROPER('Sales_RAW(BEFORE)'!N180)</f>
        <v>East</v>
      </c>
      <c r="Q174" s="3" t="str">
        <f>VLOOKUP(N174,Employees!$A$2:$B$26,2,FALSE)</f>
        <v>Houston</v>
      </c>
      <c r="R174" s="3" t="str">
        <f>PROPER('Sales_RAW(BEFORE)'!P180)</f>
        <v xml:space="preserve">Wayne Inc. </v>
      </c>
      <c r="S174" s="3" t="str">
        <f>SUBSTITUTE(SUBSTITUTE('Sales_RAW(BEFORE)'!Q180,"EIN",""),":","")</f>
        <v xml:space="preserve"> 607224901</v>
      </c>
      <c r="T174" s="3" t="s">
        <v>484</v>
      </c>
      <c r="U174" s="3" t="s">
        <v>3063</v>
      </c>
      <c r="V174" s="3" t="s">
        <v>3064</v>
      </c>
      <c r="W174" s="3" t="s">
        <v>3065</v>
      </c>
      <c r="X174" s="3" t="s">
        <v>173</v>
      </c>
      <c r="Y174" s="3" t="str">
        <f>PROPER('Sales_RAW(BEFORE)'!W180)</f>
        <v>Credit Card</v>
      </c>
      <c r="Z174" s="3" t="str">
        <f>PROPER('Sales_RAW(BEFORE)'!X180)</f>
        <v>Processing</v>
      </c>
      <c r="AA174" s="3" t="str" cm="1">
        <f t="array" ref="AA174">_xlfn.LET(
  _xlpm.val, TRIM(LOWER('Sales_RAW(BEFORE)'!Y180)),
  _xlfn.IFS(
    OR(_xlpm.val="yes", _xlpm.val="paid"), "Paid",
    OR(_xlpm.val="no", _xlpm.val="unpaid"), "Unpaid",
    OR(_xlpm.val="partial", _xlpm.val="partial paid"), "Partial",
    _xlpm.val="", "",
    TRUE, 'Sales_RAW(BEFORE)'!AY180
  )
)</f>
        <v>Paid</v>
      </c>
      <c r="AB174" s="3" t="s">
        <v>3066</v>
      </c>
      <c r="AC174" s="3" t="str">
        <f>PROPER('Sales_RAW(BEFORE)'!AA180)</f>
        <v>Store</v>
      </c>
      <c r="AD174" s="3" t="str">
        <f>SUBSTITUTE(SUBSTITUTE(SUBSTITUTE(SUBSTITUTE('Sales_RAW(BEFORE)'!AB180,"st",""),"q",""),"Q",""),"uarter","")</f>
        <v>1</v>
      </c>
      <c r="AE174" s="3" t="str">
        <f>TEXT(IFERROR(DATEVALUE('Sales_RAW(BEFORE)'!AC180 &amp; " 1"), IFERROR(DATE(2025, 'Sales_RAW(BEFORE)'!AC180, 1), 'Sales_RAW(BEFORE)'!AC180)), "mmmm")</f>
        <v>October</v>
      </c>
      <c r="AF174" s="3">
        <f>_xlfn.LET(
  _xlpm.raw, TRIM(SUBSTITUTE('Sales_RAW(BEFORE)'!AD180, "'", "")),
  _xlpm.num, IFERROR(VALUE(_xlpm.raw), 0),
  IF(_xlpm.num &lt; 100, 2000 + _xlpm.num, _xlpm.num)
)</f>
        <v>2025</v>
      </c>
      <c r="AG174" s="3" t="str">
        <f>PROPER('Sales_RAW(BEFORE)'!AE180)</f>
        <v>Net 30</v>
      </c>
      <c r="AH174" s="3" cm="1">
        <f t="array" ref="AH174">_xlfn.LET(
  _xlpm.val, LOWER(TRIM('Sales_RAW(BEFORE)'!AF180)),
  _xlfn.IFS(
    OR(_xlpm.val="", _xlpm.val="null", _xlpm.val="N/A", _xlpm.val="-", _xlpm.val="#N/A"), 0,
    ISNUMBER('Sales_RAW(BEFORE)'!AF180), 'Sales_RAW(BEFORE)'!AF180,
    TRUE, IFERROR(_xlfn.NUMBERVALUE(_xlpm.val), 0)
  )
)</f>
        <v>0</v>
      </c>
      <c r="AI174" s="5">
        <f>IF(IFERROR(VALUE(SUBSTITUTE(SUBSTITUTE(TRIM('Sales_RAW(BEFORE)'!AG180), "%", ""), ",", ".")), 0) &gt; 1, IFERROR(VALUE(SUBSTITUTE(SUBSTITUTE(TRIM('Sales_RAW(BEFORE)'!AG180), "%", ""), ",", ".")), 0) / 100, IFERROR(VALUE(SUBSTITUTE(SUBSTITUTE(TRIM('Sales_RAW(BEFORE)'!AG180), "%", ""), ",", ".")), 0))</f>
        <v>0.08</v>
      </c>
      <c r="AJ174" s="6">
        <f t="shared" si="11"/>
        <v>3454.2016000000003</v>
      </c>
      <c r="AK174" s="6">
        <f t="shared" si="12"/>
        <v>46631.721600000004</v>
      </c>
      <c r="AL174" s="6">
        <f>IFERROR(VALUE(SUBSTITUTE(SUBSTITUTE(SUBSTITUTE('Sales_RAW(BEFORE)'!AJ180,"$",""),"USD",""),",",".")),0)</f>
        <v>8.86</v>
      </c>
      <c r="AM174" s="3" t="str">
        <f>SUBSTITUTE(SUBSTITUTE(PROPER('Sales_RAW(BEFORE)'!AK180), "Fed Ex", "FedEx"),"Fedex","FedEx")</f>
        <v>Usps</v>
      </c>
      <c r="AN174" s="3" t="s">
        <v>3067</v>
      </c>
      <c r="AO174" s="3" t="str">
        <f>SUBSTITUTE('Sales_RAW(BEFORE)'!AM180,"kg","")</f>
        <v xml:space="preserve">25.2 </v>
      </c>
      <c r="AP174" s="3" t="str">
        <f>_xlfn.LET(
  _xlpm.raw, UPPER(TRIM('Sales_RAW(BEFORE)'!AN180)),
  _xlpm.clean, RIGHT(_xlpm.raw, 1),
  IF(OR(_xlpm.raw="", _xlpm.raw="null"), "N/A", _xlpm.clean)
)</f>
        <v>A</v>
      </c>
      <c r="AQ174" s="3">
        <v>371</v>
      </c>
      <c r="AR174" s="3" cm="1">
        <f t="array" ref="AR174">_xlfn.LET(
  _xlpm.raw, LOWER(TRIM('Sales_RAW(BEFORE)'!AP180)),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74" s="3"/>
      <c r="AT174" s="3"/>
      <c r="AU174" s="3"/>
      <c r="AV174" s="8">
        <f>IF(IFERROR(VALUE(SUBSTITUTE(SUBSTITUTE(TRIM('Sales_RAW(BEFORE)'!AT180), "%", ""), ",", ".")), 0) &gt; 1, IFERROR(VALUE(SUBSTITUTE(SUBSTITUTE(TRIM('Sales_RAW(BEFORE)'!AT180), "%", ""), ",", ".")), 0) / 100, IFERROR(VALUE(SUBSTITUTE(SUBSTITUTE(TRIM('Sales_RAW(BEFORE)'!AT180), "%", ""), ",", ".")), 0))</f>
        <v>0.18</v>
      </c>
      <c r="AW174" s="6">
        <f>BA174*(_xlfn.XLOOKUP(N174,Employees!$A$2:$A$26,Employees!$E$2:$E$26,2))</f>
        <v>1049.2137360000002</v>
      </c>
      <c r="AX174" s="3" t="str">
        <f>PROPER('Sales_RAW(BEFORE)'!AV180)</f>
        <v>John Brown</v>
      </c>
      <c r="AY174" s="3" t="str">
        <f t="shared" si="13"/>
        <v>John Brown</v>
      </c>
      <c r="AZ174" s="3"/>
      <c r="BA174" s="24">
        <f>AK174*(1-(_xlfn.XLOOKUP(G174, Exchange_Rates!$B$8:$F$8, Exchange_Rates!$B$9:$F$9, 0)+J174))</f>
        <v>34973.791200000007</v>
      </c>
      <c r="BB174" s="7" t="str" cm="1">
        <f t="array" ref="BB174">_xlfn.LET(
  _xlpm.raw_dt, SUBSTITUTE(TRIM(C174), ".", "/"),
  _xlpm.dt, IFERROR(DATEVALUE(_xlpm.raw_dt), C174),
  _xlpm.p_code, TRIM(E174),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Empty</v>
      </c>
      <c r="BC174" s="25">
        <f t="shared" si="14"/>
        <v>6295.2824160000009</v>
      </c>
    </row>
    <row r="175" spans="1:55" ht="15.75" thickBot="1" x14ac:dyDescent="0.3">
      <c r="A175" s="3" t="s">
        <v>3071</v>
      </c>
      <c r="B175" s="10">
        <v>46094</v>
      </c>
      <c r="C175" s="4">
        <v>46107</v>
      </c>
      <c r="D175" s="3" t="str">
        <f>"P-" &amp; TEXT(VALUE(SUBSTITUTE(SUBSTITUTE(SUBSTITUTE(UPPER(TRIM('Sales_RAW(BEFORE)'!D181)), "P", ""), "-", ""), "_", "")),"000")</f>
        <v>P-051</v>
      </c>
      <c r="E175" s="3" t="str">
        <f>VLOOKUP(D175,Product_List!$A$2:$B$61,2,FALSE)</f>
        <v>Cable Basic 51</v>
      </c>
      <c r="F175" s="3" t="str">
        <f>_xlfn.XLOOKUP(E175,Product_List!$B$2:$B$61,Product_List!$E$2:$E$61,2)</f>
        <v>TechSupply Co</v>
      </c>
      <c r="G175" s="3" t="str">
        <f>VLOOKUP(E175,Product_List!$B$2:$C$61,2,FALSE)</f>
        <v>Office</v>
      </c>
      <c r="H175" s="3" t="str">
        <f>SUBSTITUTE(SUBSTITUTE('Sales_RAW(BEFORE)'!G181,"kom",""),".","")</f>
        <v>14</v>
      </c>
      <c r="I175" s="6">
        <f>VLOOKUP(E175,Product_List!$B$2:$D$61,3,FALSE)</f>
        <v>1036.6500000000001</v>
      </c>
      <c r="J175" s="5">
        <f>IF(IFERROR(VALUE(SUBSTITUTE(SUBSTITUTE(TRIM('Sales_RAW(BEFORE)'!I181), "%", ""), ",", ".")), 0) &gt; 1, IFERROR(VALUE(SUBSTITUTE(SUBSTITUTE(TRIM('Sales_RAW(BEFORE)'!I181), "%", ""), ",", ".")), 0) / 100, IFERROR(VALUE(SUBSTITUTE(SUBSTITUTE(TRIM('Sales_RAW(BEFORE)'!I181), "%", ""), ",", ".")), 0))</f>
        <v>0.1</v>
      </c>
      <c r="K175" s="6">
        <f t="shared" si="10"/>
        <v>14513.100000000002</v>
      </c>
      <c r="L175" s="6" t="str" cm="1">
        <f t="array" ref="L175">_xlfn.LET(
  _xlpm.valuta, UPPER(TRIM('Sales_RAW(BEFORE)'!K181)),
  _xlfn.IFS(
    _xlpm.valuta = "", "",
    OR(_xlpm.valuta = "USD", _xlpm.valuta = "$"), "$",
    OR(_xlpm.valuta = "EUR", _xlpm.valuta = "€"), "€",
    TRUE, _xlpm.valuta
  )
)</f>
        <v>$</v>
      </c>
      <c r="M175" s="3" t="str">
        <f>"E" &amp; TEXT(VALUE(SUBSTITUTE(SUBSTITUTE(SUBSTITUTE(UPPER(TRIM('Sales_RAW(BEFORE)'!L181)), "EMP", ""), "E", ""), "-", "")),"000")</f>
        <v>E022</v>
      </c>
      <c r="N175" s="3" t="str">
        <f>_xlfn.XLOOKUP(M175,Employees!$D$2:$D$26,Employees!$A$2:$A$26)</f>
        <v>Chris Williams</v>
      </c>
      <c r="O175" s="3" t="str">
        <f>_xlfn.XLOOKUP(N175,Employees!$A$2:$A$26,Employees!$C$2:$C$26,2)</f>
        <v>Sales</v>
      </c>
      <c r="P175" s="3" t="str">
        <f>PROPER('Sales_RAW(BEFORE)'!N181)</f>
        <v>South</v>
      </c>
      <c r="Q175" s="3" t="str">
        <f>VLOOKUP(N175,Employees!$A$2:$B$26,2,FALSE)</f>
        <v>Boston</v>
      </c>
      <c r="R175" s="3" t="str">
        <f>PROPER('Sales_RAW(BEFORE)'!P181)</f>
        <v xml:space="preserve">   Initech Llc  </v>
      </c>
      <c r="S175" s="3" t="str">
        <f>SUBSTITUTE(SUBSTITUTE('Sales_RAW(BEFORE)'!Q181,"EIN",""),":","")</f>
        <v>565294511</v>
      </c>
      <c r="T175" s="3" t="s">
        <v>684</v>
      </c>
      <c r="U175" s="3" t="s">
        <v>3079</v>
      </c>
      <c r="V175" s="3" t="s">
        <v>3080</v>
      </c>
      <c r="W175" s="3" t="s">
        <v>3081</v>
      </c>
      <c r="X175" s="3" t="s">
        <v>173</v>
      </c>
      <c r="Y175" s="3" t="str">
        <f>PROPER('Sales_RAW(BEFORE)'!W181)</f>
        <v>Credit Card</v>
      </c>
      <c r="Z175" s="3" t="str">
        <f>PROPER('Sales_RAW(BEFORE)'!X181)</f>
        <v>Delivered</v>
      </c>
      <c r="AA175" s="3" t="str" cm="1">
        <f t="array" ref="AA175">_xlfn.LET(
  _xlpm.val, TRIM(LOWER('Sales_RAW(BEFORE)'!Y181)),
  _xlfn.IFS(
    OR(_xlpm.val="yes", _xlpm.val="paid"), "Paid",
    OR(_xlpm.val="no", _xlpm.val="unpaid"), "Unpaid",
    OR(_xlpm.val="partial", _xlpm.val="partial paid"), "Partial",
    _xlpm.val="", "",
    TRUE, 'Sales_RAW(BEFORE)'!AY181
  )
)</f>
        <v>Unpaid</v>
      </c>
      <c r="AB175" s="3" t="s">
        <v>3082</v>
      </c>
      <c r="AC175" s="3" t="str">
        <f>PROPER('Sales_RAW(BEFORE)'!AA181)</f>
        <v>Online</v>
      </c>
      <c r="AD175" s="3" t="str">
        <f>SUBSTITUTE(SUBSTITUTE(SUBSTITUTE(SUBSTITUTE('Sales_RAW(BEFORE)'!AB181,"st",""),"q",""),"Q",""),"uarter","")</f>
        <v>2</v>
      </c>
      <c r="AE175" s="3" t="str">
        <f>TEXT(IFERROR(DATEVALUE('Sales_RAW(BEFORE)'!AC181 &amp; " 1"), IFERROR(DATE(2025, 'Sales_RAW(BEFORE)'!AC181, 1), 'Sales_RAW(BEFORE)'!AC181)), "mmmm")</f>
        <v>March</v>
      </c>
      <c r="AF175" s="3">
        <f>_xlfn.LET(
  _xlpm.raw, TRIM(SUBSTITUTE('Sales_RAW(BEFORE)'!AD181, "'", "")),
  _xlpm.num, IFERROR(VALUE(_xlpm.raw), 0),
  IF(_xlpm.num &lt; 100, 2000 + _xlpm.num, _xlpm.num)
)</f>
        <v>2026</v>
      </c>
      <c r="AG175" s="3" t="str">
        <f>PROPER('Sales_RAW(BEFORE)'!AE181)</f>
        <v>Immediate</v>
      </c>
      <c r="AH175" s="3" cm="1">
        <f t="array" ref="AH175">_xlfn.LET(
  _xlpm.val, LOWER(TRIM('Sales_RAW(BEFORE)'!AF181)),
  _xlfn.IFS(
    OR(_xlpm.val="", _xlpm.val="null", _xlpm.val="N/A", _xlpm.val="-", _xlpm.val="#N/A"), 0,
    ISNUMBER('Sales_RAW(BEFORE)'!AF181), 'Sales_RAW(BEFORE)'!AF181,
    TRUE, IFERROR(_xlfn.NUMBERVALUE(_xlpm.val), 0)
  )
)</f>
        <v>0</v>
      </c>
      <c r="AI175" s="5">
        <f>IF(IFERROR(VALUE(SUBSTITUTE(SUBSTITUTE(TRIM('Sales_RAW(BEFORE)'!AG181), "%", ""), ",", ".")), 0) &gt; 1, IFERROR(VALUE(SUBSTITUTE(SUBSTITUTE(TRIM('Sales_RAW(BEFORE)'!AG181), "%", ""), ",", ".")), 0) / 100, IFERROR(VALUE(SUBSTITUTE(SUBSTITUTE(TRIM('Sales_RAW(BEFORE)'!AG181), "%", ""), ",", ".")), 0))</f>
        <v>0.08</v>
      </c>
      <c r="AJ175" s="6">
        <f t="shared" si="11"/>
        <v>1161.0480000000002</v>
      </c>
      <c r="AK175" s="6">
        <f t="shared" si="12"/>
        <v>15674.148000000003</v>
      </c>
      <c r="AL175" s="6">
        <f>IFERROR(VALUE(SUBSTITUTE(SUBSTITUTE(SUBSTITUTE('Sales_RAW(BEFORE)'!AJ181,"$",""),"USD",""),",",".")),0)</f>
        <v>0</v>
      </c>
      <c r="AM175" s="3" t="str">
        <f>SUBSTITUTE(SUBSTITUTE(PROPER('Sales_RAW(BEFORE)'!AK181), "Fed Ex", "FedEx"),"Fedex","FedEx")</f>
        <v>Usps</v>
      </c>
      <c r="AN175" s="3" t="s">
        <v>3083</v>
      </c>
      <c r="AO175" s="3" t="str">
        <f>SUBSTITUTE('Sales_RAW(BEFORE)'!AM181,"kg","")</f>
        <v xml:space="preserve">26.3 </v>
      </c>
      <c r="AP175" s="3" t="str">
        <f>_xlfn.LET(
  _xlpm.raw, UPPER(TRIM('Sales_RAW(BEFORE)'!AN181)),
  _xlpm.clean, RIGHT(_xlpm.raw, 1),
  IF(OR(_xlpm.raw="", _xlpm.raw="null"), "N/A", _xlpm.clean)
)</f>
        <v>A</v>
      </c>
      <c r="AQ175" s="3">
        <v>483</v>
      </c>
      <c r="AR175" s="3" cm="1">
        <f t="array" ref="AR175">_xlfn.LET(
  _xlpm.raw, LOWER(TRIM('Sales_RAW(BEFORE)'!AP181)),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175" s="3"/>
      <c r="AT175" s="3"/>
      <c r="AU175" s="3"/>
      <c r="AV175" s="8">
        <f>IF(IFERROR(VALUE(SUBSTITUTE(SUBSTITUTE(TRIM('Sales_RAW(BEFORE)'!AT181), "%", ""), ",", ".")), 0) &gt; 1, IFERROR(VALUE(SUBSTITUTE(SUBSTITUTE(TRIM('Sales_RAW(BEFORE)'!AT181), "%", ""), ",", ".")), 0) / 100, IFERROR(VALUE(SUBSTITUTE(SUBSTITUTE(TRIM('Sales_RAW(BEFORE)'!AT181), "%", ""), ",", ".")), 0))</f>
        <v>0.15</v>
      </c>
      <c r="AW175" s="6">
        <f>BA175*(_xlfn.XLOOKUP(N175,Employees!$A$2:$A$26,Employees!$E$2:$E$26,2))</f>
        <v>376.17955200000011</v>
      </c>
      <c r="AX175" s="3" t="str">
        <f>PROPER('Sales_RAW(BEFORE)'!AV181)</f>
        <v xml:space="preserve"> Jessica Anderson</v>
      </c>
      <c r="AY175" s="3" t="str">
        <f t="shared" si="13"/>
        <v xml:space="preserve"> Jessica Anderson</v>
      </c>
      <c r="AZ175" s="3"/>
      <c r="BA175" s="24">
        <f>AK175*(1-(_xlfn.XLOOKUP(G175, Exchange_Rates!$B$8:$F$8, Exchange_Rates!$B$9:$F$9, 0)+J175))</f>
        <v>12539.318400000004</v>
      </c>
      <c r="BB175" s="7" cm="1">
        <f t="array" ref="BB175">_xlfn.LET(
  _xlpm.raw_dt, SUBSTITUTE(TRIM(C175), ".", "/"),
  _xlpm.dt, IFERROR(DATEVALUE(_xlpm.raw_dt), C175),
  _xlpm.p_code, TRIM(E175),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46838</v>
      </c>
      <c r="BC175" s="25">
        <f t="shared" si="14"/>
        <v>1880.8977600000005</v>
      </c>
    </row>
    <row r="176" spans="1:55" ht="15.75" thickBot="1" x14ac:dyDescent="0.3">
      <c r="A176" s="3" t="s">
        <v>3087</v>
      </c>
      <c r="B176" s="10">
        <v>46102</v>
      </c>
      <c r="C176" s="4">
        <v>46111</v>
      </c>
      <c r="D176" s="3" t="str">
        <f>"P-" &amp; TEXT(VALUE(SUBSTITUTE(SUBSTITUTE(SUBSTITUTE(UPPER(TRIM('Sales_RAW(BEFORE)'!D182)), "P", ""), "-", ""), "_", "")),"000")</f>
        <v>P-053</v>
      </c>
      <c r="E176" s="3" t="str">
        <f>VLOOKUP(D176,Product_List!$A$2:$B$61,2,FALSE)</f>
        <v>Monitor Basic 53</v>
      </c>
      <c r="F176" s="3" t="str">
        <f>_xlfn.XLOOKUP(E176,Product_List!$B$2:$B$61,Product_List!$E$2:$E$61,2)</f>
        <v>Global Distrib</v>
      </c>
      <c r="G176" s="3" t="str">
        <f>VLOOKUP(E176,Product_List!$B$2:$C$61,2,FALSE)</f>
        <v>Equipment</v>
      </c>
      <c r="H176" s="3" t="str">
        <f>SUBSTITUTE(SUBSTITUTE('Sales_RAW(BEFORE)'!G182,"kom",""),".","")</f>
        <v xml:space="preserve">25 </v>
      </c>
      <c r="I176" s="6">
        <f>VLOOKUP(E176,Product_List!$B$2:$D$61,3,FALSE)</f>
        <v>553.22</v>
      </c>
      <c r="J176" s="5">
        <f>IF(IFERROR(VALUE(SUBSTITUTE(SUBSTITUTE(TRIM('Sales_RAW(BEFORE)'!I182), "%", ""), ",", ".")), 0) &gt; 1, IFERROR(VALUE(SUBSTITUTE(SUBSTITUTE(TRIM('Sales_RAW(BEFORE)'!I182), "%", ""), ",", ".")), 0) / 100, IFERROR(VALUE(SUBSTITUTE(SUBSTITUTE(TRIM('Sales_RAW(BEFORE)'!I182), "%", ""), ",", ".")), 0))</f>
        <v>0.1</v>
      </c>
      <c r="K176" s="6">
        <f t="shared" si="10"/>
        <v>13830.5</v>
      </c>
      <c r="L176" s="6" t="str" cm="1">
        <f t="array" ref="L176">_xlfn.LET(
  _xlpm.valuta, UPPER(TRIM('Sales_RAW(BEFORE)'!K182)),
  _xlfn.IFS(
    _xlpm.valuta = "", "",
    OR(_xlpm.valuta = "USD", _xlpm.valuta = "$"), "$",
    OR(_xlpm.valuta = "EUR", _xlpm.valuta = "€"), "€",
    TRUE, _xlpm.valuta
  )
)</f>
        <v>$</v>
      </c>
      <c r="M176" s="3" t="str">
        <f>"E" &amp; TEXT(VALUE(SUBSTITUTE(SUBSTITUTE(SUBSTITUTE(UPPER(TRIM('Sales_RAW(BEFORE)'!L182)), "EMP", ""), "E", ""), "-", "")),"000")</f>
        <v>E023</v>
      </c>
      <c r="N176" s="3" t="str">
        <f>_xlfn.XLOOKUP(M176,Employees!$D$2:$D$26,Employees!$A$2:$A$26)</f>
        <v>Laura Anderson</v>
      </c>
      <c r="O176" s="3" t="str">
        <f>_xlfn.XLOOKUP(N176,Employees!$A$2:$A$26,Employees!$C$2:$C$26,2)</f>
        <v>Sales</v>
      </c>
      <c r="P176" s="3" t="str">
        <f>PROPER('Sales_RAW(BEFORE)'!N182)</f>
        <v>North</v>
      </c>
      <c r="Q176" s="3" t="str">
        <f>VLOOKUP(N176,Employees!$A$2:$B$26,2,FALSE)</f>
        <v>Seattle</v>
      </c>
      <c r="R176" s="3" t="str">
        <f>PROPER('Sales_RAW(BEFORE)'!P182)</f>
        <v xml:space="preserve">   Umbrella Inc</v>
      </c>
      <c r="S176" s="3" t="str">
        <f>SUBSTITUTE(SUBSTITUTE('Sales_RAW(BEFORE)'!Q182,"EIN",""),":","")</f>
        <v>815467815</v>
      </c>
      <c r="T176" s="3" t="s">
        <v>1722</v>
      </c>
      <c r="U176" s="3" t="s">
        <v>3095</v>
      </c>
      <c r="V176" s="3" t="s">
        <v>3096</v>
      </c>
      <c r="W176" s="3" t="s">
        <v>3097</v>
      </c>
      <c r="X176" s="3" t="s">
        <v>173</v>
      </c>
      <c r="Y176" s="3" t="str">
        <f>PROPER('Sales_RAW(BEFORE)'!W182)</f>
        <v>Credit Card</v>
      </c>
      <c r="Z176" s="3" t="str">
        <f>PROPER('Sales_RAW(BEFORE)'!X182)</f>
        <v>Processing</v>
      </c>
      <c r="AA176" s="3" t="str" cm="1">
        <f t="array" ref="AA176">_xlfn.LET(
  _xlpm.val, TRIM(LOWER('Sales_RAW(BEFORE)'!Y182)),
  _xlfn.IFS(
    OR(_xlpm.val="yes", _xlpm.val="paid"), "Paid",
    OR(_xlpm.val="no", _xlpm.val="unpaid"), "Unpaid",
    OR(_xlpm.val="partial", _xlpm.val="partial paid"), "Partial",
    _xlpm.val="", "",
    TRUE, 'Sales_RAW(BEFORE)'!AY182
  )
)</f>
        <v>Partial</v>
      </c>
      <c r="AB176" s="3" t="s">
        <v>3098</v>
      </c>
      <c r="AC176" s="3" t="str">
        <f>PROPER('Sales_RAW(BEFORE)'!AA182)</f>
        <v>Store</v>
      </c>
      <c r="AD176" s="3" t="str">
        <f>SUBSTITUTE(SUBSTITUTE(SUBSTITUTE(SUBSTITUTE('Sales_RAW(BEFORE)'!AB182,"st",""),"q",""),"Q",""),"uarter","")</f>
        <v>1</v>
      </c>
      <c r="AE176" s="3" t="str">
        <f>TEXT(IFERROR(DATEVALUE('Sales_RAW(BEFORE)'!AC182 &amp; " 1"), IFERROR(DATE(2025, 'Sales_RAW(BEFORE)'!AC182, 1), 'Sales_RAW(BEFORE)'!AC182)), "mmmm")</f>
        <v>March</v>
      </c>
      <c r="AF176" s="3">
        <f>_xlfn.LET(
  _xlpm.raw, TRIM(SUBSTITUTE('Sales_RAW(BEFORE)'!AD182, "'", "")),
  _xlpm.num, IFERROR(VALUE(_xlpm.raw), 0),
  IF(_xlpm.num &lt; 100, 2000 + _xlpm.num, _xlpm.num)
)</f>
        <v>2026</v>
      </c>
      <c r="AG176" s="3" t="str">
        <f>PROPER('Sales_RAW(BEFORE)'!AE182)</f>
        <v>Net 60</v>
      </c>
      <c r="AH176" s="3" cm="1">
        <f t="array" ref="AH176">_xlfn.LET(
  _xlpm.val, LOWER(TRIM('Sales_RAW(BEFORE)'!AF182)),
  _xlfn.IFS(
    OR(_xlpm.val="", _xlpm.val="null", _xlpm.val="N/A", _xlpm.val="-", _xlpm.val="#N/A"), 0,
    ISNUMBER('Sales_RAW(BEFORE)'!AF182), 'Sales_RAW(BEFORE)'!AF182,
    TRUE, IFERROR(_xlfn.NUMBERVALUE(_xlpm.val), 0)
  )
)</f>
        <v>54</v>
      </c>
      <c r="AI176" s="5">
        <f>IF(IFERROR(VALUE(SUBSTITUTE(SUBSTITUTE(TRIM('Sales_RAW(BEFORE)'!AG182), "%", ""), ",", ".")), 0) &gt; 1, IFERROR(VALUE(SUBSTITUTE(SUBSTITUTE(TRIM('Sales_RAW(BEFORE)'!AG182), "%", ""), ",", ".")), 0) / 100, IFERROR(VALUE(SUBSTITUTE(SUBSTITUTE(TRIM('Sales_RAW(BEFORE)'!AG182), "%", ""), ",", ".")), 0))</f>
        <v>0.08</v>
      </c>
      <c r="AJ176" s="6">
        <f t="shared" si="11"/>
        <v>1106.44</v>
      </c>
      <c r="AK176" s="6">
        <f t="shared" si="12"/>
        <v>14936.94</v>
      </c>
      <c r="AL176" s="6">
        <f>IFERROR(VALUE(SUBSTITUTE(SUBSTITUTE(SUBSTITUTE('Sales_RAW(BEFORE)'!AJ182,"$",""),"USD",""),",",".")),0)</f>
        <v>28.72</v>
      </c>
      <c r="AM176" s="3" t="str">
        <f>SUBSTITUTE(SUBSTITUTE(PROPER('Sales_RAW(BEFORE)'!AK182), "Fed Ex", "FedEx"),"Fedex","FedEx")</f>
        <v>FedEx</v>
      </c>
      <c r="AN176" s="3" t="s">
        <v>3100</v>
      </c>
      <c r="AO176" s="3" t="str">
        <f>SUBSTITUTE('Sales_RAW(BEFORE)'!AM182,"kg","")</f>
        <v xml:space="preserve">24.2 </v>
      </c>
      <c r="AP176" s="3" t="str">
        <f>_xlfn.LET(
  _xlpm.raw, UPPER(TRIM('Sales_RAW(BEFORE)'!AN182)),
  _xlpm.clean, RIGHT(_xlpm.raw, 1),
  IF(OR(_xlpm.raw="", _xlpm.raw="null"), "N/A", _xlpm.clean)
)</f>
        <v>A</v>
      </c>
      <c r="AQ176" s="3">
        <v>238</v>
      </c>
      <c r="AR176" s="3" cm="1">
        <f t="array" ref="AR176">_xlfn.LET(
  _xlpm.raw, LOWER(TRIM('Sales_RAW(BEFORE)'!AP182)),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176" s="3"/>
      <c r="AT176" s="3"/>
      <c r="AU176" s="3"/>
      <c r="AV176" s="8">
        <f>IF(IFERROR(VALUE(SUBSTITUTE(SUBSTITUTE(TRIM('Sales_RAW(BEFORE)'!AT182), "%", ""), ",", ".")), 0) &gt; 1, IFERROR(VALUE(SUBSTITUTE(SUBSTITUTE(TRIM('Sales_RAW(BEFORE)'!AT182), "%", ""), ",", ".")), 0) / 100, IFERROR(VALUE(SUBSTITUTE(SUBSTITUTE(TRIM('Sales_RAW(BEFORE)'!AT182), "%", ""), ",", ".")), 0))</f>
        <v>0.18</v>
      </c>
      <c r="AW176" s="6">
        <f>BA176*(_xlfn.XLOOKUP(N176,Employees!$A$2:$A$26,Employees!$E$2:$E$26,2))</f>
        <v>238.99104000000003</v>
      </c>
      <c r="AX176" s="3" t="str">
        <f>PROPER('Sales_RAW(BEFORE)'!AV182)</f>
        <v>Sarah Miller</v>
      </c>
      <c r="AY176" s="3" t="str">
        <f t="shared" si="13"/>
        <v>Sarah Miller</v>
      </c>
      <c r="AZ176" s="3"/>
      <c r="BA176" s="24">
        <f>AK176*(1-(_xlfn.XLOOKUP(G176, Exchange_Rates!$B$8:$F$8, Exchange_Rates!$B$9:$F$9, 0)+J176))</f>
        <v>11949.552000000001</v>
      </c>
      <c r="BB176" s="7" cm="1">
        <f t="array" ref="BB176">_xlfn.LET(
  _xlpm.raw_dt, SUBSTITUTE(TRIM(C176), ".", "/"),
  _xlpm.dt, IFERROR(DATEVALUE(_xlpm.raw_dt), C176),
  _xlpm.p_code, TRIM(E176),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46842</v>
      </c>
      <c r="BC176" s="25">
        <f t="shared" si="14"/>
        <v>2150.9193600000003</v>
      </c>
    </row>
    <row r="177" spans="1:55" ht="15.75" thickBot="1" x14ac:dyDescent="0.3">
      <c r="A177" s="3" t="s">
        <v>3103</v>
      </c>
      <c r="B177" s="10">
        <v>46131</v>
      </c>
      <c r="C177" s="4" t="s">
        <v>91</v>
      </c>
      <c r="D177" s="3" t="str">
        <f>"P-" &amp; TEXT(VALUE(SUBSTITUTE(SUBSTITUTE(SUBSTITUTE(UPPER(TRIM('Sales_RAW(BEFORE)'!D183)), "P", ""), "-", ""), "_", "")),"000")</f>
        <v>P-002</v>
      </c>
      <c r="E177" s="3" t="str">
        <f>VLOOKUP(D177,Product_List!$A$2:$B$61,2,FALSE)</f>
        <v>Monitor Max 2</v>
      </c>
      <c r="F177" s="3" t="str">
        <f>_xlfn.XLOOKUP(E177,Product_List!$B$2:$B$61,Product_List!$E$2:$E$61,2)</f>
        <v>BestParts</v>
      </c>
      <c r="G177" s="3" t="str">
        <f>VLOOKUP(E177,Product_List!$B$2:$C$61,2,FALSE)</f>
        <v>Electronics</v>
      </c>
      <c r="H177" s="3" t="str">
        <f>SUBSTITUTE(SUBSTITUTE('Sales_RAW(BEFORE)'!G183,"kom",""),".","")</f>
        <v>23</v>
      </c>
      <c r="I177" s="6">
        <f>VLOOKUP(E177,Product_List!$B$2:$D$61,3,FALSE)</f>
        <v>551.70000000000005</v>
      </c>
      <c r="J177" s="5">
        <f>IF(IFERROR(VALUE(SUBSTITUTE(SUBSTITUTE(TRIM('Sales_RAW(BEFORE)'!I183), "%", ""), ",", ".")), 0) &gt; 1, IFERROR(VALUE(SUBSTITUTE(SUBSTITUTE(TRIM('Sales_RAW(BEFORE)'!I183), "%", ""), ",", ".")), 0) / 100, IFERROR(VALUE(SUBSTITUTE(SUBSTITUTE(TRIM('Sales_RAW(BEFORE)'!I183), "%", ""), ",", ".")), 0))</f>
        <v>0.05</v>
      </c>
      <c r="K177" s="6">
        <f t="shared" si="10"/>
        <v>12689.1</v>
      </c>
      <c r="L177" s="6" t="str" cm="1">
        <f t="array" ref="L177">_xlfn.LET(
  _xlpm.valuta, UPPER(TRIM('Sales_RAW(BEFORE)'!K183)),
  _xlfn.IFS(
    _xlpm.valuta = "", "",
    OR(_xlpm.valuta = "USD", _xlpm.valuta = "$"), "$",
    OR(_xlpm.valuta = "EUR", _xlpm.valuta = "€"), "€",
    TRUE, _xlpm.valuta
  )
)</f>
        <v>$</v>
      </c>
      <c r="M177" s="3" t="str">
        <f>"E" &amp; TEXT(VALUE(SUBSTITUTE(SUBSTITUTE(SUBSTITUTE(UPPER(TRIM('Sales_RAW(BEFORE)'!L183)), "EMP", ""), "E", ""), "-", "")),"000")</f>
        <v>E001</v>
      </c>
      <c r="N177" s="3" t="str">
        <f>_xlfn.XLOOKUP(M177,Employees!$D$2:$D$26,Employees!$A$2:$A$26)</f>
        <v>Sarah Wilson</v>
      </c>
      <c r="O177" s="3" t="str">
        <f>_xlfn.XLOOKUP(N177,Employees!$A$2:$A$26,Employees!$C$2:$C$26,2)</f>
        <v>Online</v>
      </c>
      <c r="P177" s="3" t="str">
        <f>PROPER('Sales_RAW(BEFORE)'!N183)</f>
        <v>East</v>
      </c>
      <c r="Q177" s="3" t="str">
        <f>VLOOKUP(N177,Employees!$A$2:$B$26,2,FALSE)</f>
        <v>Los Angeles</v>
      </c>
      <c r="R177" s="3" t="str">
        <f>PROPER('Sales_RAW(BEFORE)'!P183)</f>
        <v xml:space="preserve">Stark Llc   </v>
      </c>
      <c r="S177" s="3" t="str">
        <f>SUBSTITUTE(SUBSTITUTE('Sales_RAW(BEFORE)'!Q183,"EIN",""),":","")</f>
        <v>230296461</v>
      </c>
      <c r="T177" s="3" t="s">
        <v>1271</v>
      </c>
      <c r="U177" s="3" t="s">
        <v>3111</v>
      </c>
      <c r="V177" s="3" t="s">
        <v>3112</v>
      </c>
      <c r="W177" s="3" t="s">
        <v>3113</v>
      </c>
      <c r="X177" s="3" t="s">
        <v>173</v>
      </c>
      <c r="Y177" s="3" t="str">
        <f>PROPER('Sales_RAW(BEFORE)'!W183)</f>
        <v>Credit Card</v>
      </c>
      <c r="Z177" s="3" t="str">
        <f>PROPER('Sales_RAW(BEFORE)'!X183)</f>
        <v>Cancelled</v>
      </c>
      <c r="AA177" s="3" t="str" cm="1">
        <f t="array" ref="AA177">_xlfn.LET(
  _xlpm.val, TRIM(LOWER('Sales_RAW(BEFORE)'!Y183)),
  _xlfn.IFS(
    OR(_xlpm.val="yes", _xlpm.val="paid"), "Paid",
    OR(_xlpm.val="no", _xlpm.val="unpaid"), "Unpaid",
    OR(_xlpm.val="partial", _xlpm.val="partial paid"), "Partial",
    _xlpm.val="", "",
    TRUE, 'Sales_RAW(BEFORE)'!AY183
  )
)</f>
        <v>Paid</v>
      </c>
      <c r="AB177" s="3" t="s">
        <v>3114</v>
      </c>
      <c r="AC177" s="3" t="str">
        <f>PROPER('Sales_RAW(BEFORE)'!AA183)</f>
        <v>Web</v>
      </c>
      <c r="AD177" s="3" t="str">
        <f>SUBSTITUTE(SUBSTITUTE(SUBSTITUTE(SUBSTITUTE('Sales_RAW(BEFORE)'!AB183,"st",""),"q",""),"Q",""),"uarter","")</f>
        <v>1</v>
      </c>
      <c r="AE177" s="3" t="str">
        <f>TEXT(IFERROR(DATEVALUE('Sales_RAW(BEFORE)'!AC183 &amp; " 1"), IFERROR(DATE(2025, 'Sales_RAW(BEFORE)'!AC183, 1), 'Sales_RAW(BEFORE)'!AC183)), "mmmm")</f>
        <v>April</v>
      </c>
      <c r="AF177" s="3">
        <f>_xlfn.LET(
  _xlpm.raw, TRIM(SUBSTITUTE('Sales_RAW(BEFORE)'!AD183, "'", "")),
  _xlpm.num, IFERROR(VALUE(_xlpm.raw), 0),
  IF(_xlpm.num &lt; 100, 2000 + _xlpm.num, _xlpm.num)
)</f>
        <v>2026</v>
      </c>
      <c r="AG177" s="3" t="str">
        <f>PROPER('Sales_RAW(BEFORE)'!AE183)</f>
        <v>Net 30</v>
      </c>
      <c r="AH177" s="3" cm="1">
        <f t="array" ref="AH177">_xlfn.LET(
  _xlpm.val, LOWER(TRIM('Sales_RAW(BEFORE)'!AF183)),
  _xlfn.IFS(
    OR(_xlpm.val="", _xlpm.val="null", _xlpm.val="N/A", _xlpm.val="-", _xlpm.val="#N/A"), 0,
    ISNUMBER('Sales_RAW(BEFORE)'!AF183), 'Sales_RAW(BEFORE)'!AF183,
    TRUE, IFERROR(_xlfn.NUMBERVALUE(_xlpm.val), 0)
  )
)</f>
        <v>0</v>
      </c>
      <c r="AI177" s="5">
        <f>IF(IFERROR(VALUE(SUBSTITUTE(SUBSTITUTE(TRIM('Sales_RAW(BEFORE)'!AG183), "%", ""), ",", ".")), 0) &gt; 1, IFERROR(VALUE(SUBSTITUTE(SUBSTITUTE(TRIM('Sales_RAW(BEFORE)'!AG183), "%", ""), ",", ".")), 0) / 100, IFERROR(VALUE(SUBSTITUTE(SUBSTITUTE(TRIM('Sales_RAW(BEFORE)'!AG183), "%", ""), ",", ".")), 0))</f>
        <v>0.08</v>
      </c>
      <c r="AJ177" s="6">
        <f t="shared" si="11"/>
        <v>1015.128</v>
      </c>
      <c r="AK177" s="6">
        <f t="shared" si="12"/>
        <v>13704.228000000001</v>
      </c>
      <c r="AL177" s="6">
        <f>IFERROR(VALUE(SUBSTITUTE(SUBSTITUTE(SUBSTITUTE('Sales_RAW(BEFORE)'!AJ183,"$",""),"USD",""),",",".")),0)</f>
        <v>41</v>
      </c>
      <c r="AM177" s="3" t="str">
        <f>SUBSTITUTE(SUBSTITUTE(PROPER('Sales_RAW(BEFORE)'!AK183), "Fed Ex", "FedEx"),"Fedex","FedEx")</f>
        <v>FedEx</v>
      </c>
      <c r="AN177" s="3" t="s">
        <v>3116</v>
      </c>
      <c r="AO177" s="3" t="str">
        <f>SUBSTITUTE('Sales_RAW(BEFORE)'!AM183,"kg","")</f>
        <v>17.21</v>
      </c>
      <c r="AP177" s="3" t="str">
        <f>_xlfn.LET(
  _xlpm.raw, UPPER(TRIM('Sales_RAW(BEFORE)'!AN183)),
  _xlpm.clean, RIGHT(_xlpm.raw, 1),
  IF(OR(_xlpm.raw="", _xlpm.raw="null"), "N/A", _xlpm.clean)
)</f>
        <v>A</v>
      </c>
      <c r="AQ177" s="3">
        <v>358</v>
      </c>
      <c r="AR177" s="3" cm="1">
        <f t="array" ref="AR177">_xlfn.LET(
  _xlpm.raw, LOWER(TRIM('Sales_RAW(BEFORE)'!AP183)),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77" s="3"/>
      <c r="AT177" s="3"/>
      <c r="AU177" s="3"/>
      <c r="AV177" s="8">
        <f>IF(IFERROR(VALUE(SUBSTITUTE(SUBSTITUTE(TRIM('Sales_RAW(BEFORE)'!AT183), "%", ""), ",", ".")), 0) &gt; 1, IFERROR(VALUE(SUBSTITUTE(SUBSTITUTE(TRIM('Sales_RAW(BEFORE)'!AT183), "%", ""), ",", ".")), 0) / 100, IFERROR(VALUE(SUBSTITUTE(SUBSTITUTE(TRIM('Sales_RAW(BEFORE)'!AT183), "%", ""), ",", ".")), 0))</f>
        <v>0</v>
      </c>
      <c r="AW177" s="6">
        <f>BA177*(_xlfn.XLOOKUP(N177,Employees!$A$2:$A$26,Employees!$E$2:$E$26,2))</f>
        <v>349.45781399999998</v>
      </c>
      <c r="AX177" s="3" t="str">
        <f>PROPER('Sales_RAW(BEFORE)'!AV183)</f>
        <v>James Taylor</v>
      </c>
      <c r="AY177" s="3" t="str">
        <f t="shared" si="13"/>
        <v>James Taylor</v>
      </c>
      <c r="AZ177" s="3"/>
      <c r="BA177" s="24">
        <f>AK177*(1-(_xlfn.XLOOKUP(G177, Exchange_Rates!$B$8:$F$8, Exchange_Rates!$B$9:$F$9, 0)+J177))</f>
        <v>11648.593800000001</v>
      </c>
      <c r="BB177" s="7" t="str" cm="1">
        <f t="array" ref="BB177">_xlfn.LET(
  _xlpm.raw_dt, SUBSTITUTE(TRIM(C177), ".", "/"),
  _xlpm.dt, IFERROR(DATEVALUE(_xlpm.raw_dt), C177),
  _xlpm.p_code, TRIM(E177),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Empty</v>
      </c>
      <c r="BC177" s="25">
        <f t="shared" si="14"/>
        <v>0</v>
      </c>
    </row>
    <row r="178" spans="1:55" ht="15.75" thickBot="1" x14ac:dyDescent="0.3">
      <c r="A178" s="3" t="s">
        <v>3118</v>
      </c>
      <c r="B178" s="10">
        <v>45890</v>
      </c>
      <c r="C178" s="4">
        <v>45895</v>
      </c>
      <c r="D178" s="3" t="str">
        <f>"P-" &amp; TEXT(VALUE(SUBSTITUTE(SUBSTITUTE(SUBSTITUTE(UPPER(TRIM('Sales_RAW(BEFORE)'!D184)), "P", ""), "-", ""), "_", "")),"000")</f>
        <v>P-043</v>
      </c>
      <c r="E178" s="3" t="str">
        <f>VLOOKUP(D178,Product_List!$A$2:$B$61,2,FALSE)</f>
        <v>Headphones X 43</v>
      </c>
      <c r="F178" s="3" t="str">
        <f>_xlfn.XLOOKUP(E178,Product_List!$B$2:$B$61,Product_List!$E$2:$E$61,2)</f>
        <v>Global Distrib</v>
      </c>
      <c r="G178" s="3" t="str">
        <f>VLOOKUP(E178,Product_List!$B$2:$C$61,2,FALSE)</f>
        <v>Equipment</v>
      </c>
      <c r="H178" s="3" t="str">
        <f>SUBSTITUTE(SUBSTITUTE('Sales_RAW(BEFORE)'!G184,"kom",""),".","")</f>
        <v>6</v>
      </c>
      <c r="I178" s="6">
        <f>VLOOKUP(E178,Product_List!$B$2:$D$61,3,FALSE)</f>
        <v>156.69</v>
      </c>
      <c r="J178" s="5">
        <f>IF(IFERROR(VALUE(SUBSTITUTE(SUBSTITUTE(TRIM('Sales_RAW(BEFORE)'!I184), "%", ""), ",", ".")), 0) &gt; 1, IFERROR(VALUE(SUBSTITUTE(SUBSTITUTE(TRIM('Sales_RAW(BEFORE)'!I184), "%", ""), ",", ".")), 0) / 100, IFERROR(VALUE(SUBSTITUTE(SUBSTITUTE(TRIM('Sales_RAW(BEFORE)'!I184), "%", ""), ",", ".")), 0))</f>
        <v>0.1</v>
      </c>
      <c r="K178" s="6">
        <f t="shared" si="10"/>
        <v>940.14</v>
      </c>
      <c r="L178" s="6" t="str" cm="1">
        <f t="array" ref="L178">_xlfn.LET(
  _xlpm.valuta, UPPER(TRIM('Sales_RAW(BEFORE)'!K184)),
  _xlfn.IFS(
    _xlpm.valuta = "", "",
    OR(_xlpm.valuta = "USD", _xlpm.valuta = "$"), "$",
    OR(_xlpm.valuta = "EUR", _xlpm.valuta = "€"), "€",
    TRUE, _xlpm.valuta
  )
)</f>
        <v>$</v>
      </c>
      <c r="M178" s="3" t="str">
        <f>"E" &amp; TEXT(VALUE(SUBSTITUTE(SUBSTITUTE(SUBSTITUTE(UPPER(TRIM('Sales_RAW(BEFORE)'!L184)), "EMP", ""), "E", ""), "-", "")),"000")</f>
        <v>E005</v>
      </c>
      <c r="N178" s="3" t="str">
        <f>_xlfn.XLOOKUP(M178,Employees!$D$2:$D$26,Employees!$A$2:$A$26)</f>
        <v>Laura Williams</v>
      </c>
      <c r="O178" s="3" t="str">
        <f>_xlfn.XLOOKUP(N178,Employees!$A$2:$A$26,Employees!$C$2:$C$26,2)</f>
        <v>Online</v>
      </c>
      <c r="P178" s="3" t="str">
        <f>PROPER('Sales_RAW(BEFORE)'!N184)</f>
        <v>North</v>
      </c>
      <c r="Q178" s="3" t="str">
        <f>VLOOKUP(N178,Employees!$A$2:$B$26,2,FALSE)</f>
        <v>Houston</v>
      </c>
      <c r="R178" s="3" t="str">
        <f>PROPER('Sales_RAW(BEFORE)'!P184)</f>
        <v>Globex Ltd.</v>
      </c>
      <c r="S178" s="3" t="str">
        <f>SUBSTITUTE(SUBSTITUTE('Sales_RAW(BEFORE)'!Q184,"EIN",""),":","")</f>
        <v>233585728</v>
      </c>
      <c r="T178" s="3" t="s">
        <v>1271</v>
      </c>
      <c r="U178" s="3" t="s">
        <v>3125</v>
      </c>
      <c r="V178" s="3" t="s">
        <v>3126</v>
      </c>
      <c r="W178" s="3" t="s">
        <v>91</v>
      </c>
      <c r="X178" s="3" t="s">
        <v>173</v>
      </c>
      <c r="Y178" s="3" t="str">
        <f>PROPER('Sales_RAW(BEFORE)'!W184)</f>
        <v>Wire Transfer</v>
      </c>
      <c r="Z178" s="3" t="str">
        <f>PROPER('Sales_RAW(BEFORE)'!X184)</f>
        <v>Processing</v>
      </c>
      <c r="AA178" s="3" t="str" cm="1">
        <f t="array" ref="AA178">_xlfn.LET(
  _xlpm.val, TRIM(LOWER('Sales_RAW(BEFORE)'!Y184)),
  _xlfn.IFS(
    OR(_xlpm.val="yes", _xlpm.val="paid"), "Paid",
    OR(_xlpm.val="no", _xlpm.val="unpaid"), "Unpaid",
    OR(_xlpm.val="partial", _xlpm.val="partial paid"), "Partial",
    _xlpm.val="", "",
    TRUE, 'Sales_RAW(BEFORE)'!AY184
  )
)</f>
        <v>Unpaid</v>
      </c>
      <c r="AB178" s="3" t="s">
        <v>3127</v>
      </c>
      <c r="AC178" s="3" t="str">
        <f>PROPER('Sales_RAW(BEFORE)'!AA184)</f>
        <v>Store</v>
      </c>
      <c r="AD178" s="3" t="str">
        <f>SUBSTITUTE(SUBSTITUTE(SUBSTITUTE(SUBSTITUTE('Sales_RAW(BEFORE)'!AB184,"st",""),"q",""),"Q",""),"uarter","")</f>
        <v>4</v>
      </c>
      <c r="AE178" s="3" t="str">
        <f>TEXT(IFERROR(DATEVALUE('Sales_RAW(BEFORE)'!AC184 &amp; " 1"), IFERROR(DATE(2025, 'Sales_RAW(BEFORE)'!AC184, 1), 'Sales_RAW(BEFORE)'!AC184)), "mmmm")</f>
        <v>August</v>
      </c>
      <c r="AF178" s="3">
        <f>_xlfn.LET(
  _xlpm.raw, TRIM(SUBSTITUTE('Sales_RAW(BEFORE)'!AD184, "'", "")),
  _xlpm.num, IFERROR(VALUE(_xlpm.raw), 0),
  IF(_xlpm.num &lt; 100, 2000 + _xlpm.num, _xlpm.num)
)</f>
        <v>2025</v>
      </c>
      <c r="AG178" s="3" t="str">
        <f>PROPER('Sales_RAW(BEFORE)'!AE184)</f>
        <v>Net 60</v>
      </c>
      <c r="AH178" s="3" cm="1">
        <f t="array" ref="AH178">_xlfn.LET(
  _xlpm.val, LOWER(TRIM('Sales_RAW(BEFORE)'!AF184)),
  _xlfn.IFS(
    OR(_xlpm.val="", _xlpm.val="null", _xlpm.val="N/A", _xlpm.val="-", _xlpm.val="#N/A"), 0,
    ISNUMBER('Sales_RAW(BEFORE)'!AF184), 'Sales_RAW(BEFORE)'!AF184,
    TRUE, IFERROR(_xlfn.NUMBERVALUE(_xlpm.val), 0)
  )
)</f>
        <v>0</v>
      </c>
      <c r="AI178" s="5">
        <f>IF(IFERROR(VALUE(SUBSTITUTE(SUBSTITUTE(TRIM('Sales_RAW(BEFORE)'!AG184), "%", ""), ",", ".")), 0) &gt; 1, IFERROR(VALUE(SUBSTITUTE(SUBSTITUTE(TRIM('Sales_RAW(BEFORE)'!AG184), "%", ""), ",", ".")), 0) / 100, IFERROR(VALUE(SUBSTITUTE(SUBSTITUTE(TRIM('Sales_RAW(BEFORE)'!AG184), "%", ""), ",", ".")), 0))</f>
        <v>0.08</v>
      </c>
      <c r="AJ178" s="6">
        <f t="shared" si="11"/>
        <v>75.211200000000005</v>
      </c>
      <c r="AK178" s="6">
        <f t="shared" si="12"/>
        <v>1015.3511999999999</v>
      </c>
      <c r="AL178" s="6">
        <f>IFERROR(VALUE(SUBSTITUTE(SUBSTITUTE(SUBSTITUTE('Sales_RAW(BEFORE)'!AJ184,"$",""),"USD",""),",",".")),0)</f>
        <v>44.46</v>
      </c>
      <c r="AM178" s="3" t="str">
        <f>SUBSTITUTE(SUBSTITUTE(PROPER('Sales_RAW(BEFORE)'!AK184), "Fed Ex", "FedEx"),"Fedex","FedEx")</f>
        <v>Dhl</v>
      </c>
      <c r="AN178" s="3" t="s">
        <v>3129</v>
      </c>
      <c r="AO178" s="3" t="str">
        <f>SUBSTITUTE('Sales_RAW(BEFORE)'!AM184,"kg","")</f>
        <v>27.39</v>
      </c>
      <c r="AP178" s="3" t="str">
        <f>_xlfn.LET(
  _xlpm.raw, UPPER(TRIM('Sales_RAW(BEFORE)'!AN184)),
  _xlpm.clean, RIGHT(_xlpm.raw, 1),
  IF(OR(_xlpm.raw="", _xlpm.raw="null"), "N/A", _xlpm.clean)
)</f>
        <v>A</v>
      </c>
      <c r="AQ178" s="3">
        <v>160</v>
      </c>
      <c r="AR178" s="3" cm="1">
        <f t="array" ref="AR178">_xlfn.LET(
  _xlpm.raw, LOWER(TRIM('Sales_RAW(BEFORE)'!AP184)),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178" s="3"/>
      <c r="AT178" s="3"/>
      <c r="AU178" s="3"/>
      <c r="AV178" s="8">
        <f>IF(IFERROR(VALUE(SUBSTITUTE(SUBSTITUTE(TRIM('Sales_RAW(BEFORE)'!AT184), "%", ""), ",", ".")), 0) &gt; 1, IFERROR(VALUE(SUBSTITUTE(SUBSTITUTE(TRIM('Sales_RAW(BEFORE)'!AT184), "%", ""), ",", ".")), 0) / 100, IFERROR(VALUE(SUBSTITUTE(SUBSTITUTE(TRIM('Sales_RAW(BEFORE)'!AT184), "%", ""), ",", ".")), 0))</f>
        <v>0.15</v>
      </c>
      <c r="AW178" s="6">
        <f>BA178*(_xlfn.XLOOKUP(N178,Employees!$A$2:$A$26,Employees!$E$2:$E$26,2))</f>
        <v>24.3684288</v>
      </c>
      <c r="AX178" s="3" t="str">
        <f>PROPER('Sales_RAW(BEFORE)'!AV184)</f>
        <v xml:space="preserve">  James Davis</v>
      </c>
      <c r="AY178" s="3" t="str">
        <f t="shared" si="13"/>
        <v xml:space="preserve">  James Davis</v>
      </c>
      <c r="AZ178" s="3"/>
      <c r="BA178" s="24">
        <f>AK178*(1-(_xlfn.XLOOKUP(G178, Exchange_Rates!$B$8:$F$8, Exchange_Rates!$B$9:$F$9, 0)+J178))</f>
        <v>812.28096000000005</v>
      </c>
      <c r="BB178" s="7" cm="1">
        <f t="array" ref="BB178">_xlfn.LET(
  _xlpm.raw_dt, SUBSTITUTE(TRIM(C178), ".", "/"),
  _xlpm.dt, IFERROR(DATEVALUE(_xlpm.raw_dt), C178),
  _xlpm.p_code, TRIM(E178),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46260</v>
      </c>
      <c r="BC178" s="25">
        <f t="shared" si="14"/>
        <v>121.842144</v>
      </c>
    </row>
    <row r="179" spans="1:55" ht="15.75" thickBot="1" x14ac:dyDescent="0.3">
      <c r="A179" s="3" t="s">
        <v>3132</v>
      </c>
      <c r="B179" s="10">
        <v>46069</v>
      </c>
      <c r="C179" s="4">
        <f>DATE(2026,2,18)</f>
        <v>46071</v>
      </c>
      <c r="D179" s="3" t="str">
        <f>"P-" &amp; TEXT(VALUE(SUBSTITUTE(SUBSTITUTE(SUBSTITUTE(UPPER(TRIM('Sales_RAW(BEFORE)'!D185)), "P", ""), "-", ""), "_", "")),"000")</f>
        <v>P-059</v>
      </c>
      <c r="E179" s="3" t="str">
        <f>VLOOKUP(D179,Product_List!$A$2:$B$61,2,FALSE)</f>
        <v>Keyboard Max 59</v>
      </c>
      <c r="F179" s="3" t="str">
        <f>_xlfn.XLOOKUP(E179,Product_List!$B$2:$B$61,Product_List!$E$2:$E$61,2)</f>
        <v>OfficeHub</v>
      </c>
      <c r="G179" s="3" t="str">
        <f>VLOOKUP(E179,Product_List!$B$2:$C$61,2,FALSE)</f>
        <v>Furniture</v>
      </c>
      <c r="H179" s="3" t="str">
        <f>SUBSTITUTE(SUBSTITUTE('Sales_RAW(BEFORE)'!G185,"kom",""),".","")</f>
        <v xml:space="preserve">37 </v>
      </c>
      <c r="I179" s="6">
        <f>VLOOKUP(E179,Product_List!$B$2:$D$61,3,FALSE)</f>
        <v>673.61</v>
      </c>
      <c r="J179" s="5">
        <f>IF(IFERROR(VALUE(SUBSTITUTE(SUBSTITUTE(TRIM('Sales_RAW(BEFORE)'!I185), "%", ""), ",", ".")), 0) &gt; 1, IFERROR(VALUE(SUBSTITUTE(SUBSTITUTE(TRIM('Sales_RAW(BEFORE)'!I185), "%", ""), ",", ".")), 0) / 100, IFERROR(VALUE(SUBSTITUTE(SUBSTITUTE(TRIM('Sales_RAW(BEFORE)'!I185), "%", ""), ",", ".")), 0))</f>
        <v>0</v>
      </c>
      <c r="K179" s="6">
        <f t="shared" si="10"/>
        <v>24923.57</v>
      </c>
      <c r="L179" s="6" t="str" cm="1">
        <f t="array" ref="L179">_xlfn.LET(
  _xlpm.valuta, UPPER(TRIM('Sales_RAW(BEFORE)'!K185)),
  _xlfn.IFS(
    _xlpm.valuta = "", "",
    OR(_xlpm.valuta = "USD", _xlpm.valuta = "$"), "$",
    OR(_xlpm.valuta = "EUR", _xlpm.valuta = "€"), "€",
    TRUE, _xlpm.valuta
  )
)</f>
        <v>$</v>
      </c>
      <c r="M179" s="3" t="str">
        <f>"E" &amp; TEXT(VALUE(SUBSTITUTE(SUBSTITUTE(SUBSTITUTE(UPPER(TRIM('Sales_RAW(BEFORE)'!L185)), "EMP", ""), "E", ""), "-", "")),"000")</f>
        <v>E001</v>
      </c>
      <c r="N179" s="3" t="str">
        <f>_xlfn.XLOOKUP(M179,Employees!$D$2:$D$26,Employees!$A$2:$A$26)</f>
        <v>Sarah Wilson</v>
      </c>
      <c r="O179" s="3" t="str">
        <f>_xlfn.XLOOKUP(N179,Employees!$A$2:$A$26,Employees!$C$2:$C$26,2)</f>
        <v>Online</v>
      </c>
      <c r="P179" s="3" t="str">
        <f>PROPER('Sales_RAW(BEFORE)'!N185)</f>
        <v>South</v>
      </c>
      <c r="Q179" s="3" t="str">
        <f>VLOOKUP(N179,Employees!$A$2:$B$26,2,FALSE)</f>
        <v>Los Angeles</v>
      </c>
      <c r="R179" s="3" t="str">
        <f>PROPER('Sales_RAW(BEFORE)'!P185)</f>
        <v xml:space="preserve">Initech Llc </v>
      </c>
      <c r="S179" s="3" t="str">
        <f>SUBSTITUTE(SUBSTITUTE('Sales_RAW(BEFORE)'!Q185,"EIN",""),":","")</f>
        <v xml:space="preserve"> 937312530</v>
      </c>
      <c r="T179" s="3" t="s">
        <v>169</v>
      </c>
      <c r="U179" s="3" t="s">
        <v>3142</v>
      </c>
      <c r="V179" s="3" t="s">
        <v>3143</v>
      </c>
      <c r="W179" s="3" t="s">
        <v>3144</v>
      </c>
      <c r="X179" s="3" t="s">
        <v>173</v>
      </c>
      <c r="Y179" s="3" t="str">
        <f>PROPER('Sales_RAW(BEFORE)'!W185)</f>
        <v>Cash</v>
      </c>
      <c r="Z179" s="3" t="str">
        <f>PROPER('Sales_RAW(BEFORE)'!X185)</f>
        <v>Pending</v>
      </c>
      <c r="AA179" s="3" t="str" cm="1">
        <f t="array" ref="AA179">_xlfn.LET(
  _xlpm.val, TRIM(LOWER('Sales_RAW(BEFORE)'!Y185)),
  _xlfn.IFS(
    OR(_xlpm.val="yes", _xlpm.val="paid"), "Paid",
    OR(_xlpm.val="no", _xlpm.val="unpaid"), "Unpaid",
    OR(_xlpm.val="partial", _xlpm.val="partial paid"), "Partial",
    _xlpm.val="", "",
    TRUE, 'Sales_RAW(BEFORE)'!AY185
  )
)</f>
        <v>Unpaid</v>
      </c>
      <c r="AB179" s="3" t="s">
        <v>3145</v>
      </c>
      <c r="AC179" s="3" t="str">
        <f>PROPER('Sales_RAW(BEFORE)'!AA185)</f>
        <v>Web</v>
      </c>
      <c r="AD179" s="3" t="str">
        <f>SUBSTITUTE(SUBSTITUTE(SUBSTITUTE(SUBSTITUTE('Sales_RAW(BEFORE)'!AB185,"st",""),"q",""),"Q",""),"uarter","")</f>
        <v>1</v>
      </c>
      <c r="AE179" s="3" t="str">
        <f>TEXT(IFERROR(DATEVALUE('Sales_RAW(BEFORE)'!AC185 &amp; " 1"), IFERROR(DATE(2025, 'Sales_RAW(BEFORE)'!AC185, 1), 'Sales_RAW(BEFORE)'!AC185)), "mmmm")</f>
        <v>February</v>
      </c>
      <c r="AF179" s="3">
        <f>_xlfn.LET(
  _xlpm.raw, TRIM(SUBSTITUTE('Sales_RAW(BEFORE)'!AD185, "'", "")),
  _xlpm.num, IFERROR(VALUE(_xlpm.raw), 0),
  IF(_xlpm.num &lt; 100, 2000 + _xlpm.num, _xlpm.num)
)</f>
        <v>2026</v>
      </c>
      <c r="AG179" s="3" t="str">
        <f>PROPER('Sales_RAW(BEFORE)'!AE185)</f>
        <v>15</v>
      </c>
      <c r="AH179" s="3" cm="1">
        <f t="array" ref="AH179">_xlfn.LET(
  _xlpm.val, LOWER(TRIM('Sales_RAW(BEFORE)'!AF185)),
  _xlfn.IFS(
    OR(_xlpm.val="", _xlpm.val="null", _xlpm.val="N/A", _xlpm.val="-", _xlpm.val="#N/A"), 0,
    ISNUMBER('Sales_RAW(BEFORE)'!AF185), 'Sales_RAW(BEFORE)'!AF185,
    TRUE, IFERROR(_xlfn.NUMBERVALUE(_xlpm.val), 0)
  )
)</f>
        <v>16</v>
      </c>
      <c r="AI179" s="5">
        <f>IF(IFERROR(VALUE(SUBSTITUTE(SUBSTITUTE(TRIM('Sales_RAW(BEFORE)'!AG185), "%", ""), ",", ".")), 0) &gt; 1, IFERROR(VALUE(SUBSTITUTE(SUBSTITUTE(TRIM('Sales_RAW(BEFORE)'!AG185), "%", ""), ",", ".")), 0) / 100, IFERROR(VALUE(SUBSTITUTE(SUBSTITUTE(TRIM('Sales_RAW(BEFORE)'!AG185), "%", ""), ",", ".")), 0))</f>
        <v>0.08</v>
      </c>
      <c r="AJ179" s="6">
        <f t="shared" si="11"/>
        <v>1993.8856000000001</v>
      </c>
      <c r="AK179" s="6">
        <f t="shared" si="12"/>
        <v>26917.455600000001</v>
      </c>
      <c r="AL179" s="6">
        <f>IFERROR(VALUE(SUBSTITUTE(SUBSTITUTE(SUBSTITUTE('Sales_RAW(BEFORE)'!AJ185,"$",""),"USD",""),",",".")),0)</f>
        <v>3.15</v>
      </c>
      <c r="AM179" s="3" t="str">
        <f>SUBSTITUTE(SUBSTITUTE(PROPER('Sales_RAW(BEFORE)'!AK185), "Fed Ex", "FedEx"),"Fedex","FedEx")</f>
        <v>FedEx</v>
      </c>
      <c r="AN179" s="3" t="s">
        <v>3147</v>
      </c>
      <c r="AO179" s="3" t="str">
        <f>SUBSTITUTE('Sales_RAW(BEFORE)'!AM185,"kg","")</f>
        <v xml:space="preserve">20.2 </v>
      </c>
      <c r="AP179" s="3" t="str">
        <f>_xlfn.LET(
  _xlpm.raw, UPPER(TRIM('Sales_RAW(BEFORE)'!AN185)),
  _xlpm.clean, RIGHT(_xlpm.raw, 1),
  IF(OR(_xlpm.raw="", _xlpm.raw="null"), "N/A", _xlpm.clean)
)</f>
        <v>A</v>
      </c>
      <c r="AQ179" s="3">
        <v>298</v>
      </c>
      <c r="AR179" s="3" cm="1">
        <f t="array" ref="AR179">_xlfn.LET(
  _xlpm.raw, LOWER(TRIM('Sales_RAW(BEFORE)'!AP185)),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179" s="3"/>
      <c r="AT179" s="3"/>
      <c r="AU179" s="3"/>
      <c r="AV179" s="8">
        <f>IF(IFERROR(VALUE(SUBSTITUTE(SUBSTITUTE(TRIM('Sales_RAW(BEFORE)'!AT185), "%", ""), ",", ".")), 0) &gt; 1, IFERROR(VALUE(SUBSTITUTE(SUBSTITUTE(TRIM('Sales_RAW(BEFORE)'!AT185), "%", ""), ",", ".")), 0) / 100, IFERROR(VALUE(SUBSTITUTE(SUBSTITUTE(TRIM('Sales_RAW(BEFORE)'!AT185), "%", ""), ",", ".")), 0))</f>
        <v>0.18</v>
      </c>
      <c r="AW179" s="6">
        <f>BA179*(_xlfn.XLOOKUP(N179,Employees!$A$2:$A$26,Employees!$E$2:$E$26,2))</f>
        <v>726.77130120000004</v>
      </c>
      <c r="AX179" s="3" t="str">
        <f>PROPER('Sales_RAW(BEFORE)'!AV185)</f>
        <v>Sarah Miller</v>
      </c>
      <c r="AY179" s="3" t="str">
        <f t="shared" si="13"/>
        <v>Sarah Miller</v>
      </c>
      <c r="AZ179" s="3"/>
      <c r="BA179" s="24">
        <f>AK179*(1-(_xlfn.XLOOKUP(G179, Exchange_Rates!$B$8:$F$8, Exchange_Rates!$B$9:$F$9, 0)+J179))</f>
        <v>24225.710040000002</v>
      </c>
      <c r="BB179" s="7" cm="1">
        <f t="array" ref="BB179">_xlfn.LET(
  _xlpm.raw_dt, SUBSTITUTE(TRIM(C179), ".", "/"),
  _xlpm.dt, IFERROR(DATEVALUE(_xlpm.raw_dt), C179),
  _xlpm.p_code, TRIM(E179),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46801</v>
      </c>
      <c r="BC179" s="25">
        <f t="shared" si="14"/>
        <v>4360.6278072000005</v>
      </c>
    </row>
    <row r="180" spans="1:55" ht="15.75" thickBot="1" x14ac:dyDescent="0.3">
      <c r="A180" s="3" t="s">
        <v>3150</v>
      </c>
      <c r="B180" s="10">
        <v>45991</v>
      </c>
      <c r="C180" s="4">
        <v>46004</v>
      </c>
      <c r="D180" s="3" t="str">
        <f>"P-" &amp; TEXT(VALUE(SUBSTITUTE(SUBSTITUTE(SUBSTITUTE(UPPER(TRIM('Sales_RAW(BEFORE)'!D186)), "P", ""), "-", ""), "_", "")),"000")</f>
        <v>P-011</v>
      </c>
      <c r="E180" s="3" t="str">
        <f>VLOOKUP(D180,Product_List!$A$2:$B$61,2,FALSE)</f>
        <v>Mouse Pro 11</v>
      </c>
      <c r="F180" s="3" t="str">
        <f>_xlfn.XLOOKUP(E180,Product_List!$B$2:$B$61,Product_List!$E$2:$E$61,2)</f>
        <v>OfficeHub</v>
      </c>
      <c r="G180" s="3" t="str">
        <f>VLOOKUP(E180,Product_List!$B$2:$C$61,2,FALSE)</f>
        <v>Equipment</v>
      </c>
      <c r="H180" s="3" t="str">
        <f>SUBSTITUTE(SUBSTITUTE('Sales_RAW(BEFORE)'!G186,"kom",""),".","")</f>
        <v>31</v>
      </c>
      <c r="I180" s="6">
        <f>VLOOKUP(E180,Product_List!$B$2:$D$61,3,FALSE)</f>
        <v>858.95</v>
      </c>
      <c r="J180" s="5">
        <f>IF(IFERROR(VALUE(SUBSTITUTE(SUBSTITUTE(TRIM('Sales_RAW(BEFORE)'!I186), "%", ""), ",", ".")), 0) &gt; 1, IFERROR(VALUE(SUBSTITUTE(SUBSTITUTE(TRIM('Sales_RAW(BEFORE)'!I186), "%", ""), ",", ".")), 0) / 100, IFERROR(VALUE(SUBSTITUTE(SUBSTITUTE(TRIM('Sales_RAW(BEFORE)'!I186), "%", ""), ",", ".")), 0))</f>
        <v>0</v>
      </c>
      <c r="K180" s="6">
        <f>(H180*I180)/(HLOOKUP(AE180,Exchange_Rates!$B$1:$M$2,2,FALSE))</f>
        <v>29260.934065934067</v>
      </c>
      <c r="L180" s="6" t="str" cm="1">
        <f t="array" ref="L180">_xlfn.LET(
  _xlpm.valuta, UPPER(TRIM('Sales_RAW(BEFORE)'!K186)),
  _xlfn.IFS(
    _xlpm.valuta = "", "",
    OR(_xlpm.valuta = "USD", _xlpm.valuta = "$"), "$",
    OR(_xlpm.valuta = "EUR", _xlpm.valuta = "€"), "€",
    TRUE, _xlpm.valuta
  )
)</f>
        <v>€</v>
      </c>
      <c r="M180" s="3" t="str">
        <f>"E" &amp; TEXT(VALUE(SUBSTITUTE(SUBSTITUTE(SUBSTITUTE(UPPER(TRIM('Sales_RAW(BEFORE)'!L186)), "EMP", ""), "E", ""), "-", "")),"000")</f>
        <v>E021</v>
      </c>
      <c r="N180" s="3" t="str">
        <f>_xlfn.XLOOKUP(M180,Employees!$D$2:$D$26,Employees!$A$2:$A$26)</f>
        <v>Chris Williams</v>
      </c>
      <c r="O180" s="3" t="str">
        <f>_xlfn.XLOOKUP(N180,Employees!$A$2:$A$26,Employees!$C$2:$C$26,2)</f>
        <v>Sales</v>
      </c>
      <c r="P180" s="3" t="str">
        <f>PROPER('Sales_RAW(BEFORE)'!N186)</f>
        <v>North</v>
      </c>
      <c r="Q180" s="3" t="str">
        <f>VLOOKUP(N180,Employees!$A$2:$B$26,2,FALSE)</f>
        <v>Boston</v>
      </c>
      <c r="R180" s="3" t="str">
        <f>PROPER('Sales_RAW(BEFORE)'!P186)</f>
        <v xml:space="preserve">  Wayne Inc.</v>
      </c>
      <c r="S180" s="3" t="str">
        <f>SUBSTITUTE(SUBSTITUTE('Sales_RAW(BEFORE)'!Q186,"EIN",""),":","")</f>
        <v xml:space="preserve"> 434701474</v>
      </c>
      <c r="T180" s="3" t="s">
        <v>484</v>
      </c>
      <c r="U180" s="3" t="s">
        <v>3157</v>
      </c>
      <c r="V180" s="3" t="s">
        <v>3158</v>
      </c>
      <c r="W180" s="3" t="s">
        <v>3159</v>
      </c>
      <c r="X180" s="3" t="s">
        <v>173</v>
      </c>
      <c r="Y180" s="3" t="str">
        <f>PROPER('Sales_RAW(BEFORE)'!W186)</f>
        <v>Wire Transfer</v>
      </c>
      <c r="Z180" s="3" t="str">
        <f>PROPER('Sales_RAW(BEFORE)'!X186)</f>
        <v>Delivered</v>
      </c>
      <c r="AA180" s="3" t="str" cm="1">
        <f t="array" ref="AA180">_xlfn.LET(
  _xlpm.val, TRIM(LOWER('Sales_RAW(BEFORE)'!Y186)),
  _xlfn.IFS(
    OR(_xlpm.val="yes", _xlpm.val="paid"), "Paid",
    OR(_xlpm.val="no", _xlpm.val="unpaid"), "Unpaid",
    OR(_xlpm.val="partial", _xlpm.val="partial paid"), "Partial",
    _xlpm.val="", "",
    TRUE, 'Sales_RAW(BEFORE)'!AY186
  )
)</f>
        <v>Paid</v>
      </c>
      <c r="AB180" s="3" t="s">
        <v>3160</v>
      </c>
      <c r="AC180" s="3" t="str">
        <f>PROPER('Sales_RAW(BEFORE)'!AA186)</f>
        <v>Online</v>
      </c>
      <c r="AD180" s="3" t="str">
        <f>SUBSTITUTE(SUBSTITUTE(SUBSTITUTE(SUBSTITUTE('Sales_RAW(BEFORE)'!AB186,"st",""),"q",""),"Q",""),"uarter","")</f>
        <v>4</v>
      </c>
      <c r="AE180" s="3" t="str">
        <f>TEXT(IFERROR(DATEVALUE('Sales_RAW(BEFORE)'!AC186 &amp; " 1"), IFERROR(DATE(2025, 'Sales_RAW(BEFORE)'!AC186, 1), 'Sales_RAW(BEFORE)'!AC186)), "mmmm")</f>
        <v>November</v>
      </c>
      <c r="AF180" s="3">
        <f>_xlfn.LET(
  _xlpm.raw, TRIM(SUBSTITUTE('Sales_RAW(BEFORE)'!AD186, "'", "")),
  _xlpm.num, IFERROR(VALUE(_xlpm.raw), 0),
  IF(_xlpm.num &lt; 100, 2000 + _xlpm.num, _xlpm.num)
)</f>
        <v>2025</v>
      </c>
      <c r="AG180" s="3" t="str">
        <f>PROPER('Sales_RAW(BEFORE)'!AE186)</f>
        <v>Net 30</v>
      </c>
      <c r="AH180" s="3" cm="1">
        <f t="array" ref="AH180">_xlfn.LET(
  _xlpm.val, LOWER(TRIM('Sales_RAW(BEFORE)'!AF186)),
  _xlfn.IFS(
    OR(_xlpm.val="", _xlpm.val="null", _xlpm.val="N/A", _xlpm.val="-", _xlpm.val="#N/A"), 0,
    ISNUMBER('Sales_RAW(BEFORE)'!AF186), 'Sales_RAW(BEFORE)'!AF186,
    TRUE, IFERROR(_xlfn.NUMBERVALUE(_xlpm.val), 0)
  )
)</f>
        <v>20</v>
      </c>
      <c r="AI180" s="5">
        <f>IF(IFERROR(VALUE(SUBSTITUTE(SUBSTITUTE(TRIM('Sales_RAW(BEFORE)'!AG186), "%", ""), ",", ".")), 0) &gt; 1, IFERROR(VALUE(SUBSTITUTE(SUBSTITUTE(TRIM('Sales_RAW(BEFORE)'!AG186), "%", ""), ",", ".")), 0) / 100, IFERROR(VALUE(SUBSTITUTE(SUBSTITUTE(TRIM('Sales_RAW(BEFORE)'!AG186), "%", ""), ",", ".")), 0))</f>
        <v>0.08</v>
      </c>
      <c r="AJ180" s="6">
        <f t="shared" si="11"/>
        <v>2340.8747252747253</v>
      </c>
      <c r="AK180" s="6">
        <f t="shared" si="12"/>
        <v>31601.808791208794</v>
      </c>
      <c r="AL180" s="6">
        <f>IFERROR(VALUE(SUBSTITUTE(SUBSTITUTE(SUBSTITUTE('Sales_RAW(BEFORE)'!AJ186,"$",""),"USD",""),",",".")),0)</f>
        <v>16.02</v>
      </c>
      <c r="AM180" s="3" t="str">
        <f>SUBSTITUTE(SUBSTITUTE(PROPER('Sales_RAW(BEFORE)'!AK186), "Fed Ex", "FedEx"),"Fedex","FedEx")</f>
        <v>Usps</v>
      </c>
      <c r="AN180" s="3" t="s">
        <v>3162</v>
      </c>
      <c r="AO180" s="3" t="str">
        <f>SUBSTITUTE('Sales_RAW(BEFORE)'!AM186,"kg","")</f>
        <v>3,55</v>
      </c>
      <c r="AP180" s="3" t="str">
        <f>_xlfn.LET(
  _xlpm.raw, UPPER(TRIM('Sales_RAW(BEFORE)'!AN186)),
  _xlpm.clean, RIGHT(_xlpm.raw, 1),
  IF(OR(_xlpm.raw="", _xlpm.raw="null"), "N/A", _xlpm.clean)
)</f>
        <v>B</v>
      </c>
      <c r="AQ180" s="3">
        <v>233</v>
      </c>
      <c r="AR180" s="3" t="str" cm="1">
        <f t="array" ref="AR180">_xlfn.LET(
  _xlpm.raw, LOWER(TRIM('Sales_RAW(BEFORE)'!AP186)),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180" s="3"/>
      <c r="AT180" s="3"/>
      <c r="AU180" s="3"/>
      <c r="AV180" s="8">
        <f>IF(IFERROR(VALUE(SUBSTITUTE(SUBSTITUTE(TRIM('Sales_RAW(BEFORE)'!AT186), "%", ""), ",", ".")), 0) &gt; 1, IFERROR(VALUE(SUBSTITUTE(SUBSTITUTE(TRIM('Sales_RAW(BEFORE)'!AT186), "%", ""), ",", ".")), 0) / 100, IFERROR(VALUE(SUBSTITUTE(SUBSTITUTE(TRIM('Sales_RAW(BEFORE)'!AT186), "%", ""), ",", ".")), 0))</f>
        <v>0.3</v>
      </c>
      <c r="AW180" s="6">
        <f>BA180*(_xlfn.XLOOKUP(N180,Employees!$A$2:$A$26,Employees!$E$2:$E$26,2))</f>
        <v>853.24883736263746</v>
      </c>
      <c r="AX180" s="3" t="str">
        <f>PROPER('Sales_RAW(BEFORE)'!AV186)</f>
        <v>John Brown</v>
      </c>
      <c r="AY180" s="3" t="str">
        <f t="shared" si="13"/>
        <v>John Brown</v>
      </c>
      <c r="AZ180" s="3"/>
      <c r="BA180" s="24">
        <f>AK180*(1-(_xlfn.XLOOKUP(G180, Exchange_Rates!$B$8:$F$8, Exchange_Rates!$B$9:$F$9, 0)+J180))</f>
        <v>28441.627912087915</v>
      </c>
      <c r="BB180" s="7" cm="1">
        <f t="array" ref="BB180">_xlfn.LET(
  _xlpm.raw_dt, SUBSTITUTE(TRIM(C180), ".", "/"),
  _xlpm.dt, IFERROR(DATEVALUE(_xlpm.raw_dt), C180),
  _xlpm.p_code, TRIM(E180),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46369</v>
      </c>
      <c r="BC180" s="25">
        <f t="shared" si="14"/>
        <v>8532.4883736263746</v>
      </c>
    </row>
    <row r="181" spans="1:55" ht="15.75" thickBot="1" x14ac:dyDescent="0.3">
      <c r="A181" s="3" t="s">
        <v>3165</v>
      </c>
      <c r="B181" s="10">
        <f>DATE(2026,3,20)</f>
        <v>46101</v>
      </c>
      <c r="C181" s="4">
        <v>46112</v>
      </c>
      <c r="D181" s="3" t="str">
        <f>"P-" &amp; TEXT(VALUE(SUBSTITUTE(SUBSTITUTE(SUBSTITUTE(UPPER(TRIM('Sales_RAW(BEFORE)'!D187)), "P", ""), "-", ""), "_", "")),"000")</f>
        <v>P-050</v>
      </c>
      <c r="E181" s="3" t="str">
        <f>VLOOKUP(D181,Product_List!$A$2:$B$61,2,FALSE)</f>
        <v>License X 50</v>
      </c>
      <c r="F181" s="3" t="str">
        <f>_xlfn.XLOOKUP(E181,Product_List!$B$2:$B$61,Product_List!$E$2:$E$61,2)</f>
        <v>BestParts</v>
      </c>
      <c r="G181" s="3" t="str">
        <f>VLOOKUP(E181,Product_List!$B$2:$C$61,2,FALSE)</f>
        <v>Equipment</v>
      </c>
      <c r="H181" s="3" t="str">
        <f>SUBSTITUTE(SUBSTITUTE('Sales_RAW(BEFORE)'!G187,"kom",""),".","")</f>
        <v>19</v>
      </c>
      <c r="I181" s="6">
        <f>VLOOKUP(E181,Product_List!$B$2:$D$61,3,FALSE)</f>
        <v>39.53</v>
      </c>
      <c r="J181" s="5">
        <f>IF(IFERROR(VALUE(SUBSTITUTE(SUBSTITUTE(TRIM('Sales_RAW(BEFORE)'!I187), "%", ""), ",", ".")), 0) &gt; 1, IFERROR(VALUE(SUBSTITUTE(SUBSTITUTE(TRIM('Sales_RAW(BEFORE)'!I187), "%", ""), ",", ".")), 0) / 100, IFERROR(VALUE(SUBSTITUTE(SUBSTITUTE(TRIM('Sales_RAW(BEFORE)'!I187), "%", ""), ",", ".")), 0))</f>
        <v>0</v>
      </c>
      <c r="K181" s="6">
        <f t="shared" si="10"/>
        <v>751.07</v>
      </c>
      <c r="L181" s="6" t="str" cm="1">
        <f t="array" ref="L181">_xlfn.LET(
  _xlpm.valuta, UPPER(TRIM('Sales_RAW(BEFORE)'!K187)),
  _xlfn.IFS(
    _xlpm.valuta = "", "",
    OR(_xlpm.valuta = "USD", _xlpm.valuta = "$"), "$",
    OR(_xlpm.valuta = "EUR", _xlpm.valuta = "€"), "€",
    TRUE, _xlpm.valuta
  )
)</f>
        <v>$</v>
      </c>
      <c r="M181" s="3" t="str">
        <f>"E" &amp; TEXT(VALUE(SUBSTITUTE(SUBSTITUTE(SUBSTITUTE(UPPER(TRIM('Sales_RAW(BEFORE)'!L187)), "EMP", ""), "E", ""), "-", "")),"000")</f>
        <v>E014</v>
      </c>
      <c r="N181" s="3" t="str">
        <f>_xlfn.XLOOKUP(M181,Employees!$D$2:$D$26,Employees!$A$2:$A$26)</f>
        <v>Sophia Brown</v>
      </c>
      <c r="O181" s="3" t="str">
        <f>_xlfn.XLOOKUP(N181,Employees!$A$2:$A$26,Employees!$C$2:$C$26,2)</f>
        <v>Online</v>
      </c>
      <c r="P181" s="3" t="str">
        <f>PROPER('Sales_RAW(BEFORE)'!N187)</f>
        <v>South</v>
      </c>
      <c r="Q181" s="3" t="str">
        <f>VLOOKUP(N181,Employees!$A$2:$B$26,2,FALSE)</f>
        <v>New York</v>
      </c>
      <c r="R181" s="3" t="str">
        <f>PROPER('Sales_RAW(BEFORE)'!P187)</f>
        <v>Acme Llc</v>
      </c>
      <c r="S181" s="3" t="str">
        <f>SUBSTITUTE(SUBSTITUTE('Sales_RAW(BEFORE)'!Q187,"EIN",""),":","")</f>
        <v>506760211</v>
      </c>
      <c r="T181" s="3" t="s">
        <v>201</v>
      </c>
      <c r="U181" s="3" t="s">
        <v>3172</v>
      </c>
      <c r="V181" s="3" t="s">
        <v>3173</v>
      </c>
      <c r="W181" s="3" t="s">
        <v>3174</v>
      </c>
      <c r="X181" s="3" t="s">
        <v>173</v>
      </c>
      <c r="Y181" s="3" t="str">
        <f>PROPER('Sales_RAW(BEFORE)'!W187)</f>
        <v>Wire Transfer</v>
      </c>
      <c r="Z181" s="3" t="str">
        <f>PROPER('Sales_RAW(BEFORE)'!X187)</f>
        <v>Cancelled</v>
      </c>
      <c r="AA181" s="3" t="str" cm="1">
        <f t="array" ref="AA181">_xlfn.LET(
  _xlpm.val, TRIM(LOWER('Sales_RAW(BEFORE)'!Y187)),
  _xlfn.IFS(
    OR(_xlpm.val="yes", _xlpm.val="paid"), "Paid",
    OR(_xlpm.val="no", _xlpm.val="unpaid"), "Unpaid",
    OR(_xlpm.val="partial", _xlpm.val="partial paid"), "Partial",
    _xlpm.val="", "",
    TRUE, 'Sales_RAW(BEFORE)'!AY187
  )
)</f>
        <v>Unpaid</v>
      </c>
      <c r="AB181" s="3" t="s">
        <v>3175</v>
      </c>
      <c r="AC181" s="3" t="str">
        <f>PROPER('Sales_RAW(BEFORE)'!AA187)</f>
        <v>Store</v>
      </c>
      <c r="AD181" s="3" t="str">
        <f>SUBSTITUTE(SUBSTITUTE(SUBSTITUTE(SUBSTITUTE('Sales_RAW(BEFORE)'!AB187,"st",""),"q",""),"Q",""),"uarter","")</f>
        <v>1</v>
      </c>
      <c r="AE181" s="3" t="str">
        <f>TEXT(IFERROR(DATEVALUE('Sales_RAW(BEFORE)'!AC187 &amp; " 1"), IFERROR(DATE(2025, 'Sales_RAW(BEFORE)'!AC187, 1), 'Sales_RAW(BEFORE)'!AC187)), "mmmm")</f>
        <v>March</v>
      </c>
      <c r="AF181" s="3">
        <f>_xlfn.LET(
  _xlpm.raw, TRIM(SUBSTITUTE('Sales_RAW(BEFORE)'!AD187, "'", "")),
  _xlpm.num, IFERROR(VALUE(_xlpm.raw), 0),
  IF(_xlpm.num &lt; 100, 2000 + _xlpm.num, _xlpm.num)
)</f>
        <v>2026</v>
      </c>
      <c r="AG181" s="3" t="str">
        <f>PROPER('Sales_RAW(BEFORE)'!AE187)</f>
        <v>Immediate</v>
      </c>
      <c r="AH181" s="3" cm="1">
        <f t="array" ref="AH181">_xlfn.LET(
  _xlpm.val, LOWER(TRIM('Sales_RAW(BEFORE)'!AF187)),
  _xlfn.IFS(
    OR(_xlpm.val="", _xlpm.val="null", _xlpm.val="N/A", _xlpm.val="-", _xlpm.val="#N/A"), 0,
    ISNUMBER('Sales_RAW(BEFORE)'!AF187), 'Sales_RAW(BEFORE)'!AF187,
    TRUE, IFERROR(_xlfn.NUMBERVALUE(_xlpm.val), 0)
  )
)</f>
        <v>57</v>
      </c>
      <c r="AI181" s="5">
        <f>IF(IFERROR(VALUE(SUBSTITUTE(SUBSTITUTE(TRIM('Sales_RAW(BEFORE)'!AG187), "%", ""), ",", ".")), 0) &gt; 1, IFERROR(VALUE(SUBSTITUTE(SUBSTITUTE(TRIM('Sales_RAW(BEFORE)'!AG187), "%", ""), ",", ".")), 0) / 100, IFERROR(VALUE(SUBSTITUTE(SUBSTITUTE(TRIM('Sales_RAW(BEFORE)'!AG187), "%", ""), ",", ".")), 0))</f>
        <v>0.08</v>
      </c>
      <c r="AJ181" s="6">
        <f t="shared" si="11"/>
        <v>60.085600000000007</v>
      </c>
      <c r="AK181" s="6">
        <f t="shared" si="12"/>
        <v>811.15560000000005</v>
      </c>
      <c r="AL181" s="6">
        <f>IFERROR(VALUE(SUBSTITUTE(SUBSTITUTE(SUBSTITUTE('Sales_RAW(BEFORE)'!AJ187,"$",""),"USD",""),",",".")),0)</f>
        <v>11.43</v>
      </c>
      <c r="AM181" s="3" t="str">
        <f>SUBSTITUTE(SUBSTITUTE(PROPER('Sales_RAW(BEFORE)'!AK187), "Fed Ex", "FedEx"),"Fedex","FedEx")</f>
        <v>FedEx</v>
      </c>
      <c r="AN181" s="3" t="s">
        <v>3177</v>
      </c>
      <c r="AO181" s="3" t="str">
        <f>SUBSTITUTE('Sales_RAW(BEFORE)'!AM187,"kg","")</f>
        <v>26.21</v>
      </c>
      <c r="AP181" s="3" t="str">
        <f>_xlfn.LET(
  _xlpm.raw, UPPER(TRIM('Sales_RAW(BEFORE)'!AN187)),
  _xlpm.clean, RIGHT(_xlpm.raw, 1),
  IF(OR(_xlpm.raw="", _xlpm.raw="null"), "N/A", _xlpm.clean)
)</f>
        <v>A</v>
      </c>
      <c r="AQ181" s="3">
        <v>345</v>
      </c>
      <c r="AR181" s="3" cm="1">
        <f t="array" ref="AR181">_xlfn.LET(
  _xlpm.raw, LOWER(TRIM('Sales_RAW(BEFORE)'!AP187)),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181" s="3"/>
      <c r="AT181" s="3"/>
      <c r="AU181" s="3"/>
      <c r="AV181" s="8">
        <f>IF(IFERROR(VALUE(SUBSTITUTE(SUBSTITUTE(TRIM('Sales_RAW(BEFORE)'!AT187), "%", ""), ",", ".")), 0) &gt; 1, IFERROR(VALUE(SUBSTITUTE(SUBSTITUTE(TRIM('Sales_RAW(BEFORE)'!AT187), "%", ""), ",", ".")), 0) / 100, IFERROR(VALUE(SUBSTITUTE(SUBSTITUTE(TRIM('Sales_RAW(BEFORE)'!AT187), "%", ""), ",", ".")), 0))</f>
        <v>0</v>
      </c>
      <c r="AW181" s="6">
        <f>BA181*(_xlfn.XLOOKUP(N181,Employees!$A$2:$A$26,Employees!$E$2:$E$26,2))</f>
        <v>21.901201200000003</v>
      </c>
      <c r="AX181" s="3" t="str">
        <f>PROPER('Sales_RAW(BEFORE)'!AV187)</f>
        <v xml:space="preserve">  Laura Williams</v>
      </c>
      <c r="AY181" s="3" t="str">
        <f t="shared" si="13"/>
        <v xml:space="preserve">  Laura Williams</v>
      </c>
      <c r="AZ181" s="3"/>
      <c r="BA181" s="24">
        <f>AK181*(1-(_xlfn.XLOOKUP(G181, Exchange_Rates!$B$8:$F$8, Exchange_Rates!$B$9:$F$9, 0)+J181))</f>
        <v>730.04004000000009</v>
      </c>
      <c r="BB181" s="7" cm="1">
        <f t="array" ref="BB181">_xlfn.LET(
  _xlpm.raw_dt, SUBSTITUTE(TRIM(C181), ".", "/"),
  _xlpm.dt, IFERROR(DATEVALUE(_xlpm.raw_dt), C181),
  _xlpm.p_code, TRIM(E181),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46477</v>
      </c>
      <c r="BC181" s="25">
        <f t="shared" si="14"/>
        <v>0</v>
      </c>
    </row>
    <row r="182" spans="1:55" ht="15.75" thickBot="1" x14ac:dyDescent="0.3">
      <c r="A182" s="3" t="s">
        <v>3180</v>
      </c>
      <c r="B182" s="10">
        <v>45879</v>
      </c>
      <c r="C182" s="4">
        <v>45882</v>
      </c>
      <c r="D182" s="3" t="str">
        <f>"P-" &amp; TEXT(VALUE(SUBSTITUTE(SUBSTITUTE(SUBSTITUTE(UPPER(TRIM('Sales_RAW(BEFORE)'!D188)), "P", ""), "-", ""), "_", "")),"000")</f>
        <v>P-054</v>
      </c>
      <c r="E182" s="3" t="str">
        <f>VLOOKUP(D182,Product_List!$A$2:$B$61,2,FALSE)</f>
        <v>Mouse Basic 54</v>
      </c>
      <c r="F182" s="3" t="str">
        <f>_xlfn.XLOOKUP(E182,Product_List!$B$2:$B$61,Product_List!$E$2:$E$61,2)</f>
        <v>OfficeHub</v>
      </c>
      <c r="G182" s="3" t="str">
        <f>VLOOKUP(E182,Product_List!$B$2:$C$61,2,FALSE)</f>
        <v>Office</v>
      </c>
      <c r="H182" s="3" t="str">
        <f>SUBSTITUTE(SUBSTITUTE('Sales_RAW(BEFORE)'!G188,"kom",""),".","")</f>
        <v xml:space="preserve">9 </v>
      </c>
      <c r="I182" s="6">
        <f>VLOOKUP(E182,Product_List!$B$2:$D$61,3,FALSE)</f>
        <v>801.23</v>
      </c>
      <c r="J182" s="5">
        <f>IF(IFERROR(VALUE(SUBSTITUTE(SUBSTITUTE(TRIM('Sales_RAW(BEFORE)'!I188), "%", ""), ",", ".")), 0) &gt; 1, IFERROR(VALUE(SUBSTITUTE(SUBSTITUTE(TRIM('Sales_RAW(BEFORE)'!I188), "%", ""), ",", ".")), 0) / 100, IFERROR(VALUE(SUBSTITUTE(SUBSTITUTE(TRIM('Sales_RAW(BEFORE)'!I188), "%", ""), ",", ".")), 0))</f>
        <v>0.1</v>
      </c>
      <c r="K182" s="6">
        <f>(H182*I182)/(HLOOKUP(AE182,Exchange_Rates!$B$1:$M$2,2,FALSE))</f>
        <v>7821.1171366594353</v>
      </c>
      <c r="L182" s="6" t="str" cm="1">
        <f t="array" ref="L182">_xlfn.LET(
  _xlpm.valuta, UPPER(TRIM('Sales_RAW(BEFORE)'!K188)),
  _xlfn.IFS(
    _xlpm.valuta = "", "",
    OR(_xlpm.valuta = "USD", _xlpm.valuta = "$"), "$",
    OR(_xlpm.valuta = "EUR", _xlpm.valuta = "€"), "€",
    TRUE, _xlpm.valuta
  )
)</f>
        <v>€</v>
      </c>
      <c r="M182" s="3" t="str">
        <f>"E" &amp; TEXT(VALUE(SUBSTITUTE(SUBSTITUTE(SUBSTITUTE(UPPER(TRIM('Sales_RAW(BEFORE)'!L188)), "EMP", ""), "E", ""), "-", "")),"000")</f>
        <v>E010</v>
      </c>
      <c r="N182" s="3" t="str">
        <f>_xlfn.XLOOKUP(M182,Employees!$D$2:$D$26,Employees!$A$2:$A$26)</f>
        <v>Olivia Anderson</v>
      </c>
      <c r="O182" s="3" t="str">
        <f>_xlfn.XLOOKUP(N182,Employees!$A$2:$A$26,Employees!$C$2:$C$26,2)</f>
        <v>Online</v>
      </c>
      <c r="P182" s="3" t="str">
        <f>PROPER('Sales_RAW(BEFORE)'!N188)</f>
        <v>North</v>
      </c>
      <c r="Q182" s="3" t="str">
        <f>VLOOKUP(N182,Employees!$A$2:$B$26,2,FALSE)</f>
        <v>Houston</v>
      </c>
      <c r="R182" s="3" t="str">
        <f>PROPER('Sales_RAW(BEFORE)'!P188)</f>
        <v xml:space="preserve">Vortex Llc   </v>
      </c>
      <c r="S182" s="3" t="str">
        <f>SUBSTITUTE(SUBSTITUTE('Sales_RAW(BEFORE)'!Q188,"EIN",""),":","")</f>
        <v xml:space="preserve"> 222967137</v>
      </c>
      <c r="T182" s="3" t="s">
        <v>99</v>
      </c>
      <c r="U182" s="3" t="s">
        <v>3185</v>
      </c>
      <c r="V182" s="3" t="s">
        <v>3186</v>
      </c>
      <c r="W182" s="3" t="s">
        <v>3187</v>
      </c>
      <c r="X182" s="3" t="s">
        <v>173</v>
      </c>
      <c r="Y182" s="3" t="str">
        <f>PROPER('Sales_RAW(BEFORE)'!W188)</f>
        <v>Wire Transfer</v>
      </c>
      <c r="Z182" s="3" t="str">
        <f>PROPER('Sales_RAW(BEFORE)'!X188)</f>
        <v>Delivered</v>
      </c>
      <c r="AA182" s="3" t="str" cm="1">
        <f t="array" ref="AA182">_xlfn.LET(
  _xlpm.val, TRIM(LOWER('Sales_RAW(BEFORE)'!Y188)),
  _xlfn.IFS(
    OR(_xlpm.val="yes", _xlpm.val="paid"), "Paid",
    OR(_xlpm.val="no", _xlpm.val="unpaid"), "Unpaid",
    OR(_xlpm.val="partial", _xlpm.val="partial paid"), "Partial",
    _xlpm.val="", "",
    TRUE, 'Sales_RAW(BEFORE)'!AY188
  )
)</f>
        <v>Unpaid</v>
      </c>
      <c r="AB182" s="3" t="s">
        <v>3188</v>
      </c>
      <c r="AC182" s="3" t="str">
        <f>PROPER('Sales_RAW(BEFORE)'!AA188)</f>
        <v>Online</v>
      </c>
      <c r="AD182" s="3" t="str">
        <f>SUBSTITUTE(SUBSTITUTE(SUBSTITUTE(SUBSTITUTE('Sales_RAW(BEFORE)'!AB188,"st",""),"q",""),"Q",""),"uarter","")</f>
        <v>3</v>
      </c>
      <c r="AE182" s="3" t="str">
        <f>TEXT(IFERROR(DATEVALUE('Sales_RAW(BEFORE)'!AC188 &amp; " 1"), IFERROR(DATE(2025, 'Sales_RAW(BEFORE)'!AC188, 1), 'Sales_RAW(BEFORE)'!AC188)), "mmmm")</f>
        <v>August</v>
      </c>
      <c r="AF182" s="3">
        <f>_xlfn.LET(
  _xlpm.raw, TRIM(SUBSTITUTE('Sales_RAW(BEFORE)'!AD188, "'", "")),
  _xlpm.num, IFERROR(VALUE(_xlpm.raw), 0),
  IF(_xlpm.num &lt; 100, 2000 + _xlpm.num, _xlpm.num)
)</f>
        <v>2025</v>
      </c>
      <c r="AG182" s="3" t="str">
        <f>PROPER('Sales_RAW(BEFORE)'!AE188)</f>
        <v>Net 60</v>
      </c>
      <c r="AH182" s="3" cm="1">
        <f t="array" ref="AH182">_xlfn.LET(
  _xlpm.val, LOWER(TRIM('Sales_RAW(BEFORE)'!AF188)),
  _xlfn.IFS(
    OR(_xlpm.val="", _xlpm.val="null", _xlpm.val="N/A", _xlpm.val="-", _xlpm.val="#N/A"), 0,
    ISNUMBER('Sales_RAW(BEFORE)'!AF188), 'Sales_RAW(BEFORE)'!AF188,
    TRUE, IFERROR(_xlfn.NUMBERVALUE(_xlpm.val), 0)
  )
)</f>
        <v>10</v>
      </c>
      <c r="AI182" s="5">
        <f>IF(IFERROR(VALUE(SUBSTITUTE(SUBSTITUTE(TRIM('Sales_RAW(BEFORE)'!AG188), "%", ""), ",", ".")), 0) &gt; 1, IFERROR(VALUE(SUBSTITUTE(SUBSTITUTE(TRIM('Sales_RAW(BEFORE)'!AG188), "%", ""), ",", ".")), 0) / 100, IFERROR(VALUE(SUBSTITUTE(SUBSTITUTE(TRIM('Sales_RAW(BEFORE)'!AG188), "%", ""), ",", ".")), 0))</f>
        <v>0.08</v>
      </c>
      <c r="AJ182" s="6">
        <f t="shared" si="11"/>
        <v>625.68937093275485</v>
      </c>
      <c r="AK182" s="6">
        <f t="shared" si="12"/>
        <v>8446.8065075921895</v>
      </c>
      <c r="AL182" s="6">
        <f>IFERROR(VALUE(SUBSTITUTE(SUBSTITUTE(SUBSTITUTE('Sales_RAW(BEFORE)'!AJ188,"$",""),"USD",""),",",".")),0)</f>
        <v>1.77</v>
      </c>
      <c r="AM182" s="3" t="str">
        <f>SUBSTITUTE(SUBSTITUTE(PROPER('Sales_RAW(BEFORE)'!AK188), "Fed Ex", "FedEx"),"Fedex","FedEx")</f>
        <v>Ups</v>
      </c>
      <c r="AN182" s="3" t="s">
        <v>3190</v>
      </c>
      <c r="AO182" s="3" t="str">
        <f>SUBSTITUTE('Sales_RAW(BEFORE)'!AM188,"kg","")</f>
        <v xml:space="preserve">7.4 </v>
      </c>
      <c r="AP182" s="3" t="str">
        <f>_xlfn.LET(
  _xlpm.raw, UPPER(TRIM('Sales_RAW(BEFORE)'!AN188)),
  _xlpm.clean, RIGHT(_xlpm.raw, 1),
  IF(OR(_xlpm.raw="", _xlpm.raw="null"), "N/A", _xlpm.clean)
)</f>
        <v>B</v>
      </c>
      <c r="AQ182" s="3">
        <v>72</v>
      </c>
      <c r="AR182" s="3" cm="1">
        <f t="array" ref="AR182">_xlfn.LET(
  _xlpm.raw, LOWER(TRIM('Sales_RAW(BEFORE)'!AP188)),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182" s="3"/>
      <c r="AT182" s="3"/>
      <c r="AU182" s="3"/>
      <c r="AV182" s="8">
        <f>IF(IFERROR(VALUE(SUBSTITUTE(SUBSTITUTE(TRIM('Sales_RAW(BEFORE)'!AT188), "%", ""), ",", ".")), 0) &gt; 1, IFERROR(VALUE(SUBSTITUTE(SUBSTITUTE(TRIM('Sales_RAW(BEFORE)'!AT188), "%", ""), ",", ".")), 0) / 100, IFERROR(VALUE(SUBSTITUTE(SUBSTITUTE(TRIM('Sales_RAW(BEFORE)'!AT188), "%", ""), ",", ".")), 0))</f>
        <v>0</v>
      </c>
      <c r="AW182" s="6">
        <f>BA182*(_xlfn.XLOOKUP(N182,Employees!$A$2:$A$26,Employees!$E$2:$E$26,2))</f>
        <v>202.72335618221257</v>
      </c>
      <c r="AX182" s="3" t="str">
        <f>PROPER('Sales_RAW(BEFORE)'!AV188)</f>
        <v>John Smith</v>
      </c>
      <c r="AY182" s="3" t="str">
        <f t="shared" si="13"/>
        <v>John Smith</v>
      </c>
      <c r="AZ182" s="3"/>
      <c r="BA182" s="24">
        <f>AK182*(1-(_xlfn.XLOOKUP(G182, Exchange_Rates!$B$8:$F$8, Exchange_Rates!$B$9:$F$9, 0)+J182))</f>
        <v>6757.4452060737522</v>
      </c>
      <c r="BB182" s="7" cm="1">
        <f t="array" ref="BB182">_xlfn.LET(
  _xlpm.raw_dt, SUBSTITUTE(TRIM(C182), ".", "/"),
  _xlpm.dt, IFERROR(DATEVALUE(_xlpm.raw_dt), C182),
  _xlpm.p_code, TRIM(E182),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46612</v>
      </c>
      <c r="BC182" s="25">
        <f t="shared" si="14"/>
        <v>0</v>
      </c>
    </row>
    <row r="183" spans="1:55" ht="15.75" thickBot="1" x14ac:dyDescent="0.3">
      <c r="A183" s="3" t="s">
        <v>3194</v>
      </c>
      <c r="B183" s="10">
        <v>46137</v>
      </c>
      <c r="C183" s="4">
        <v>46086</v>
      </c>
      <c r="D183" s="3" t="str">
        <f>"P-" &amp; TEXT(VALUE(SUBSTITUTE(SUBSTITUTE(SUBSTITUTE(UPPER(TRIM('Sales_RAW(BEFORE)'!D189)), "P", ""), "-", ""), "_", "")),"000")</f>
        <v>P-050</v>
      </c>
      <c r="E183" s="3" t="str">
        <f>VLOOKUP(D183,Product_List!$A$2:$B$61,2,FALSE)</f>
        <v>License X 50</v>
      </c>
      <c r="F183" s="3" t="str">
        <f>_xlfn.XLOOKUP(E183,Product_List!$B$2:$B$61,Product_List!$E$2:$E$61,2)</f>
        <v>BestParts</v>
      </c>
      <c r="G183" s="3" t="str">
        <f>VLOOKUP(E183,Product_List!$B$2:$C$61,2,FALSE)</f>
        <v>Equipment</v>
      </c>
      <c r="H183" s="3" t="str">
        <f>SUBSTITUTE(SUBSTITUTE('Sales_RAW(BEFORE)'!G189,"kom",""),".","")</f>
        <v>24</v>
      </c>
      <c r="I183" s="6">
        <f>VLOOKUP(E183,Product_List!$B$2:$D$61,3,FALSE)</f>
        <v>39.53</v>
      </c>
      <c r="J183" s="5">
        <f>IF(IFERROR(VALUE(SUBSTITUTE(SUBSTITUTE(TRIM('Sales_RAW(BEFORE)'!I189), "%", ""), ",", ".")), 0) &gt; 1, IFERROR(VALUE(SUBSTITUTE(SUBSTITUTE(TRIM('Sales_RAW(BEFORE)'!I189), "%", ""), ",", ".")), 0) / 100, IFERROR(VALUE(SUBSTITUTE(SUBSTITUTE(TRIM('Sales_RAW(BEFORE)'!I189), "%", ""), ",", ".")), 0))</f>
        <v>0.1</v>
      </c>
      <c r="K183" s="6">
        <f t="shared" si="10"/>
        <v>948.72</v>
      </c>
      <c r="L183" s="6" t="str" cm="1">
        <f t="array" ref="L183">_xlfn.LET(
  _xlpm.valuta, UPPER(TRIM('Sales_RAW(BEFORE)'!K189)),
  _xlfn.IFS(
    _xlpm.valuta = "", "",
    OR(_xlpm.valuta = "USD", _xlpm.valuta = "$"), "$",
    OR(_xlpm.valuta = "EUR", _xlpm.valuta = "€"), "€",
    TRUE, _xlpm.valuta
  )
)</f>
        <v>$</v>
      </c>
      <c r="M183" s="3" t="str">
        <f>"E" &amp; TEXT(VALUE(SUBSTITUTE(SUBSTITUTE(SUBSTITUTE(UPPER(TRIM('Sales_RAW(BEFORE)'!L189)), "EMP", ""), "E", ""), "-", "")),"000")</f>
        <v>E014</v>
      </c>
      <c r="N183" s="3" t="str">
        <f>_xlfn.XLOOKUP(M183,Employees!$D$2:$D$26,Employees!$A$2:$A$26)</f>
        <v>Sophia Brown</v>
      </c>
      <c r="O183" s="3" t="str">
        <f>_xlfn.XLOOKUP(N183,Employees!$A$2:$A$26,Employees!$C$2:$C$26,2)</f>
        <v>Online</v>
      </c>
      <c r="P183" s="3" t="str">
        <f>PROPER('Sales_RAW(BEFORE)'!N189)</f>
        <v>North</v>
      </c>
      <c r="Q183" s="3" t="str">
        <f>VLOOKUP(N183,Employees!$A$2:$B$26,2,FALSE)</f>
        <v>New York</v>
      </c>
      <c r="R183" s="3" t="str">
        <f>PROPER('Sales_RAW(BEFORE)'!P189)</f>
        <v>Initech Llc</v>
      </c>
      <c r="S183" s="3" t="str">
        <f>SUBSTITUTE(SUBSTITUTE('Sales_RAW(BEFORE)'!Q189,"EIN",""),":","")</f>
        <v>439573811</v>
      </c>
      <c r="T183" s="3" t="s">
        <v>935</v>
      </c>
      <c r="U183" s="3" t="s">
        <v>3199</v>
      </c>
      <c r="V183" s="3" t="s">
        <v>3200</v>
      </c>
      <c r="W183" s="3" t="s">
        <v>3201</v>
      </c>
      <c r="X183" s="3" t="s">
        <v>173</v>
      </c>
      <c r="Y183" s="3" t="str">
        <f>PROPER('Sales_RAW(BEFORE)'!W189)</f>
        <v>Cash</v>
      </c>
      <c r="Z183" s="3" t="str">
        <f>PROPER('Sales_RAW(BEFORE)'!X189)</f>
        <v>Delivered</v>
      </c>
      <c r="AA183" s="3" t="str" cm="1">
        <f t="array" ref="AA183">_xlfn.LET(
  _xlpm.val, TRIM(LOWER('Sales_RAW(BEFORE)'!Y189)),
  _xlfn.IFS(
    OR(_xlpm.val="yes", _xlpm.val="paid"), "Paid",
    OR(_xlpm.val="no", _xlpm.val="unpaid"), "Unpaid",
    OR(_xlpm.val="partial", _xlpm.val="partial paid"), "Partial",
    _xlpm.val="", "",
    TRUE, 'Sales_RAW(BEFORE)'!AY189
  )
)</f>
        <v>Paid</v>
      </c>
      <c r="AB183" s="3" t="s">
        <v>3202</v>
      </c>
      <c r="AC183" s="3" t="str">
        <f>PROPER('Sales_RAW(BEFORE)'!AA189)</f>
        <v>Web</v>
      </c>
      <c r="AD183" s="3" t="str">
        <f>SUBSTITUTE(SUBSTITUTE(SUBSTITUTE(SUBSTITUTE('Sales_RAW(BEFORE)'!AB189,"st",""),"q",""),"Q",""),"uarter","")</f>
        <v>2</v>
      </c>
      <c r="AE183" s="3" t="str">
        <f>TEXT(IFERROR(DATEVALUE('Sales_RAW(BEFORE)'!AC189 &amp; " 1"), IFERROR(DATE(2025, 'Sales_RAW(BEFORE)'!AC189, 1), 'Sales_RAW(BEFORE)'!AC189)), "mmmm")</f>
        <v>April</v>
      </c>
      <c r="AF183" s="3">
        <f>_xlfn.LET(
  _xlpm.raw, TRIM(SUBSTITUTE('Sales_RAW(BEFORE)'!AD189, "'", "")),
  _xlpm.num, IFERROR(VALUE(_xlpm.raw), 0),
  IF(_xlpm.num &lt; 100, 2000 + _xlpm.num, _xlpm.num)
)</f>
        <v>2026</v>
      </c>
      <c r="AG183" s="3" t="str">
        <f>PROPER('Sales_RAW(BEFORE)'!AE189)</f>
        <v>Net 30</v>
      </c>
      <c r="AH183" s="3" cm="1">
        <f t="array" ref="AH183">_xlfn.LET(
  _xlpm.val, LOWER(TRIM('Sales_RAW(BEFORE)'!AF189)),
  _xlfn.IFS(
    OR(_xlpm.val="", _xlpm.val="null", _xlpm.val="N/A", _xlpm.val="-", _xlpm.val="#N/A"), 0,
    ISNUMBER('Sales_RAW(BEFORE)'!AF189), 'Sales_RAW(BEFORE)'!AF189,
    TRUE, IFERROR(_xlfn.NUMBERVALUE(_xlpm.val), 0)
  )
)</f>
        <v>79</v>
      </c>
      <c r="AI183" s="5">
        <f>IF(IFERROR(VALUE(SUBSTITUTE(SUBSTITUTE(TRIM('Sales_RAW(BEFORE)'!AG189), "%", ""), ",", ".")), 0) &gt; 1, IFERROR(VALUE(SUBSTITUTE(SUBSTITUTE(TRIM('Sales_RAW(BEFORE)'!AG189), "%", ""), ",", ".")), 0) / 100, IFERROR(VALUE(SUBSTITUTE(SUBSTITUTE(TRIM('Sales_RAW(BEFORE)'!AG189), "%", ""), ",", ".")), 0))</f>
        <v>0.08</v>
      </c>
      <c r="AJ183" s="6">
        <f t="shared" si="11"/>
        <v>75.897599999999997</v>
      </c>
      <c r="AK183" s="6">
        <f t="shared" si="12"/>
        <v>1024.6176</v>
      </c>
      <c r="AL183" s="6">
        <f>IFERROR(VALUE(SUBSTITUTE(SUBSTITUTE(SUBSTITUTE('Sales_RAW(BEFORE)'!AJ189,"$",""),"USD",""),",",".")),0)</f>
        <v>24.81</v>
      </c>
      <c r="AM183" s="3" t="str">
        <f>SUBSTITUTE(SUBSTITUTE(PROPER('Sales_RAW(BEFORE)'!AK189), "Fed Ex", "FedEx"),"Fedex","FedEx")</f>
        <v>FedEx</v>
      </c>
      <c r="AN183" s="3" t="s">
        <v>3204</v>
      </c>
      <c r="AO183" s="3" t="str">
        <f>SUBSTITUTE('Sales_RAW(BEFORE)'!AM189,"kg","")</f>
        <v xml:space="preserve">24.6 </v>
      </c>
      <c r="AP183" s="3" t="str">
        <f>_xlfn.LET(
  _xlpm.raw, UPPER(TRIM('Sales_RAW(BEFORE)'!AN189)),
  _xlpm.clean, RIGHT(_xlpm.raw, 1),
  IF(OR(_xlpm.raw="", _xlpm.raw="null"), "N/A", _xlpm.clean)
)</f>
        <v>B</v>
      </c>
      <c r="AQ183" s="3">
        <v>400</v>
      </c>
      <c r="AR183" s="3" t="str" cm="1">
        <f t="array" ref="AR183">_xlfn.LET(
  _xlpm.raw, LOWER(TRIM('Sales_RAW(BEFORE)'!AP189)),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183" s="3"/>
      <c r="AT183" s="3"/>
      <c r="AU183" s="3"/>
      <c r="AV183" s="8">
        <f>IF(IFERROR(VALUE(SUBSTITUTE(SUBSTITUTE(TRIM('Sales_RAW(BEFORE)'!AT189), "%", ""), ",", ".")), 0) &gt; 1, IFERROR(VALUE(SUBSTITUTE(SUBSTITUTE(TRIM('Sales_RAW(BEFORE)'!AT189), "%", ""), ",", ".")), 0) / 100, IFERROR(VALUE(SUBSTITUTE(SUBSTITUTE(TRIM('Sales_RAW(BEFORE)'!AT189), "%", ""), ",", ".")), 0))</f>
        <v>0.3</v>
      </c>
      <c r="AW183" s="6">
        <f>BA183*(_xlfn.XLOOKUP(N183,Employees!$A$2:$A$26,Employees!$E$2:$E$26,2))</f>
        <v>24.5908224</v>
      </c>
      <c r="AX183" s="3" t="str">
        <f>PROPER('Sales_RAW(BEFORE)'!AV189)</f>
        <v>Olivia Smith</v>
      </c>
      <c r="AY183" s="3" t="str">
        <f t="shared" si="13"/>
        <v>Olivia Smith</v>
      </c>
      <c r="AZ183" s="3"/>
      <c r="BA183" s="24">
        <f>AK183*(1-(_xlfn.XLOOKUP(G183, Exchange_Rates!$B$8:$F$8, Exchange_Rates!$B$9:$F$9, 0)+J183))</f>
        <v>819.6940800000001</v>
      </c>
      <c r="BB183" s="7" cm="1">
        <f t="array" ref="BB183">_xlfn.LET(
  _xlpm.raw_dt, SUBSTITUTE(TRIM(C183), ".", "/"),
  _xlpm.dt, IFERROR(DATEVALUE(_xlpm.raw_dt), C183),
  _xlpm.p_code, TRIM(E183),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46451</v>
      </c>
      <c r="BC183" s="25">
        <f t="shared" si="14"/>
        <v>245.90822400000002</v>
      </c>
    </row>
    <row r="184" spans="1:55" ht="15.75" thickBot="1" x14ac:dyDescent="0.3">
      <c r="A184" s="3" t="s">
        <v>3207</v>
      </c>
      <c r="B184" s="10">
        <v>45916</v>
      </c>
      <c r="C184" s="4">
        <v>45930</v>
      </c>
      <c r="D184" s="3" t="str">
        <f>"P-" &amp; TEXT(VALUE(SUBSTITUTE(SUBSTITUTE(SUBSTITUTE(UPPER(TRIM('Sales_RAW(BEFORE)'!D190)), "P", ""), "-", ""), "_", "")),"000")</f>
        <v>P-019</v>
      </c>
      <c r="E184" s="3" t="str">
        <f>VLOOKUP(D184,Product_List!$A$2:$B$61,2,FALSE)</f>
        <v>Monitor Max 19</v>
      </c>
      <c r="F184" s="3" t="str">
        <f>_xlfn.XLOOKUP(E184,Product_List!$B$2:$B$61,Product_List!$E$2:$E$61,2)</f>
        <v>BestParts</v>
      </c>
      <c r="G184" s="3" t="str">
        <f>VLOOKUP(E184,Product_List!$B$2:$C$61,2,FALSE)</f>
        <v>Software</v>
      </c>
      <c r="H184" s="3" t="str">
        <f>SUBSTITUTE(SUBSTITUTE('Sales_RAW(BEFORE)'!G190,"kom",""),".","")</f>
        <v>11</v>
      </c>
      <c r="I184" s="6">
        <f>VLOOKUP(E184,Product_List!$B$2:$D$61,3,FALSE)</f>
        <v>251.62</v>
      </c>
      <c r="J184" s="5">
        <f>IF(IFERROR(VALUE(SUBSTITUTE(SUBSTITUTE(TRIM('Sales_RAW(BEFORE)'!I190), "%", ""), ",", ".")), 0) &gt; 1, IFERROR(VALUE(SUBSTITUTE(SUBSTITUTE(TRIM('Sales_RAW(BEFORE)'!I190), "%", ""), ",", ".")), 0) / 100, IFERROR(VALUE(SUBSTITUTE(SUBSTITUTE(TRIM('Sales_RAW(BEFORE)'!I190), "%", ""), ",", ".")), 0))</f>
        <v>0</v>
      </c>
      <c r="K184" s="6">
        <f t="shared" si="10"/>
        <v>2767.82</v>
      </c>
      <c r="L184" s="6" t="str" cm="1">
        <f t="array" ref="L184">_xlfn.LET(
  _xlpm.valuta, UPPER(TRIM('Sales_RAW(BEFORE)'!K190)),
  _xlfn.IFS(
    _xlpm.valuta = "", "",
    OR(_xlpm.valuta = "USD", _xlpm.valuta = "$"), "$",
    OR(_xlpm.valuta = "EUR", _xlpm.valuta = "€"), "€",
    TRUE, _xlpm.valuta
  )
)</f>
        <v>$</v>
      </c>
      <c r="M184" s="3" t="str">
        <f>"E" &amp; TEXT(VALUE(SUBSTITUTE(SUBSTITUTE(SUBSTITUTE(UPPER(TRIM('Sales_RAW(BEFORE)'!L190)), "EMP", ""), "E", ""), "-", "")),"000")</f>
        <v>E018</v>
      </c>
      <c r="N184" s="3" t="str">
        <f>_xlfn.XLOOKUP(M184,Employees!$D$2:$D$26,Employees!$A$2:$A$26)</f>
        <v>John Miller</v>
      </c>
      <c r="O184" s="3" t="str">
        <f>_xlfn.XLOOKUP(N184,Employees!$A$2:$A$26,Employees!$C$2:$C$26,2)</f>
        <v>Retail</v>
      </c>
      <c r="P184" s="3" t="str">
        <f>PROPER('Sales_RAW(BEFORE)'!N190)</f>
        <v>East</v>
      </c>
      <c r="Q184" s="3" t="str">
        <f>VLOOKUP(N184,Employees!$A$2:$B$26,2,FALSE)</f>
        <v>Houston</v>
      </c>
      <c r="R184" s="3" t="str">
        <f>PROPER('Sales_RAW(BEFORE)'!P190)</f>
        <v>Acme Ltd.</v>
      </c>
      <c r="S184" s="3" t="str">
        <f>SUBSTITUTE(SUBSTITUTE('Sales_RAW(BEFORE)'!Q190,"EIN",""),":","")</f>
        <v xml:space="preserve"> 605740117</v>
      </c>
      <c r="T184" s="3" t="s">
        <v>378</v>
      </c>
      <c r="U184" s="3" t="s">
        <v>3215</v>
      </c>
      <c r="V184" s="3" t="s">
        <v>3216</v>
      </c>
      <c r="W184" s="3" t="s">
        <v>3217</v>
      </c>
      <c r="X184" s="3" t="s">
        <v>173</v>
      </c>
      <c r="Y184" s="3" t="str">
        <f>PROPER('Sales_RAW(BEFORE)'!W190)</f>
        <v>Credit Card</v>
      </c>
      <c r="Z184" s="3" t="str">
        <f>PROPER('Sales_RAW(BEFORE)'!X190)</f>
        <v>Delivered</v>
      </c>
      <c r="AA184" s="3" t="str" cm="1">
        <f t="array" ref="AA184">_xlfn.LET(
  _xlpm.val, TRIM(LOWER('Sales_RAW(BEFORE)'!Y190)),
  _xlfn.IFS(
    OR(_xlpm.val="yes", _xlpm.val="paid"), "Paid",
    OR(_xlpm.val="no", _xlpm.val="unpaid"), "Unpaid",
    OR(_xlpm.val="partial", _xlpm.val="partial paid"), "Partial",
    _xlpm.val="", "",
    TRUE, 'Sales_RAW(BEFORE)'!AY190
  )
)</f>
        <v>Paid</v>
      </c>
      <c r="AB184" s="3" t="s">
        <v>3218</v>
      </c>
      <c r="AC184" s="3" t="str">
        <f>PROPER('Sales_RAW(BEFORE)'!AA190)</f>
        <v>Phone</v>
      </c>
      <c r="AD184" s="3" t="str">
        <f>SUBSTITUTE(SUBSTITUTE(SUBSTITUTE(SUBSTITUTE('Sales_RAW(BEFORE)'!AB190,"st",""),"q",""),"Q",""),"uarter","")</f>
        <v>3</v>
      </c>
      <c r="AE184" s="3" t="str">
        <f>TEXT(IFERROR(DATEVALUE('Sales_RAW(BEFORE)'!AC190 &amp; " 1"), IFERROR(DATE(2025, 'Sales_RAW(BEFORE)'!AC190, 1), 'Sales_RAW(BEFORE)'!AC190)), "mmmm")</f>
        <v>September</v>
      </c>
      <c r="AF184" s="3">
        <f>_xlfn.LET(
  _xlpm.raw, TRIM(SUBSTITUTE('Sales_RAW(BEFORE)'!AD190, "'", "")),
  _xlpm.num, IFERROR(VALUE(_xlpm.raw), 0),
  IF(_xlpm.num &lt; 100, 2000 + _xlpm.num, _xlpm.num)
)</f>
        <v>2025</v>
      </c>
      <c r="AG184" s="3" t="str">
        <f>PROPER('Sales_RAW(BEFORE)'!AE190)</f>
        <v>15</v>
      </c>
      <c r="AH184" s="3" cm="1">
        <f t="array" ref="AH184">_xlfn.LET(
  _xlpm.val, LOWER(TRIM('Sales_RAW(BEFORE)'!AF190)),
  _xlfn.IFS(
    OR(_xlpm.val="", _xlpm.val="null", _xlpm.val="N/A", _xlpm.val="-", _xlpm.val="#N/A"), 0,
    ISNUMBER('Sales_RAW(BEFORE)'!AF190), 'Sales_RAW(BEFORE)'!AF190,
    TRUE, IFERROR(_xlfn.NUMBERVALUE(_xlpm.val), 0)
  )
)</f>
        <v>48</v>
      </c>
      <c r="AI184" s="5">
        <f>IF(IFERROR(VALUE(SUBSTITUTE(SUBSTITUTE(TRIM('Sales_RAW(BEFORE)'!AG190), "%", ""), ",", ".")), 0) &gt; 1, IFERROR(VALUE(SUBSTITUTE(SUBSTITUTE(TRIM('Sales_RAW(BEFORE)'!AG190), "%", ""), ",", ".")), 0) / 100, IFERROR(VALUE(SUBSTITUTE(SUBSTITUTE(TRIM('Sales_RAW(BEFORE)'!AG190), "%", ""), ",", ".")), 0))</f>
        <v>0.08</v>
      </c>
      <c r="AJ184" s="6">
        <f t="shared" si="11"/>
        <v>221.42560000000003</v>
      </c>
      <c r="AK184" s="6">
        <f t="shared" si="12"/>
        <v>2989.2456000000002</v>
      </c>
      <c r="AL184" s="6">
        <f>IFERROR(VALUE(SUBSTITUTE(SUBSTITUTE(SUBSTITUTE('Sales_RAW(BEFORE)'!AJ190,"$",""),"USD",""),",",".")),0)</f>
        <v>4.54</v>
      </c>
      <c r="AM184" s="3" t="str">
        <f>SUBSTITUTE(SUBSTITUTE(PROPER('Sales_RAW(BEFORE)'!AK190), "Fed Ex", "FedEx"),"Fedex","FedEx")</f>
        <v>Ups</v>
      </c>
      <c r="AN184" s="3" t="s">
        <v>3220</v>
      </c>
      <c r="AO184" s="3" t="str">
        <f>SUBSTITUTE('Sales_RAW(BEFORE)'!AM190,"kg","")</f>
        <v>19.29</v>
      </c>
      <c r="AP184" s="3" t="str">
        <f>_xlfn.LET(
  _xlpm.raw, UPPER(TRIM('Sales_RAW(BEFORE)'!AN190)),
  _xlpm.clean, RIGHT(_xlpm.raw, 1),
  IF(OR(_xlpm.raw="", _xlpm.raw="null"), "N/A", _xlpm.clean)
)</f>
        <v>A</v>
      </c>
      <c r="AQ184" s="3">
        <v>332</v>
      </c>
      <c r="AR184" s="3" cm="1">
        <f t="array" ref="AR184">_xlfn.LET(
  _xlpm.raw, LOWER(TRIM('Sales_RAW(BEFORE)'!AP190)),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184" s="3"/>
      <c r="AT184" s="3"/>
      <c r="AU184" s="3"/>
      <c r="AV184" s="8">
        <f>IF(IFERROR(VALUE(SUBSTITUTE(SUBSTITUTE(TRIM('Sales_RAW(BEFORE)'!AT190), "%", ""), ",", ".")), 0) &gt; 1, IFERROR(VALUE(SUBSTITUTE(SUBSTITUTE(TRIM('Sales_RAW(BEFORE)'!AT190), "%", ""), ",", ".")), 0) / 100, IFERROR(VALUE(SUBSTITUTE(SUBSTITUTE(TRIM('Sales_RAW(BEFORE)'!AT190), "%", ""), ",", ".")), 0))</f>
        <v>0.18</v>
      </c>
      <c r="AW184" s="6">
        <f>BA184*(_xlfn.XLOOKUP(N184,Employees!$A$2:$A$26,Employees!$E$2:$E$26,2))</f>
        <v>50.817175200000001</v>
      </c>
      <c r="AX184" s="3" t="str">
        <f>PROPER('Sales_RAW(BEFORE)'!AV190)</f>
        <v xml:space="preserve">Emma Taylor  </v>
      </c>
      <c r="AY184" s="3" t="str">
        <f t="shared" si="13"/>
        <v xml:space="preserve">Emma Taylor  </v>
      </c>
      <c r="AZ184" s="3"/>
      <c r="BA184" s="24">
        <f>AK184*(1-(_xlfn.XLOOKUP(G184, Exchange_Rates!$B$8:$F$8, Exchange_Rates!$B$9:$F$9, 0)+J184))</f>
        <v>2540.8587600000001</v>
      </c>
      <c r="BB184" s="7" cm="1">
        <f t="array" ref="BB184">_xlfn.LET(
  _xlpm.raw_dt, SUBSTITUTE(TRIM(C184), ".", "/"),
  _xlpm.dt, IFERROR(DATEVALUE(_xlpm.raw_dt), C184),
  _xlpm.p_code, TRIM(E184),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46660</v>
      </c>
      <c r="BC184" s="25">
        <f t="shared" si="14"/>
        <v>457.35457680000002</v>
      </c>
    </row>
    <row r="185" spans="1:55" ht="15.75" thickBot="1" x14ac:dyDescent="0.3">
      <c r="A185" s="3" t="s">
        <v>3223</v>
      </c>
      <c r="B185" s="10">
        <v>46104</v>
      </c>
      <c r="C185" s="4">
        <f>DATE(2026,3,27)</f>
        <v>46108</v>
      </c>
      <c r="D185" s="3" t="str">
        <f>"P-" &amp; TEXT(VALUE(SUBSTITUTE(SUBSTITUTE(SUBSTITUTE(UPPER(TRIM('Sales_RAW(BEFORE)'!D191)), "P", ""), "-", ""), "_", "")),"000")</f>
        <v>P-004</v>
      </c>
      <c r="E185" s="3" t="str">
        <f>VLOOKUP(D185,Product_List!$A$2:$B$61,2,FALSE)</f>
        <v>Printer Plus 4</v>
      </c>
      <c r="F185" s="3" t="str">
        <f>_xlfn.XLOOKUP(E185,Product_List!$B$2:$B$61,Product_List!$E$2:$E$61,2)</f>
        <v>OfficeHub</v>
      </c>
      <c r="G185" s="3" t="str">
        <f>VLOOKUP(E185,Product_List!$B$2:$C$61,2,FALSE)</f>
        <v>Electronics</v>
      </c>
      <c r="H185" s="3" t="str">
        <f>SUBSTITUTE(SUBSTITUTE('Sales_RAW(BEFORE)'!G191,"kom",""),".","")</f>
        <v xml:space="preserve">5 </v>
      </c>
      <c r="I185" s="6">
        <f>VLOOKUP(E185,Product_List!$B$2:$D$61,3,FALSE)</f>
        <v>364.79</v>
      </c>
      <c r="J185" s="5">
        <f>IF(IFERROR(VALUE(SUBSTITUTE(SUBSTITUTE(TRIM('Sales_RAW(BEFORE)'!I191), "%", ""), ",", ".")), 0) &gt; 1, IFERROR(VALUE(SUBSTITUTE(SUBSTITUTE(TRIM('Sales_RAW(BEFORE)'!I191), "%", ""), ",", ".")), 0) / 100, IFERROR(VALUE(SUBSTITUTE(SUBSTITUTE(TRIM('Sales_RAW(BEFORE)'!I191), "%", ""), ",", ".")), 0))</f>
        <v>0.1</v>
      </c>
      <c r="K185" s="6">
        <f t="shared" si="10"/>
        <v>1823.95</v>
      </c>
      <c r="L185" s="6" t="str" cm="1">
        <f t="array" ref="L185">_xlfn.LET(
  _xlpm.valuta, UPPER(TRIM('Sales_RAW(BEFORE)'!K191)),
  _xlfn.IFS(
    _xlpm.valuta = "", "",
    OR(_xlpm.valuta = "USD", _xlpm.valuta = "$"), "$",
    OR(_xlpm.valuta = "EUR", _xlpm.valuta = "€"), "€",
    TRUE, _xlpm.valuta
  )
)</f>
        <v>$</v>
      </c>
      <c r="M185" s="3" t="str">
        <f>"E" &amp; TEXT(VALUE(SUBSTITUTE(SUBSTITUTE(SUBSTITUTE(UPPER(TRIM('Sales_RAW(BEFORE)'!L191)), "EMP", ""), "E", ""), "-", "")),"000")</f>
        <v>E009</v>
      </c>
      <c r="N185" s="3" t="str">
        <f>_xlfn.XLOOKUP(M185,Employees!$D$2:$D$26,Employees!$A$2:$A$26)</f>
        <v>Olivia Wilson</v>
      </c>
      <c r="O185" s="3" t="str">
        <f>_xlfn.XLOOKUP(N185,Employees!$A$2:$A$26,Employees!$C$2:$C$26,2)</f>
        <v>Wholesale</v>
      </c>
      <c r="P185" s="3" t="str">
        <f>PROPER('Sales_RAW(BEFORE)'!N191)</f>
        <v>South</v>
      </c>
      <c r="Q185" s="3" t="str">
        <f>VLOOKUP(N185,Employees!$A$2:$B$26,2,FALSE)</f>
        <v>Miami</v>
      </c>
      <c r="R185" s="3" t="str">
        <f>PROPER('Sales_RAW(BEFORE)'!P191)</f>
        <v xml:space="preserve"> Wayne Inc  </v>
      </c>
      <c r="S185" s="3" t="str">
        <f>SUBSTITUTE(SUBSTITUTE('Sales_RAW(BEFORE)'!Q191,"EIN",""),":","")</f>
        <v>172399890</v>
      </c>
      <c r="T185" s="3" t="s">
        <v>1178</v>
      </c>
      <c r="U185" s="3" t="s">
        <v>3232</v>
      </c>
      <c r="V185" s="3" t="s">
        <v>3233</v>
      </c>
      <c r="W185" s="3" t="s">
        <v>3234</v>
      </c>
      <c r="X185" s="3" t="s">
        <v>173</v>
      </c>
      <c r="Y185" s="3" t="str">
        <f>PROPER('Sales_RAW(BEFORE)'!W191)</f>
        <v>Credit Card</v>
      </c>
      <c r="Z185" s="3" t="str">
        <f>PROPER('Sales_RAW(BEFORE)'!X191)</f>
        <v>Delivered</v>
      </c>
      <c r="AA185" s="3" t="str" cm="1">
        <f t="array" ref="AA185">_xlfn.LET(
  _xlpm.val, TRIM(LOWER('Sales_RAW(BEFORE)'!Y191)),
  _xlfn.IFS(
    OR(_xlpm.val="yes", _xlpm.val="paid"), "Paid",
    OR(_xlpm.val="no", _xlpm.val="unpaid"), "Unpaid",
    OR(_xlpm.val="partial", _xlpm.val="partial paid"), "Partial",
    _xlpm.val="", "",
    TRUE, 'Sales_RAW(BEFORE)'!AY191
  )
)</f>
        <v>Paid</v>
      </c>
      <c r="AB185" s="3" t="s">
        <v>3235</v>
      </c>
      <c r="AC185" s="3" t="str">
        <f>PROPER('Sales_RAW(BEFORE)'!AA191)</f>
        <v>Phone</v>
      </c>
      <c r="AD185" s="3" t="str">
        <f>SUBSTITUTE(SUBSTITUTE(SUBSTITUTE(SUBSTITUTE('Sales_RAW(BEFORE)'!AB191,"st",""),"q",""),"Q",""),"uarter","")</f>
        <v>1</v>
      </c>
      <c r="AE185" s="3" t="str">
        <f>TEXT(IFERROR(DATEVALUE('Sales_RAW(BEFORE)'!AC191 &amp; " 1"), IFERROR(DATE(2025, 'Sales_RAW(BEFORE)'!AC191, 1), 'Sales_RAW(BEFORE)'!AC191)), "mmmm")</f>
        <v>March</v>
      </c>
      <c r="AF185" s="3">
        <f>_xlfn.LET(
  _xlpm.raw, TRIM(SUBSTITUTE('Sales_RAW(BEFORE)'!AD191, "'", "")),
  _xlpm.num, IFERROR(VALUE(_xlpm.raw), 0),
  IF(_xlpm.num &lt; 100, 2000 + _xlpm.num, _xlpm.num)
)</f>
        <v>2026</v>
      </c>
      <c r="AG185" s="3" t="str">
        <f>PROPER('Sales_RAW(BEFORE)'!AE191)</f>
        <v>15</v>
      </c>
      <c r="AH185" s="3" cm="1">
        <f t="array" ref="AH185">_xlfn.LET(
  _xlpm.val, LOWER(TRIM('Sales_RAW(BEFORE)'!AF191)),
  _xlfn.IFS(
    OR(_xlpm.val="", _xlpm.val="null", _xlpm.val="N/A", _xlpm.val="-", _xlpm.val="#N/A"), 0,
    ISNUMBER('Sales_RAW(BEFORE)'!AF191), 'Sales_RAW(BEFORE)'!AF191,
    TRUE, IFERROR(_xlfn.NUMBERVALUE(_xlpm.val), 0)
  )
)</f>
        <v>53</v>
      </c>
      <c r="AI185" s="5">
        <f>IF(IFERROR(VALUE(SUBSTITUTE(SUBSTITUTE(TRIM('Sales_RAW(BEFORE)'!AG191), "%", ""), ",", ".")), 0) &gt; 1, IFERROR(VALUE(SUBSTITUTE(SUBSTITUTE(TRIM('Sales_RAW(BEFORE)'!AG191), "%", ""), ",", ".")), 0) / 100, IFERROR(VALUE(SUBSTITUTE(SUBSTITUTE(TRIM('Sales_RAW(BEFORE)'!AG191), "%", ""), ",", ".")), 0))</f>
        <v>0.08</v>
      </c>
      <c r="AJ185" s="6">
        <f t="shared" si="11"/>
        <v>145.916</v>
      </c>
      <c r="AK185" s="6">
        <f t="shared" si="12"/>
        <v>1969.866</v>
      </c>
      <c r="AL185" s="6">
        <f>IFERROR(VALUE(SUBSTITUTE(SUBSTITUTE(SUBSTITUTE('Sales_RAW(BEFORE)'!AJ191,"$",""),"USD",""),",",".")),0)</f>
        <v>19.170000000000002</v>
      </c>
      <c r="AM185" s="3" t="str">
        <f>SUBSTITUTE(SUBSTITUTE(PROPER('Sales_RAW(BEFORE)'!AK191), "Fed Ex", "FedEx"),"Fedex","FedEx")</f>
        <v>Usps</v>
      </c>
      <c r="AN185" s="3" t="s">
        <v>3237</v>
      </c>
      <c r="AO185" s="3" t="str">
        <f>SUBSTITUTE('Sales_RAW(BEFORE)'!AM191,"kg","")</f>
        <v>28.35</v>
      </c>
      <c r="AP185" s="3" t="str">
        <f>_xlfn.LET(
  _xlpm.raw, UPPER(TRIM('Sales_RAW(BEFORE)'!AN191)),
  _xlpm.clean, RIGHT(_xlpm.raw, 1),
  IF(OR(_xlpm.raw="", _xlpm.raw="null"), "N/A", _xlpm.clean)
)</f>
        <v>A</v>
      </c>
      <c r="AQ185" s="3">
        <v>19</v>
      </c>
      <c r="AR185" s="3" cm="1">
        <f t="array" ref="AR185">_xlfn.LET(
  _xlpm.raw, LOWER(TRIM('Sales_RAW(BEFORE)'!AP191)),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185" s="3"/>
      <c r="AT185" s="3"/>
      <c r="AU185" s="3"/>
      <c r="AV185" s="8">
        <f>IF(IFERROR(VALUE(SUBSTITUTE(SUBSTITUTE(TRIM('Sales_RAW(BEFORE)'!AT191), "%", ""), ",", ".")), 0) &gt; 1, IFERROR(VALUE(SUBSTITUTE(SUBSTITUTE(TRIM('Sales_RAW(BEFORE)'!AT191), "%", ""), ",", ".")), 0) / 100, IFERROR(VALUE(SUBSTITUTE(SUBSTITUTE(TRIM('Sales_RAW(BEFORE)'!AT191), "%", ""), ",", ".")), 0))</f>
        <v>0.25</v>
      </c>
      <c r="AW185" s="6">
        <f>BA185*(_xlfn.XLOOKUP(N185,Employees!$A$2:$A$26,Employees!$E$2:$E$26,2))</f>
        <v>47.276783999999999</v>
      </c>
      <c r="AX185" s="3" t="str">
        <f>PROPER('Sales_RAW(BEFORE)'!AV191)</f>
        <v xml:space="preserve">  Chris Brown  </v>
      </c>
      <c r="AY185" s="3" t="str">
        <f t="shared" si="13"/>
        <v xml:space="preserve">  Chris Brown  </v>
      </c>
      <c r="AZ185" s="3"/>
      <c r="BA185" s="24">
        <f>AK185*(1-(_xlfn.XLOOKUP(G185, Exchange_Rates!$B$8:$F$8, Exchange_Rates!$B$9:$F$9, 0)+J185))</f>
        <v>1575.8928000000001</v>
      </c>
      <c r="BB185" s="7" cm="1">
        <f t="array" ref="BB185">_xlfn.LET(
  _xlpm.raw_dt, SUBSTITUTE(TRIM(C185), ".", "/"),
  _xlpm.dt, IFERROR(DATEVALUE(_xlpm.raw_dt), C185),
  _xlpm.p_code, TRIM(E185),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46839</v>
      </c>
      <c r="BC185" s="25">
        <f t="shared" si="14"/>
        <v>393.97320000000002</v>
      </c>
    </row>
    <row r="186" spans="1:55" ht="15.75" thickBot="1" x14ac:dyDescent="0.3">
      <c r="A186" s="3" t="s">
        <v>3240</v>
      </c>
      <c r="B186" s="10">
        <v>46301</v>
      </c>
      <c r="C186" s="4">
        <v>46196</v>
      </c>
      <c r="D186" s="3" t="str">
        <f>"P-" &amp; TEXT(VALUE(SUBSTITUTE(SUBSTITUTE(SUBSTITUTE(UPPER(TRIM('Sales_RAW(BEFORE)'!D192)), "P", ""), "-", ""), "_", "")),"000")</f>
        <v>P-023</v>
      </c>
      <c r="E186" s="3" t="str">
        <f>VLOOKUP(D186,Product_List!$A$2:$B$61,2,FALSE)</f>
        <v>Headphones Plus 23</v>
      </c>
      <c r="F186" s="3" t="str">
        <f>_xlfn.XLOOKUP(E186,Product_List!$B$2:$B$61,Product_List!$E$2:$E$61,2)</f>
        <v>BestParts</v>
      </c>
      <c r="G186" s="3" t="str">
        <f>VLOOKUP(E186,Product_List!$B$2:$C$61,2,FALSE)</f>
        <v>Electronics</v>
      </c>
      <c r="H186" s="3" t="str">
        <f>SUBSTITUTE(SUBSTITUTE('Sales_RAW(BEFORE)'!G192,"kom",""),".","")</f>
        <v>15</v>
      </c>
      <c r="I186" s="6">
        <f>VLOOKUP(E186,Product_List!$B$2:$D$61,3,FALSE)</f>
        <v>1260.75</v>
      </c>
      <c r="J186" s="5">
        <f>IF(IFERROR(VALUE(SUBSTITUTE(SUBSTITUTE(TRIM('Sales_RAW(BEFORE)'!I192), "%", ""), ",", ".")), 0) &gt; 1, IFERROR(VALUE(SUBSTITUTE(SUBSTITUTE(TRIM('Sales_RAW(BEFORE)'!I192), "%", ""), ",", ".")), 0) / 100, IFERROR(VALUE(SUBSTITUTE(SUBSTITUTE(TRIM('Sales_RAW(BEFORE)'!I192), "%", ""), ",", ".")), 0))</f>
        <v>0</v>
      </c>
      <c r="K186" s="6">
        <f t="shared" si="10"/>
        <v>18911.25</v>
      </c>
      <c r="L186" s="6" t="str" cm="1">
        <f t="array" ref="L186">_xlfn.LET(
  _xlpm.valuta, UPPER(TRIM('Sales_RAW(BEFORE)'!K192)),
  _xlfn.IFS(
    _xlpm.valuta = "", "",
    OR(_xlpm.valuta = "USD", _xlpm.valuta = "$"), "$",
    OR(_xlpm.valuta = "EUR", _xlpm.valuta = "€"), "€",
    TRUE, _xlpm.valuta
  )
)</f>
        <v>$</v>
      </c>
      <c r="M186" s="3" t="str">
        <f>"E" &amp; TEXT(VALUE(SUBSTITUTE(SUBSTITUTE(SUBSTITUTE(UPPER(TRIM('Sales_RAW(BEFORE)'!L192)), "EMP", ""), "E", ""), "-", "")),"000")</f>
        <v>E019</v>
      </c>
      <c r="N186" s="3" t="str">
        <f>_xlfn.XLOOKUP(M186,Employees!$D$2:$D$26,Employees!$A$2:$A$26)</f>
        <v>Sophia Taylor</v>
      </c>
      <c r="O186" s="3" t="str">
        <f>_xlfn.XLOOKUP(N186,Employees!$A$2:$A$26,Employees!$C$2:$C$26,2)</f>
        <v>Wholesale</v>
      </c>
      <c r="P186" s="3" t="str">
        <f>PROPER('Sales_RAW(BEFORE)'!N192)</f>
        <v>North</v>
      </c>
      <c r="Q186" s="3" t="str">
        <f>VLOOKUP(N186,Employees!$A$2:$B$26,2,FALSE)</f>
        <v>Los Angeles</v>
      </c>
      <c r="R186" s="3" t="str">
        <f>PROPER('Sales_RAW(BEFORE)'!P192)</f>
        <v>Initech Inc.</v>
      </c>
      <c r="S186" s="3" t="str">
        <f>SUBSTITUTE(SUBSTITUTE('Sales_RAW(BEFORE)'!Q192,"EIN",""),":","")</f>
        <v>272460801</v>
      </c>
      <c r="T186" s="3" t="s">
        <v>1708</v>
      </c>
      <c r="U186" s="3" t="s">
        <v>3248</v>
      </c>
      <c r="V186" s="3" t="s">
        <v>3249</v>
      </c>
      <c r="W186" s="3" t="s">
        <v>3250</v>
      </c>
      <c r="X186" s="3" t="s">
        <v>173</v>
      </c>
      <c r="Y186" s="3" t="str">
        <f>PROPER('Sales_RAW(BEFORE)'!W192)</f>
        <v>Wire</v>
      </c>
      <c r="Z186" s="3" t="str">
        <f>PROPER('Sales_RAW(BEFORE)'!X192)</f>
        <v>Pending</v>
      </c>
      <c r="AA186" s="3" t="str" cm="1">
        <f t="array" ref="AA186">_xlfn.LET(
  _xlpm.val, TRIM(LOWER('Sales_RAW(BEFORE)'!Y192)),
  _xlfn.IFS(
    OR(_xlpm.val="yes", _xlpm.val="paid"), "Paid",
    OR(_xlpm.val="no", _xlpm.val="unpaid"), "Unpaid",
    OR(_xlpm.val="partial", _xlpm.val="partial paid"), "Partial",
    _xlpm.val="", "",
    TRUE, 'Sales_RAW(BEFORE)'!AY192
  )
)</f>
        <v>Paid</v>
      </c>
      <c r="AB186" s="3" t="s">
        <v>3251</v>
      </c>
      <c r="AC186" s="3" t="str">
        <f>PROPER('Sales_RAW(BEFORE)'!AA192)</f>
        <v>Online</v>
      </c>
      <c r="AD186" s="3" t="str">
        <f>SUBSTITUTE(SUBSTITUTE(SUBSTITUTE(SUBSTITUTE('Sales_RAW(BEFORE)'!AB192,"st",""),"q",""),"Q",""),"uarter","")</f>
        <v>3</v>
      </c>
      <c r="AE186" s="3" t="str">
        <f>TEXT(IFERROR(DATEVALUE('Sales_RAW(BEFORE)'!AC192 &amp; " 1"), IFERROR(DATE(2025, 'Sales_RAW(BEFORE)'!AC192, 1), 'Sales_RAW(BEFORE)'!AC192)), "mmmm")</f>
        <v>June</v>
      </c>
      <c r="AF186" s="3">
        <f>_xlfn.LET(
  _xlpm.raw, TRIM(SUBSTITUTE('Sales_RAW(BEFORE)'!AD192, "'", "")),
  _xlpm.num, IFERROR(VALUE(_xlpm.raw), 0),
  IF(_xlpm.num &lt; 100, 2000 + _xlpm.num, _xlpm.num)
)</f>
        <v>2026</v>
      </c>
      <c r="AG186" s="3" t="str">
        <f>PROPER('Sales_RAW(BEFORE)'!AE192)</f>
        <v>Net 60</v>
      </c>
      <c r="AH186" s="3" cm="1">
        <f t="array" ref="AH186">_xlfn.LET(
  _xlpm.val, LOWER(TRIM('Sales_RAW(BEFORE)'!AF192)),
  _xlfn.IFS(
    OR(_xlpm.val="", _xlpm.val="null", _xlpm.val="N/A", _xlpm.val="-", _xlpm.val="#N/A"), 0,
    ISNUMBER('Sales_RAW(BEFORE)'!AF192), 'Sales_RAW(BEFORE)'!AF192,
    TRUE, IFERROR(_xlfn.NUMBERVALUE(_xlpm.val), 0)
  )
)</f>
        <v>55</v>
      </c>
      <c r="AI186" s="5">
        <f>IF(IFERROR(VALUE(SUBSTITUTE(SUBSTITUTE(TRIM('Sales_RAW(BEFORE)'!AG192), "%", ""), ",", ".")), 0) &gt; 1, IFERROR(VALUE(SUBSTITUTE(SUBSTITUTE(TRIM('Sales_RAW(BEFORE)'!AG192), "%", ""), ",", ".")), 0) / 100, IFERROR(VALUE(SUBSTITUTE(SUBSTITUTE(TRIM('Sales_RAW(BEFORE)'!AG192), "%", ""), ",", ".")), 0))</f>
        <v>0.08</v>
      </c>
      <c r="AJ186" s="6">
        <f t="shared" si="11"/>
        <v>1512.9</v>
      </c>
      <c r="AK186" s="6">
        <f t="shared" si="12"/>
        <v>20424.150000000001</v>
      </c>
      <c r="AL186" s="6">
        <f>IFERROR(VALUE(SUBSTITUTE(SUBSTITUTE(SUBSTITUTE('Sales_RAW(BEFORE)'!AJ192,"$",""),"USD",""),",",".")),0)</f>
        <v>0</v>
      </c>
      <c r="AM186" s="3" t="str">
        <f>SUBSTITUTE(SUBSTITUTE(PROPER('Sales_RAW(BEFORE)'!AK192), "Fed Ex", "FedEx"),"Fedex","FedEx")</f>
        <v>Ups</v>
      </c>
      <c r="AN186" s="3" t="s">
        <v>3252</v>
      </c>
      <c r="AO186" s="3" t="str">
        <f>SUBSTITUTE('Sales_RAW(BEFORE)'!AM192,"kg","")</f>
        <v>2,58</v>
      </c>
      <c r="AP186" s="3" t="str">
        <f>_xlfn.LET(
  _xlpm.raw, UPPER(TRIM('Sales_RAW(BEFORE)'!AN192)),
  _xlpm.clean, RIGHT(_xlpm.raw, 1),
  IF(OR(_xlpm.raw="", _xlpm.raw="null"), "N/A", _xlpm.clean)
)</f>
        <v>A</v>
      </c>
      <c r="AQ186" s="3">
        <v>2</v>
      </c>
      <c r="AR186" s="3" cm="1">
        <f t="array" ref="AR186">_xlfn.LET(
  _xlpm.raw, LOWER(TRIM('Sales_RAW(BEFORE)'!AP192)),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186" s="3"/>
      <c r="AT186" s="3"/>
      <c r="AU186" s="3"/>
      <c r="AV186" s="8">
        <f>IF(IFERROR(VALUE(SUBSTITUTE(SUBSTITUTE(TRIM('Sales_RAW(BEFORE)'!AT192), "%", ""), ",", ".")), 0) &gt; 1, IFERROR(VALUE(SUBSTITUTE(SUBSTITUTE(TRIM('Sales_RAW(BEFORE)'!AT192), "%", ""), ",", ".")), 0) / 100, IFERROR(VALUE(SUBSTITUTE(SUBSTITUTE(TRIM('Sales_RAW(BEFORE)'!AT192), "%", ""), ",", ".")), 0))</f>
        <v>0.15</v>
      </c>
      <c r="AW186" s="6">
        <f>BA186*(_xlfn.XLOOKUP(N186,Employees!$A$2:$A$26,Employees!$E$2:$E$26,2))</f>
        <v>551.45204999999999</v>
      </c>
      <c r="AX186" s="3" t="str">
        <f>PROPER('Sales_RAW(BEFORE)'!AV192)</f>
        <v xml:space="preserve"> Jessica Miller</v>
      </c>
      <c r="AY186" s="3" t="str">
        <f t="shared" si="13"/>
        <v xml:space="preserve"> Jessica Miller</v>
      </c>
      <c r="AZ186" s="3"/>
      <c r="BA186" s="24">
        <f>AK186*(1-(_xlfn.XLOOKUP(G186, Exchange_Rates!$B$8:$F$8, Exchange_Rates!$B$9:$F$9, 0)+J186))</f>
        <v>18381.735000000001</v>
      </c>
      <c r="BB186" s="7" cm="1">
        <f t="array" ref="BB186">_xlfn.LET(
  _xlpm.raw_dt, SUBSTITUTE(TRIM(C186), ".", "/"),
  _xlpm.dt, IFERROR(DATEVALUE(_xlpm.raw_dt), C186),
  _xlpm.p_code, TRIM(E186),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46927</v>
      </c>
      <c r="BC186" s="25">
        <f t="shared" si="14"/>
        <v>2757.2602499999998</v>
      </c>
    </row>
    <row r="187" spans="1:55" ht="15.75" thickBot="1" x14ac:dyDescent="0.3">
      <c r="A187" s="3" t="s">
        <v>3255</v>
      </c>
      <c r="B187" s="10">
        <v>45909</v>
      </c>
      <c r="C187" s="4">
        <v>45970</v>
      </c>
      <c r="D187" s="3" t="str">
        <f>"P-" &amp; TEXT(VALUE(SUBSTITUTE(SUBSTITUTE(SUBSTITUTE(UPPER(TRIM('Sales_RAW(BEFORE)'!D193)), "P", ""), "-", ""), "_", "")),"000")</f>
        <v>P-060</v>
      </c>
      <c r="E187" s="3" t="str">
        <f>VLOOKUP(D187,Product_List!$A$2:$B$61,2,FALSE)</f>
        <v>Desk Basic 60</v>
      </c>
      <c r="F187" s="3" t="str">
        <f>_xlfn.XLOOKUP(E187,Product_List!$B$2:$B$61,Product_List!$E$2:$E$61,2)</f>
        <v>Global Distrib</v>
      </c>
      <c r="G187" s="3" t="str">
        <f>VLOOKUP(E187,Product_List!$B$2:$C$61,2,FALSE)</f>
        <v>Electronics</v>
      </c>
      <c r="H187" s="3" t="str">
        <f>SUBSTITUTE(SUBSTITUTE('Sales_RAW(BEFORE)'!G193,"kom",""),".","")</f>
        <v>12</v>
      </c>
      <c r="I187" s="6">
        <f>VLOOKUP(E187,Product_List!$B$2:$D$61,3,FALSE)</f>
        <v>334.59</v>
      </c>
      <c r="J187" s="5">
        <f>IF(IFERROR(VALUE(SUBSTITUTE(SUBSTITUTE(TRIM('Sales_RAW(BEFORE)'!I193), "%", ""), ",", ".")), 0) &gt; 1, IFERROR(VALUE(SUBSTITUTE(SUBSTITUTE(TRIM('Sales_RAW(BEFORE)'!I193), "%", ""), ",", ".")), 0) / 100, IFERROR(VALUE(SUBSTITUTE(SUBSTITUTE(TRIM('Sales_RAW(BEFORE)'!I193), "%", ""), ",", ".")), 0))</f>
        <v>0.1</v>
      </c>
      <c r="K187" s="6">
        <f t="shared" si="10"/>
        <v>4015.08</v>
      </c>
      <c r="L187" s="6" t="str" cm="1">
        <f t="array" ref="L187">_xlfn.LET(
  _xlpm.valuta, UPPER(TRIM('Sales_RAW(BEFORE)'!K193)),
  _xlfn.IFS(
    _xlpm.valuta = "", "",
    OR(_xlpm.valuta = "USD", _xlpm.valuta = "$"), "$",
    OR(_xlpm.valuta = "EUR", _xlpm.valuta = "€"), "€",
    TRUE, _xlpm.valuta
  )
)</f>
        <v>$</v>
      </c>
      <c r="M187" s="3" t="str">
        <f>"E" &amp; TEXT(VALUE(SUBSTITUTE(SUBSTITUTE(SUBSTITUTE(UPPER(TRIM('Sales_RAW(BEFORE)'!L193)), "EMP", ""), "E", ""), "-", "")),"000")</f>
        <v>E024</v>
      </c>
      <c r="N187" s="3" t="str">
        <f>_xlfn.XLOOKUP(M187,Employees!$D$2:$D$26,Employees!$A$2:$A$26)</f>
        <v>Robert Smith</v>
      </c>
      <c r="O187" s="3" t="str">
        <f>_xlfn.XLOOKUP(N187,Employees!$A$2:$A$26,Employees!$C$2:$C$26,2)</f>
        <v>Retail</v>
      </c>
      <c r="P187" s="3" t="str">
        <f>PROPER('Sales_RAW(BEFORE)'!N193)</f>
        <v>North</v>
      </c>
      <c r="Q187" s="3" t="str">
        <f>VLOOKUP(N187,Employees!$A$2:$B$26,2,FALSE)</f>
        <v>Chicago</v>
      </c>
      <c r="R187" s="3" t="str">
        <f>PROPER('Sales_RAW(BEFORE)'!P193)</f>
        <v xml:space="preserve">Initech Inc  </v>
      </c>
      <c r="S187" s="3" t="str">
        <f>SUBSTITUTE(SUBSTITUTE('Sales_RAW(BEFORE)'!Q193,"EIN",""),":","")</f>
        <v>339310444</v>
      </c>
      <c r="T187" s="3" t="s">
        <v>994</v>
      </c>
      <c r="U187" s="3" t="s">
        <v>3262</v>
      </c>
      <c r="V187" s="3" t="s">
        <v>3263</v>
      </c>
      <c r="W187" s="3" t="s">
        <v>3264</v>
      </c>
      <c r="X187" s="3" t="s">
        <v>173</v>
      </c>
      <c r="Y187" s="3" t="str">
        <f>PROPER('Sales_RAW(BEFORE)'!W193)</f>
        <v>Credit Card</v>
      </c>
      <c r="Z187" s="3" t="str">
        <f>PROPER('Sales_RAW(BEFORE)'!X193)</f>
        <v>Delivered</v>
      </c>
      <c r="AA187" s="3" t="str" cm="1">
        <f t="array" ref="AA187">_xlfn.LET(
  _xlpm.val, TRIM(LOWER('Sales_RAW(BEFORE)'!Y193)),
  _xlfn.IFS(
    OR(_xlpm.val="yes", _xlpm.val="paid"), "Paid",
    OR(_xlpm.val="no", _xlpm.val="unpaid"), "Unpaid",
    OR(_xlpm.val="partial", _xlpm.val="partial paid"), "Partial",
    _xlpm.val="", "",
    TRUE, 'Sales_RAW(BEFORE)'!AY193
  )
)</f>
        <v>Partial</v>
      </c>
      <c r="AB187" s="3" t="s">
        <v>3265</v>
      </c>
      <c r="AC187" s="3" t="str">
        <f>PROPER('Sales_RAW(BEFORE)'!AA193)</f>
        <v>Store</v>
      </c>
      <c r="AD187" s="3" t="str">
        <f>SUBSTITUTE(SUBSTITUTE(SUBSTITUTE(SUBSTITUTE('Sales_RAW(BEFORE)'!AB193,"st",""),"q",""),"Q",""),"uarter","")</f>
        <v xml:space="preserve">1 </v>
      </c>
      <c r="AE187" s="3" t="str">
        <f>TEXT(IFERROR(DATEVALUE('Sales_RAW(BEFORE)'!AC193 &amp; " 1"), IFERROR(DATE(2025, 'Sales_RAW(BEFORE)'!AC193, 1), 'Sales_RAW(BEFORE)'!AC193)), "mmmm")</f>
        <v>September</v>
      </c>
      <c r="AF187" s="3">
        <f>_xlfn.LET(
  _xlpm.raw, TRIM(SUBSTITUTE('Sales_RAW(BEFORE)'!AD193, "'", "")),
  _xlpm.num, IFERROR(VALUE(_xlpm.raw), 0),
  IF(_xlpm.num &lt; 100, 2000 + _xlpm.num, _xlpm.num)
)</f>
        <v>2025</v>
      </c>
      <c r="AG187" s="3" t="str">
        <f>PROPER('Sales_RAW(BEFORE)'!AE193)</f>
        <v>Immediate</v>
      </c>
      <c r="AH187" s="3" cm="1">
        <f t="array" ref="AH187">_xlfn.LET(
  _xlpm.val, LOWER(TRIM('Sales_RAW(BEFORE)'!AF193)),
  _xlfn.IFS(
    OR(_xlpm.val="", _xlpm.val="null", _xlpm.val="N/A", _xlpm.val="-", _xlpm.val="#N/A"), 0,
    ISNUMBER('Sales_RAW(BEFORE)'!AF193), 'Sales_RAW(BEFORE)'!AF193,
    TRUE, IFERROR(_xlfn.NUMBERVALUE(_xlpm.val), 0)
  )
)</f>
        <v>0</v>
      </c>
      <c r="AI187" s="5">
        <f>IF(IFERROR(VALUE(SUBSTITUTE(SUBSTITUTE(TRIM('Sales_RAW(BEFORE)'!AG193), "%", ""), ",", ".")), 0) &gt; 1, IFERROR(VALUE(SUBSTITUTE(SUBSTITUTE(TRIM('Sales_RAW(BEFORE)'!AG193), "%", ""), ",", ".")), 0) / 100, IFERROR(VALUE(SUBSTITUTE(SUBSTITUTE(TRIM('Sales_RAW(BEFORE)'!AG193), "%", ""), ",", ".")), 0))</f>
        <v>0.08</v>
      </c>
      <c r="AJ187" s="6">
        <f t="shared" si="11"/>
        <v>321.20639999999997</v>
      </c>
      <c r="AK187" s="6">
        <f t="shared" si="12"/>
        <v>4336.2864</v>
      </c>
      <c r="AL187" s="6">
        <f>IFERROR(VALUE(SUBSTITUTE(SUBSTITUTE(SUBSTITUTE('Sales_RAW(BEFORE)'!AJ193,"$",""),"USD",""),",",".")),0)</f>
        <v>45.83</v>
      </c>
      <c r="AM187" s="3" t="str">
        <f>SUBSTITUTE(SUBSTITUTE(PROPER('Sales_RAW(BEFORE)'!AK193), "Fed Ex", "FedEx"),"Fedex","FedEx")</f>
        <v>Dhl</v>
      </c>
      <c r="AN187" s="3" t="s">
        <v>3266</v>
      </c>
      <c r="AO187" s="3" t="str">
        <f>SUBSTITUTE('Sales_RAW(BEFORE)'!AM193,"kg","")</f>
        <v>18,14</v>
      </c>
      <c r="AP187" s="3" t="str">
        <f>_xlfn.LET(
  _xlpm.raw, UPPER(TRIM('Sales_RAW(BEFORE)'!AN193)),
  _xlpm.clean, RIGHT(_xlpm.raw, 1),
  IF(OR(_xlpm.raw="", _xlpm.raw="null"), "N/A", _xlpm.clean)
)</f>
        <v>C</v>
      </c>
      <c r="AQ187" s="3">
        <v>210</v>
      </c>
      <c r="AR187" s="3" cm="1">
        <f t="array" ref="AR187">_xlfn.LET(
  _xlpm.raw, LOWER(TRIM('Sales_RAW(BEFORE)'!AP193)),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87" s="3"/>
      <c r="AT187" s="3"/>
      <c r="AU187" s="3"/>
      <c r="AV187" s="8">
        <f>IF(IFERROR(VALUE(SUBSTITUTE(SUBSTITUTE(TRIM('Sales_RAW(BEFORE)'!AT193), "%", ""), ",", ".")), 0) &gt; 1, IFERROR(VALUE(SUBSTITUTE(SUBSTITUTE(TRIM('Sales_RAW(BEFORE)'!AT193), "%", ""), ",", ".")), 0) / 100, IFERROR(VALUE(SUBSTITUTE(SUBSTITUTE(TRIM('Sales_RAW(BEFORE)'!AT193), "%", ""), ",", ".")), 0))</f>
        <v>0.25</v>
      </c>
      <c r="AW187" s="6">
        <f>BA187*(_xlfn.XLOOKUP(N187,Employees!$A$2:$A$26,Employees!$E$2:$E$26,2))</f>
        <v>69.380582400000009</v>
      </c>
      <c r="AX187" s="3" t="str">
        <f>PROPER('Sales_RAW(BEFORE)'!AV193)</f>
        <v xml:space="preserve">Laura Jones   </v>
      </c>
      <c r="AY187" s="3" t="str">
        <f t="shared" si="13"/>
        <v xml:space="preserve">Laura Jones   </v>
      </c>
      <c r="AZ187" s="3"/>
      <c r="BA187" s="24">
        <f>AK187*(1-(_xlfn.XLOOKUP(G187, Exchange_Rates!$B$8:$F$8, Exchange_Rates!$B$9:$F$9, 0)+J187))</f>
        <v>3469.0291200000001</v>
      </c>
      <c r="BB187" s="7" cm="1">
        <f t="array" ref="BB187">_xlfn.LET(
  _xlpm.raw_dt, SUBSTITUTE(TRIM(C187), ".", "/"),
  _xlpm.dt, IFERROR(DATEVALUE(_xlpm.raw_dt), C187),
  _xlpm.p_code, TRIM(E187),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47066</v>
      </c>
      <c r="BC187" s="25">
        <f t="shared" si="14"/>
        <v>867.25728000000004</v>
      </c>
    </row>
    <row r="188" spans="1:55" ht="15.75" thickBot="1" x14ac:dyDescent="0.3">
      <c r="A188" s="3" t="s">
        <v>3270</v>
      </c>
      <c r="B188" s="10">
        <f>DATE(2025,12,5)</f>
        <v>45996</v>
      </c>
      <c r="C188" s="4">
        <v>46007</v>
      </c>
      <c r="D188" s="3" t="str">
        <f>"P-" &amp; TEXT(VALUE(SUBSTITUTE(SUBSTITUTE(SUBSTITUTE(UPPER(TRIM('Sales_RAW(BEFORE)'!D194)), "P", ""), "-", ""), "_", "")),"000")</f>
        <v>P-055</v>
      </c>
      <c r="E188" s="3" t="str">
        <f>VLOOKUP(D188,Product_List!$A$2:$B$61,2,FALSE)</f>
        <v>Cable Basic 55</v>
      </c>
      <c r="F188" s="3" t="str">
        <f>_xlfn.XLOOKUP(E188,Product_List!$B$2:$B$61,Product_List!$E$2:$E$61,2)</f>
        <v>BestParts</v>
      </c>
      <c r="G188" s="3" t="str">
        <f>VLOOKUP(E188,Product_List!$B$2:$C$61,2,FALSE)</f>
        <v>Office</v>
      </c>
      <c r="H188" s="3" t="str">
        <f>SUBSTITUTE(SUBSTITUTE('Sales_RAW(BEFORE)'!G194,"kom",""),".","")</f>
        <v>13</v>
      </c>
      <c r="I188" s="6">
        <f>VLOOKUP(E188,Product_List!$B$2:$D$61,3,FALSE)</f>
        <v>921.78</v>
      </c>
      <c r="J188" s="5">
        <f>IF(IFERROR(VALUE(SUBSTITUTE(SUBSTITUTE(TRIM('Sales_RAW(BEFORE)'!I194), "%", ""), ",", ".")), 0) &gt; 1, IFERROR(VALUE(SUBSTITUTE(SUBSTITUTE(TRIM('Sales_RAW(BEFORE)'!I194), "%", ""), ",", ".")), 0) / 100, IFERROR(VALUE(SUBSTITUTE(SUBSTITUTE(TRIM('Sales_RAW(BEFORE)'!I194), "%", ""), ",", ".")), 0))</f>
        <v>0.1</v>
      </c>
      <c r="K188" s="6">
        <f t="shared" si="10"/>
        <v>11983.14</v>
      </c>
      <c r="L188" s="6" t="str" cm="1">
        <f t="array" ref="L188">_xlfn.LET(
  _xlpm.valuta, UPPER(TRIM('Sales_RAW(BEFORE)'!K194)),
  _xlfn.IFS(
    _xlpm.valuta = "", "",
    OR(_xlpm.valuta = "USD", _xlpm.valuta = "$"), "$",
    OR(_xlpm.valuta = "EUR", _xlpm.valuta = "€"), "€",
    TRUE, _xlpm.valuta
  )
)</f>
        <v>$</v>
      </c>
      <c r="M188" s="3" t="str">
        <f>"E" &amp; TEXT(VALUE(SUBSTITUTE(SUBSTITUTE(SUBSTITUTE(UPPER(TRIM('Sales_RAW(BEFORE)'!L194)), "EMP", ""), "E", ""), "-", "")),"000")</f>
        <v>E012</v>
      </c>
      <c r="N188" s="3" t="str">
        <f>_xlfn.XLOOKUP(M188,Employees!$D$2:$D$26,Employees!$A$2:$A$26)</f>
        <v>John Smith</v>
      </c>
      <c r="O188" s="3" t="str">
        <f>_xlfn.XLOOKUP(N188,Employees!$A$2:$A$26,Employees!$C$2:$C$26,2)</f>
        <v>Sales</v>
      </c>
      <c r="P188" s="3" t="str">
        <f>PROPER('Sales_RAW(BEFORE)'!N194)</f>
        <v>West</v>
      </c>
      <c r="Q188" s="3" t="str">
        <f>VLOOKUP(N188,Employees!$A$2:$B$26,2,FALSE)</f>
        <v>Miami</v>
      </c>
      <c r="R188" s="3" t="str">
        <f>PROPER('Sales_RAW(BEFORE)'!P194)</f>
        <v>Stark Inc</v>
      </c>
      <c r="S188" s="3" t="str">
        <f>SUBSTITUTE(SUBSTITUTE('Sales_RAW(BEFORE)'!Q194,"EIN",""),":","")</f>
        <v>985738787</v>
      </c>
      <c r="T188" s="3" t="s">
        <v>66</v>
      </c>
      <c r="U188" s="3" t="s">
        <v>3278</v>
      </c>
      <c r="V188" s="3" t="s">
        <v>3279</v>
      </c>
      <c r="W188" s="3" t="s">
        <v>3280</v>
      </c>
      <c r="X188" s="3" t="s">
        <v>173</v>
      </c>
      <c r="Y188" s="3" t="str">
        <f>PROPER('Sales_RAW(BEFORE)'!W194)</f>
        <v>Credit Card</v>
      </c>
      <c r="Z188" s="3" t="str">
        <f>PROPER('Sales_RAW(BEFORE)'!X194)</f>
        <v>Delivered</v>
      </c>
      <c r="AA188" s="3" t="str" cm="1">
        <f t="array" ref="AA188">_xlfn.LET(
  _xlpm.val, TRIM(LOWER('Sales_RAW(BEFORE)'!Y194)),
  _xlfn.IFS(
    OR(_xlpm.val="yes", _xlpm.val="paid"), "Paid",
    OR(_xlpm.val="no", _xlpm.val="unpaid"), "Unpaid",
    OR(_xlpm.val="partial", _xlpm.val="partial paid"), "Partial",
    _xlpm.val="", "",
    TRUE, 'Sales_RAW(BEFORE)'!AY194
  )
)</f>
        <v>Partial</v>
      </c>
      <c r="AB188" s="3" t="s">
        <v>3281</v>
      </c>
      <c r="AC188" s="3" t="str">
        <f>PROPER('Sales_RAW(BEFORE)'!AA194)</f>
        <v>Online</v>
      </c>
      <c r="AD188" s="3" t="str">
        <f>SUBSTITUTE(SUBSTITUTE(SUBSTITUTE(SUBSTITUTE('Sales_RAW(BEFORE)'!AB194,"st",""),"q",""),"Q",""),"uarter","")</f>
        <v xml:space="preserve">1 </v>
      </c>
      <c r="AE188" s="3" t="str">
        <f>TEXT(IFERROR(DATEVALUE('Sales_RAW(BEFORE)'!AC194 &amp; " 1"), IFERROR(DATE(2025, 'Sales_RAW(BEFORE)'!AC194, 1), 'Sales_RAW(BEFORE)'!AC194)), "mmmm")</f>
        <v>December</v>
      </c>
      <c r="AF188" s="3">
        <f>_xlfn.LET(
  _xlpm.raw, TRIM(SUBSTITUTE('Sales_RAW(BEFORE)'!AD194, "'", "")),
  _xlpm.num, IFERROR(VALUE(_xlpm.raw), 0),
  IF(_xlpm.num &lt; 100, 2000 + _xlpm.num, _xlpm.num)
)</f>
        <v>2025</v>
      </c>
      <c r="AG188" s="3" t="str">
        <f>PROPER('Sales_RAW(BEFORE)'!AE194)</f>
        <v>15</v>
      </c>
      <c r="AH188" s="3" cm="1">
        <f t="array" ref="AH188">_xlfn.LET(
  _xlpm.val, LOWER(TRIM('Sales_RAW(BEFORE)'!AF194)),
  _xlfn.IFS(
    OR(_xlpm.val="", _xlpm.val="null", _xlpm.val="N/A", _xlpm.val="-", _xlpm.val="#N/A"), 0,
    ISNUMBER('Sales_RAW(BEFORE)'!AF194), 'Sales_RAW(BEFORE)'!AF194,
    TRUE, IFERROR(_xlfn.NUMBERVALUE(_xlpm.val), 0)
  )
)</f>
        <v>0</v>
      </c>
      <c r="AI188" s="5">
        <f>IF(IFERROR(VALUE(SUBSTITUTE(SUBSTITUTE(TRIM('Sales_RAW(BEFORE)'!AG194), "%", ""), ",", ".")), 0) &gt; 1, IFERROR(VALUE(SUBSTITUTE(SUBSTITUTE(TRIM('Sales_RAW(BEFORE)'!AG194), "%", ""), ",", ".")), 0) / 100, IFERROR(VALUE(SUBSTITUTE(SUBSTITUTE(TRIM('Sales_RAW(BEFORE)'!AG194), "%", ""), ",", ".")), 0))</f>
        <v>0.08</v>
      </c>
      <c r="AJ188" s="6">
        <f t="shared" si="11"/>
        <v>958.65120000000002</v>
      </c>
      <c r="AK188" s="6">
        <f t="shared" si="12"/>
        <v>12941.7912</v>
      </c>
      <c r="AL188" s="6">
        <f>IFERROR(VALUE(SUBSTITUTE(SUBSTITUTE(SUBSTITUTE('Sales_RAW(BEFORE)'!AJ194,"$",""),"USD",""),",",".")),0)</f>
        <v>20.66</v>
      </c>
      <c r="AM188" s="3" t="str">
        <f>SUBSTITUTE(SUBSTITUTE(PROPER('Sales_RAW(BEFORE)'!AK194), "Fed Ex", "FedEx"),"Fedex","FedEx")</f>
        <v>Ups</v>
      </c>
      <c r="AN188" s="3" t="s">
        <v>3284</v>
      </c>
      <c r="AO188" s="3" t="str">
        <f>SUBSTITUTE('Sales_RAW(BEFORE)'!AM194,"kg","")</f>
        <v xml:space="preserve">21.5 </v>
      </c>
      <c r="AP188" s="3" t="str">
        <f>_xlfn.LET(
  _xlpm.raw, UPPER(TRIM('Sales_RAW(BEFORE)'!AN194)),
  _xlpm.clean, RIGHT(_xlpm.raw, 1),
  IF(OR(_xlpm.raw="", _xlpm.raw="null"), "N/A", _xlpm.clean)
)</f>
        <v>A</v>
      </c>
      <c r="AQ188" s="3">
        <v>350</v>
      </c>
      <c r="AR188" s="3" t="str" cm="1">
        <f t="array" ref="AR188">_xlfn.LET(
  _xlpm.raw, LOWER(TRIM('Sales_RAW(BEFORE)'!AP194)),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188" s="3"/>
      <c r="AT188" s="3"/>
      <c r="AU188" s="3"/>
      <c r="AV188" s="8">
        <f>IF(IFERROR(VALUE(SUBSTITUTE(SUBSTITUTE(TRIM('Sales_RAW(BEFORE)'!AT194), "%", ""), ",", ".")), 0) &gt; 1, IFERROR(VALUE(SUBSTITUTE(SUBSTITUTE(TRIM('Sales_RAW(BEFORE)'!AT194), "%", ""), ",", ".")), 0) / 100, IFERROR(VALUE(SUBSTITUTE(SUBSTITUTE(TRIM('Sales_RAW(BEFORE)'!AT194), "%", ""), ",", ".")), 0))</f>
        <v>0.3</v>
      </c>
      <c r="AW188" s="6">
        <f>BA188*(_xlfn.XLOOKUP(N188,Employees!$A$2:$A$26,Employees!$E$2:$E$26,2))</f>
        <v>207.06865920000001</v>
      </c>
      <c r="AX188" s="3" t="str">
        <f>PROPER('Sales_RAW(BEFORE)'!AV194)</f>
        <v xml:space="preserve">Daniel Anderson   </v>
      </c>
      <c r="AY188" s="3" t="str">
        <f t="shared" si="13"/>
        <v xml:space="preserve">Daniel Anderson   </v>
      </c>
      <c r="AZ188" s="3"/>
      <c r="BA188" s="24">
        <f>AK188*(1-(_xlfn.XLOOKUP(G188, Exchange_Rates!$B$8:$F$8, Exchange_Rates!$B$9:$F$9, 0)+J188))</f>
        <v>10353.43296</v>
      </c>
      <c r="BB188" s="7" cm="1">
        <f t="array" ref="BB188">_xlfn.LET(
  _xlpm.raw_dt, SUBSTITUTE(TRIM(C188), ".", "/"),
  _xlpm.dt, IFERROR(DATEVALUE(_xlpm.raw_dt), C188),
  _xlpm.p_code, TRIM(E188),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46737</v>
      </c>
      <c r="BC188" s="25">
        <f t="shared" si="14"/>
        <v>3106.029888</v>
      </c>
    </row>
    <row r="189" spans="1:55" ht="15.75" thickBot="1" x14ac:dyDescent="0.3">
      <c r="A189" s="3" t="s">
        <v>3287</v>
      </c>
      <c r="B189" s="10">
        <f>DATE(2025,11,28)</f>
        <v>45989</v>
      </c>
      <c r="C189" s="4">
        <v>45993</v>
      </c>
      <c r="D189" s="3" t="str">
        <f>"P-" &amp; TEXT(VALUE(SUBSTITUTE(SUBSTITUTE(SUBSTITUTE(UPPER(TRIM('Sales_RAW(BEFORE)'!D195)), "P", ""), "-", ""), "_", "")),"000")</f>
        <v>P-028</v>
      </c>
      <c r="E189" s="3" t="str">
        <f>VLOOKUP(D189,Product_List!$A$2:$B$61,2,FALSE)</f>
        <v>Laptop X 28</v>
      </c>
      <c r="F189" s="3" t="str">
        <f>_xlfn.XLOOKUP(E189,Product_List!$B$2:$B$61,Product_List!$E$2:$E$61,2)</f>
        <v>BestParts</v>
      </c>
      <c r="G189" s="3" t="str">
        <f>VLOOKUP(E189,Product_List!$B$2:$C$61,2,FALSE)</f>
        <v>Furniture</v>
      </c>
      <c r="H189" s="3" t="str">
        <f>SUBSTITUTE(SUBSTITUTE('Sales_RAW(BEFORE)'!G195,"kom",""),".","")</f>
        <v>5</v>
      </c>
      <c r="I189" s="6">
        <f>VLOOKUP(E189,Product_List!$B$2:$D$61,3,FALSE)</f>
        <v>198.36</v>
      </c>
      <c r="J189" s="5">
        <f>IF(IFERROR(VALUE(SUBSTITUTE(SUBSTITUTE(TRIM('Sales_RAW(BEFORE)'!I195), "%", ""), ",", ".")), 0) &gt; 1, IFERROR(VALUE(SUBSTITUTE(SUBSTITUTE(TRIM('Sales_RAW(BEFORE)'!I195), "%", ""), ",", ".")), 0) / 100, IFERROR(VALUE(SUBSTITUTE(SUBSTITUTE(TRIM('Sales_RAW(BEFORE)'!I195), "%", ""), ",", ".")), 0))</f>
        <v>0</v>
      </c>
      <c r="K189" s="6">
        <f t="shared" si="10"/>
        <v>991.80000000000007</v>
      </c>
      <c r="L189" s="6" t="str" cm="1">
        <f t="array" ref="L189">_xlfn.LET(
  _xlpm.valuta, UPPER(TRIM('Sales_RAW(BEFORE)'!K195)),
  _xlfn.IFS(
    _xlpm.valuta = "", "",
    OR(_xlpm.valuta = "USD", _xlpm.valuta = "$"), "$",
    OR(_xlpm.valuta = "EUR", _xlpm.valuta = "€"), "€",
    TRUE, _xlpm.valuta
  )
)</f>
        <v>$</v>
      </c>
      <c r="M189" s="3" t="str">
        <f>"E" &amp; TEXT(VALUE(SUBSTITUTE(SUBSTITUTE(SUBSTITUTE(UPPER(TRIM('Sales_RAW(BEFORE)'!L195)), "EMP", ""), "E", ""), "-", "")),"000")</f>
        <v>E001</v>
      </c>
      <c r="N189" s="3" t="str">
        <f>_xlfn.XLOOKUP(M189,Employees!$D$2:$D$26,Employees!$A$2:$A$26)</f>
        <v>Sarah Wilson</v>
      </c>
      <c r="O189" s="3" t="str">
        <f>_xlfn.XLOOKUP(N189,Employees!$A$2:$A$26,Employees!$C$2:$C$26,2)</f>
        <v>Online</v>
      </c>
      <c r="P189" s="3" t="str">
        <f>PROPER('Sales_RAW(BEFORE)'!N195)</f>
        <v>West</v>
      </c>
      <c r="Q189" s="3" t="str">
        <f>VLOOKUP(N189,Employees!$A$2:$B$26,2,FALSE)</f>
        <v>Los Angeles</v>
      </c>
      <c r="R189" s="3" t="str">
        <f>PROPER('Sales_RAW(BEFORE)'!P195)</f>
        <v>Vortex Inc.</v>
      </c>
      <c r="S189" s="3" t="str">
        <f>SUBSTITUTE(SUBSTITUTE('Sales_RAW(BEFORE)'!Q195,"EIN",""),":","")</f>
        <v xml:space="preserve"> 454907152</v>
      </c>
      <c r="T189" s="3" t="s">
        <v>684</v>
      </c>
      <c r="U189" s="3" t="s">
        <v>3295</v>
      </c>
      <c r="V189" s="3" t="s">
        <v>3296</v>
      </c>
      <c r="W189" s="3" t="s">
        <v>3297</v>
      </c>
      <c r="X189" s="3" t="s">
        <v>173</v>
      </c>
      <c r="Y189" s="3" t="str">
        <f>PROPER('Sales_RAW(BEFORE)'!W195)</f>
        <v>Wire</v>
      </c>
      <c r="Z189" s="3" t="str">
        <f>PROPER('Sales_RAW(BEFORE)'!X195)</f>
        <v>Pending</v>
      </c>
      <c r="AA189" s="3" t="str" cm="1">
        <f t="array" ref="AA189">_xlfn.LET(
  _xlpm.val, TRIM(LOWER('Sales_RAW(BEFORE)'!Y195)),
  _xlfn.IFS(
    OR(_xlpm.val="yes", _xlpm.val="paid"), "Paid",
    OR(_xlpm.val="no", _xlpm.val="unpaid"), "Unpaid",
    OR(_xlpm.val="partial", _xlpm.val="partial paid"), "Partial",
    _xlpm.val="", "",
    TRUE, 'Sales_RAW(BEFORE)'!AY195
  )
)</f>
        <v>Paid</v>
      </c>
      <c r="AB189" s="3" t="s">
        <v>3298</v>
      </c>
      <c r="AC189" s="3" t="str">
        <f>PROPER('Sales_RAW(BEFORE)'!AA195)</f>
        <v>Online</v>
      </c>
      <c r="AD189" s="3" t="str">
        <f>SUBSTITUTE(SUBSTITUTE(SUBSTITUTE(SUBSTITUTE('Sales_RAW(BEFORE)'!AB195,"st",""),"q",""),"Q",""),"uarter","")</f>
        <v>2</v>
      </c>
      <c r="AE189" s="3" t="str">
        <f>TEXT(IFERROR(DATEVALUE('Sales_RAW(BEFORE)'!AC195 &amp; " 1"), IFERROR(DATE(2025, 'Sales_RAW(BEFORE)'!AC195, 1), 'Sales_RAW(BEFORE)'!AC195)), "mmmm")</f>
        <v>November</v>
      </c>
      <c r="AF189" s="3">
        <f>_xlfn.LET(
  _xlpm.raw, TRIM(SUBSTITUTE('Sales_RAW(BEFORE)'!AD195, "'", "")),
  _xlpm.num, IFERROR(VALUE(_xlpm.raw), 0),
  IF(_xlpm.num &lt; 100, 2000 + _xlpm.num, _xlpm.num)
)</f>
        <v>2025</v>
      </c>
      <c r="AG189" s="3" t="str">
        <f>PROPER('Sales_RAW(BEFORE)'!AE195)</f>
        <v>Net 60</v>
      </c>
      <c r="AH189" s="3" cm="1">
        <f t="array" ref="AH189">_xlfn.LET(
  _xlpm.val, LOWER(TRIM('Sales_RAW(BEFORE)'!AF195)),
  _xlfn.IFS(
    OR(_xlpm.val="", _xlpm.val="null", _xlpm.val="N/A", _xlpm.val="-", _xlpm.val="#N/A"), 0,
    ISNUMBER('Sales_RAW(BEFORE)'!AF195), 'Sales_RAW(BEFORE)'!AF195,
    TRUE, IFERROR(_xlfn.NUMBERVALUE(_xlpm.val), 0)
  )
)</f>
        <v>0</v>
      </c>
      <c r="AI189" s="5">
        <f>IF(IFERROR(VALUE(SUBSTITUTE(SUBSTITUTE(TRIM('Sales_RAW(BEFORE)'!AG195), "%", ""), ",", ".")), 0) &gt; 1, IFERROR(VALUE(SUBSTITUTE(SUBSTITUTE(TRIM('Sales_RAW(BEFORE)'!AG195), "%", ""), ",", ".")), 0) / 100, IFERROR(VALUE(SUBSTITUTE(SUBSTITUTE(TRIM('Sales_RAW(BEFORE)'!AG195), "%", ""), ",", ".")), 0))</f>
        <v>0.08</v>
      </c>
      <c r="AJ189" s="6">
        <f t="shared" si="11"/>
        <v>79.344000000000008</v>
      </c>
      <c r="AK189" s="6">
        <f t="shared" si="12"/>
        <v>1071.144</v>
      </c>
      <c r="AL189" s="6">
        <f>IFERROR(VALUE(SUBSTITUTE(SUBSTITUTE(SUBSTITUTE('Sales_RAW(BEFORE)'!AJ195,"$",""),"USD",""),",",".")),0)</f>
        <v>0</v>
      </c>
      <c r="AM189" s="3" t="str">
        <f>SUBSTITUTE(SUBSTITUTE(PROPER('Sales_RAW(BEFORE)'!AK195), "Fed Ex", "FedEx"),"Fedex","FedEx")</f>
        <v>Ups</v>
      </c>
      <c r="AN189" s="3" t="s">
        <v>3299</v>
      </c>
      <c r="AO189" s="3" t="str">
        <f>SUBSTITUTE('Sales_RAW(BEFORE)'!AM195,"kg","")</f>
        <v>2,91</v>
      </c>
      <c r="AP189" s="3" t="str">
        <f>_xlfn.LET(
  _xlpm.raw, UPPER(TRIM('Sales_RAW(BEFORE)'!AN195)),
  _xlpm.clean, RIGHT(_xlpm.raw, 1),
  IF(OR(_xlpm.raw="", _xlpm.raw="null"), "N/A", _xlpm.clean)
)</f>
        <v>C</v>
      </c>
      <c r="AQ189" s="3">
        <v>0</v>
      </c>
      <c r="AR189" s="3" cm="1">
        <f t="array" ref="AR189">_xlfn.LET(
  _xlpm.raw, LOWER(TRIM('Sales_RAW(BEFORE)'!AP195)),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189" s="3"/>
      <c r="AT189" s="3"/>
      <c r="AU189" s="3"/>
      <c r="AV189" s="8">
        <f>IF(IFERROR(VALUE(SUBSTITUTE(SUBSTITUTE(TRIM('Sales_RAW(BEFORE)'!AT195), "%", ""), ",", ".")), 0) &gt; 1, IFERROR(VALUE(SUBSTITUTE(SUBSTITUTE(TRIM('Sales_RAW(BEFORE)'!AT195), "%", ""), ",", ".")), 0) / 100, IFERROR(VALUE(SUBSTITUTE(SUBSTITUTE(TRIM('Sales_RAW(BEFORE)'!AT195), "%", ""), ",", ".")), 0))</f>
        <v>0.18</v>
      </c>
      <c r="AW189" s="6">
        <f>BA189*(_xlfn.XLOOKUP(N189,Employees!$A$2:$A$26,Employees!$E$2:$E$26,2))</f>
        <v>28.920888000000001</v>
      </c>
      <c r="AX189" s="3" t="str">
        <f>PROPER('Sales_RAW(BEFORE)'!AV195)</f>
        <v>Jessica Johnson</v>
      </c>
      <c r="AY189" s="3" t="str">
        <f t="shared" si="13"/>
        <v>Jessica Johnson</v>
      </c>
      <c r="AZ189" s="3"/>
      <c r="BA189" s="24">
        <f>AK189*(1-(_xlfn.XLOOKUP(G189, Exchange_Rates!$B$8:$F$8, Exchange_Rates!$B$9:$F$9, 0)+J189))</f>
        <v>964.02960000000007</v>
      </c>
      <c r="BB189" s="7" cm="1">
        <f t="array" ref="BB189">_xlfn.LET(
  _xlpm.raw_dt, SUBSTITUTE(TRIM(C189), ".", "/"),
  _xlpm.dt, IFERROR(DATEVALUE(_xlpm.raw_dt), C189),
  _xlpm.p_code, TRIM(E189),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47089</v>
      </c>
      <c r="BC189" s="25">
        <f t="shared" si="14"/>
        <v>173.525328</v>
      </c>
    </row>
    <row r="190" spans="1:55" ht="15.75" thickBot="1" x14ac:dyDescent="0.3">
      <c r="A190" s="3" t="s">
        <v>3303</v>
      </c>
      <c r="B190" s="10">
        <v>45723</v>
      </c>
      <c r="C190" s="4">
        <v>45845</v>
      </c>
      <c r="D190" s="3" t="str">
        <f>"P-" &amp; TEXT(VALUE(SUBSTITUTE(SUBSTITUTE(SUBSTITUTE(UPPER(TRIM('Sales_RAW(BEFORE)'!D196)), "P", ""), "-", ""), "_", "")),"000")</f>
        <v>P-021</v>
      </c>
      <c r="E190" s="3" t="str">
        <f>VLOOKUP(D190,Product_List!$A$2:$B$61,2,FALSE)</f>
        <v>Monitor Max 21</v>
      </c>
      <c r="F190" s="3" t="str">
        <f>_xlfn.XLOOKUP(E190,Product_List!$B$2:$B$61,Product_List!$E$2:$E$61,2)</f>
        <v>OfficeHub</v>
      </c>
      <c r="G190" s="3" t="str">
        <f>VLOOKUP(E190,Product_List!$B$2:$C$61,2,FALSE)</f>
        <v>Equipment</v>
      </c>
      <c r="H190" s="3" t="str">
        <f>SUBSTITUTE(SUBSTITUTE('Sales_RAW(BEFORE)'!G196,"kom",""),".","")</f>
        <v>35</v>
      </c>
      <c r="I190" s="6">
        <f>VLOOKUP(E190,Product_List!$B$2:$D$61,3,FALSE)</f>
        <v>1184.7</v>
      </c>
      <c r="J190" s="5">
        <f>IF(IFERROR(VALUE(SUBSTITUTE(SUBSTITUTE(TRIM('Sales_RAW(BEFORE)'!I196), "%", ""), ",", ".")), 0) &gt; 1, IFERROR(VALUE(SUBSTITUTE(SUBSTITUTE(TRIM('Sales_RAW(BEFORE)'!I196), "%", ""), ",", ".")), 0) / 100, IFERROR(VALUE(SUBSTITUTE(SUBSTITUTE(TRIM('Sales_RAW(BEFORE)'!I196), "%", ""), ",", ".")), 0))</f>
        <v>0.1</v>
      </c>
      <c r="K190" s="6">
        <f>(H190*I190)/(HLOOKUP(AE190,Exchange_Rates!$B$1:$M$2,2,FALSE))</f>
        <v>44394.539614561028</v>
      </c>
      <c r="L190" s="6" t="str" cm="1">
        <f t="array" ref="L190">_xlfn.LET(
  _xlpm.valuta, UPPER(TRIM('Sales_RAW(BEFORE)'!K196)),
  _xlfn.IFS(
    _xlpm.valuta = "", "",
    OR(_xlpm.valuta = "USD", _xlpm.valuta = "$"), "$",
    OR(_xlpm.valuta = "EUR", _xlpm.valuta = "€"), "€",
    TRUE, _xlpm.valuta
  )
)</f>
        <v>€</v>
      </c>
      <c r="M190" s="3" t="str">
        <f>"E" &amp; TEXT(VALUE(SUBSTITUTE(SUBSTITUTE(SUBSTITUTE(UPPER(TRIM('Sales_RAW(BEFORE)'!L196)), "EMP", ""), "E", ""), "-", "")),"000")</f>
        <v>E002</v>
      </c>
      <c r="N190" s="3" t="str">
        <f>_xlfn.XLOOKUP(M190,Employees!$D$2:$D$26,Employees!$A$2:$A$26)</f>
        <v>Sarah Wilson</v>
      </c>
      <c r="O190" s="3" t="str">
        <f>_xlfn.XLOOKUP(N190,Employees!$A$2:$A$26,Employees!$C$2:$C$26,2)</f>
        <v>Online</v>
      </c>
      <c r="P190" s="3" t="str">
        <f>PROPER('Sales_RAW(BEFORE)'!N196)</f>
        <v>North</v>
      </c>
      <c r="Q190" s="3" t="str">
        <f>VLOOKUP(N190,Employees!$A$2:$B$26,2,FALSE)</f>
        <v>Los Angeles</v>
      </c>
      <c r="R190" s="3" t="str">
        <f>PROPER('Sales_RAW(BEFORE)'!P196)</f>
        <v>Umbrella Llc</v>
      </c>
      <c r="S190" s="3" t="str">
        <f>SUBSTITUTE(SUBSTITUTE('Sales_RAW(BEFORE)'!Q196,"EIN",""),":","")</f>
        <v xml:space="preserve"> 365516179</v>
      </c>
      <c r="T190" s="3" t="s">
        <v>2076</v>
      </c>
      <c r="U190" s="3" t="s">
        <v>3309</v>
      </c>
      <c r="V190" s="3" t="s">
        <v>3310</v>
      </c>
      <c r="W190" s="3" t="s">
        <v>3311</v>
      </c>
      <c r="X190" s="3" t="s">
        <v>173</v>
      </c>
      <c r="Y190" s="3" t="str">
        <f>PROPER('Sales_RAW(BEFORE)'!W196)</f>
        <v>Credit Card</v>
      </c>
      <c r="Z190" s="3" t="str">
        <f>PROPER('Sales_RAW(BEFORE)'!X196)</f>
        <v>Delivered</v>
      </c>
      <c r="AA190" s="3" t="str" cm="1">
        <f t="array" ref="AA190">_xlfn.LET(
  _xlpm.val, TRIM(LOWER('Sales_RAW(BEFORE)'!Y196)),
  _xlfn.IFS(
    OR(_xlpm.val="yes", _xlpm.val="paid"), "Paid",
    OR(_xlpm.val="no", _xlpm.val="unpaid"), "Unpaid",
    OR(_xlpm.val="partial", _xlpm.val="partial paid"), "Partial",
    _xlpm.val="", "",
    TRUE, 'Sales_RAW(BEFORE)'!AY196
  )
)</f>
        <v>Paid</v>
      </c>
      <c r="AB190" s="3" t="s">
        <v>3312</v>
      </c>
      <c r="AC190" s="3" t="str">
        <f>PROPER('Sales_RAW(BEFORE)'!AA196)</f>
        <v>Phone</v>
      </c>
      <c r="AD190" s="3" t="str">
        <f>SUBSTITUTE(SUBSTITUTE(SUBSTITUTE(SUBSTITUTE('Sales_RAW(BEFORE)'!AB196,"st",""),"q",""),"Q",""),"uarter","")</f>
        <v>1</v>
      </c>
      <c r="AE190" s="3" t="str">
        <f>TEXT(IFERROR(DATEVALUE('Sales_RAW(BEFORE)'!AC196 &amp; " 1"), IFERROR(DATE(2025, 'Sales_RAW(BEFORE)'!AC196, 1), 'Sales_RAW(BEFORE)'!AC196)), "mmmm")</f>
        <v>July</v>
      </c>
      <c r="AF190" s="3">
        <f>_xlfn.LET(
  _xlpm.raw, TRIM(SUBSTITUTE('Sales_RAW(BEFORE)'!AD196, "'", "")),
  _xlpm.num, IFERROR(VALUE(_xlpm.raw), 0),
  IF(_xlpm.num &lt; 100, 2000 + _xlpm.num, _xlpm.num)
)</f>
        <v>2025</v>
      </c>
      <c r="AG190" s="3" t="str">
        <f>PROPER('Sales_RAW(BEFORE)'!AE196)</f>
        <v>Immediate</v>
      </c>
      <c r="AH190" s="3" cm="1">
        <f t="array" ref="AH190">_xlfn.LET(
  _xlpm.val, LOWER(TRIM('Sales_RAW(BEFORE)'!AF196)),
  _xlfn.IFS(
    OR(_xlpm.val="", _xlpm.val="null", _xlpm.val="N/A", _xlpm.val="-", _xlpm.val="#N/A"), 0,
    ISNUMBER('Sales_RAW(BEFORE)'!AF196), 'Sales_RAW(BEFORE)'!AF196,
    TRUE, IFERROR(_xlfn.NUMBERVALUE(_xlpm.val), 0)
  )
)</f>
        <v>46</v>
      </c>
      <c r="AI190" s="5">
        <f>IF(IFERROR(VALUE(SUBSTITUTE(SUBSTITUTE(TRIM('Sales_RAW(BEFORE)'!AG196), "%", ""), ",", ".")), 0) &gt; 1, IFERROR(VALUE(SUBSTITUTE(SUBSTITUTE(TRIM('Sales_RAW(BEFORE)'!AG196), "%", ""), ",", ".")), 0) / 100, IFERROR(VALUE(SUBSTITUTE(SUBSTITUTE(TRIM('Sales_RAW(BEFORE)'!AG196), "%", ""), ",", ".")), 0))</f>
        <v>0.08</v>
      </c>
      <c r="AJ190" s="6">
        <f t="shared" si="11"/>
        <v>3551.5631691648823</v>
      </c>
      <c r="AK190" s="6">
        <f t="shared" si="12"/>
        <v>47946.10278372591</v>
      </c>
      <c r="AL190" s="6">
        <f>IFERROR(VALUE(SUBSTITUTE(SUBSTITUTE(SUBSTITUTE('Sales_RAW(BEFORE)'!AJ196,"$",""),"USD",""),",",".")),0)</f>
        <v>30.59</v>
      </c>
      <c r="AM190" s="3" t="str">
        <f>SUBSTITUTE(SUBSTITUTE(PROPER('Sales_RAW(BEFORE)'!AK196), "Fed Ex", "FedEx"),"Fedex","FedEx")</f>
        <v>Dhl</v>
      </c>
      <c r="AN190" s="3" t="s">
        <v>3314</v>
      </c>
      <c r="AO190" s="3" t="str">
        <f>SUBSTITUTE('Sales_RAW(BEFORE)'!AM196,"kg","")</f>
        <v xml:space="preserve">9.4 </v>
      </c>
      <c r="AP190" s="3" t="str">
        <f>_xlfn.LET(
  _xlpm.raw, UPPER(TRIM('Sales_RAW(BEFORE)'!AN196)),
  _xlpm.clean, RIGHT(_xlpm.raw, 1),
  IF(OR(_xlpm.raw="", _xlpm.raw="null"), "N/A", _xlpm.clean)
)</f>
        <v>A</v>
      </c>
      <c r="AQ190" s="3">
        <v>8</v>
      </c>
      <c r="AR190" s="3" cm="1">
        <f t="array" ref="AR190">_xlfn.LET(
  _xlpm.raw, LOWER(TRIM('Sales_RAW(BEFORE)'!AP196)),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90" s="3"/>
      <c r="AT190" s="3"/>
      <c r="AU190" s="3"/>
      <c r="AV190" s="8">
        <f>IF(IFERROR(VALUE(SUBSTITUTE(SUBSTITUTE(TRIM('Sales_RAW(BEFORE)'!AT196), "%", ""), ",", ".")), 0) &gt; 1, IFERROR(VALUE(SUBSTITUTE(SUBSTITUTE(TRIM('Sales_RAW(BEFORE)'!AT196), "%", ""), ",", ".")), 0) / 100, IFERROR(VALUE(SUBSTITUTE(SUBSTITUTE(TRIM('Sales_RAW(BEFORE)'!AT196), "%", ""), ",", ".")), 0))</f>
        <v>0</v>
      </c>
      <c r="AW190" s="6">
        <f>BA190*(_xlfn.XLOOKUP(N190,Employees!$A$2:$A$26,Employees!$E$2:$E$26,2))</f>
        <v>1150.7064668094217</v>
      </c>
      <c r="AX190" s="3" t="str">
        <f>PROPER('Sales_RAW(BEFORE)'!AV196)</f>
        <v>Michael Davis</v>
      </c>
      <c r="AY190" s="3" t="str">
        <f t="shared" si="13"/>
        <v>Michael Davis</v>
      </c>
      <c r="AZ190" s="3"/>
      <c r="BA190" s="24">
        <f>AK190*(1-(_xlfn.XLOOKUP(G190, Exchange_Rates!$B$8:$F$8, Exchange_Rates!$B$9:$F$9, 0)+J190))</f>
        <v>38356.882226980728</v>
      </c>
      <c r="BB190" s="7" cm="1">
        <f t="array" ref="BB190">_xlfn.LET(
  _xlpm.raw_dt, SUBSTITUTE(TRIM(C190), ".", "/"),
  _xlpm.dt, IFERROR(DATEVALUE(_xlpm.raw_dt), C190),
  _xlpm.p_code, TRIM(E190),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46575</v>
      </c>
      <c r="BC190" s="25">
        <f t="shared" si="14"/>
        <v>0</v>
      </c>
    </row>
    <row r="191" spans="1:55" ht="15.75" thickBot="1" x14ac:dyDescent="0.3">
      <c r="A191" s="3" t="s">
        <v>3317</v>
      </c>
      <c r="B191" s="10">
        <v>46113</v>
      </c>
      <c r="C191" s="4">
        <v>46125</v>
      </c>
      <c r="D191" s="3" t="str">
        <f>"P-" &amp; TEXT(VALUE(SUBSTITUTE(SUBSTITUTE(SUBSTITUTE(UPPER(TRIM('Sales_RAW(BEFORE)'!D197)), "P", ""), "-", ""), "_", "")),"000")</f>
        <v>P-030</v>
      </c>
      <c r="E191" s="3" t="str">
        <f>VLOOKUP(D191,Product_List!$A$2:$B$61,2,FALSE)</f>
        <v>License Pro 30</v>
      </c>
      <c r="F191" s="3" t="str">
        <f>_xlfn.XLOOKUP(E191,Product_List!$B$2:$B$61,Product_List!$E$2:$E$61,2)</f>
        <v>BestParts</v>
      </c>
      <c r="G191" s="3" t="str">
        <f>VLOOKUP(E191,Product_List!$B$2:$C$61,2,FALSE)</f>
        <v>Office</v>
      </c>
      <c r="H191" s="3" t="str">
        <f>SUBSTITUTE(SUBSTITUTE('Sales_RAW(BEFORE)'!G197,"kom",""),".","")</f>
        <v>2</v>
      </c>
      <c r="I191" s="6">
        <f>VLOOKUP(E191,Product_List!$B$2:$D$61,3,FALSE)</f>
        <v>676.54</v>
      </c>
      <c r="J191" s="5">
        <f>IF(IFERROR(VALUE(SUBSTITUTE(SUBSTITUTE(TRIM('Sales_RAW(BEFORE)'!I197), "%", ""), ",", ".")), 0) &gt; 1, IFERROR(VALUE(SUBSTITUTE(SUBSTITUTE(TRIM('Sales_RAW(BEFORE)'!I197), "%", ""), ",", ".")), 0) / 100, IFERROR(VALUE(SUBSTITUTE(SUBSTITUTE(TRIM('Sales_RAW(BEFORE)'!I197), "%", ""), ",", ".")), 0))</f>
        <v>0.1</v>
      </c>
      <c r="K191" s="6">
        <f t="shared" ref="K191:K252" si="15">IFERROR(H191*I191,0)</f>
        <v>1353.08</v>
      </c>
      <c r="L191" s="6" t="str" cm="1">
        <f t="array" ref="L191">_xlfn.LET(
  _xlpm.valuta, UPPER(TRIM('Sales_RAW(BEFORE)'!K197)),
  _xlfn.IFS(
    _xlpm.valuta = "", "",
    OR(_xlpm.valuta = "USD", _xlpm.valuta = "$"), "$",
    OR(_xlpm.valuta = "EUR", _xlpm.valuta = "€"), "€",
    TRUE, _xlpm.valuta
  )
)</f>
        <v>$</v>
      </c>
      <c r="M191" s="3" t="str">
        <f>"E" &amp; TEXT(VALUE(SUBSTITUTE(SUBSTITUTE(SUBSTITUTE(UPPER(TRIM('Sales_RAW(BEFORE)'!L197)), "EMP", ""), "E", ""), "-", "")),"000")</f>
        <v>E013</v>
      </c>
      <c r="N191" s="3" t="str">
        <f>_xlfn.XLOOKUP(M191,Employees!$D$2:$D$26,Employees!$A$2:$A$26)</f>
        <v>Robert Williams</v>
      </c>
      <c r="O191" s="3" t="str">
        <f>_xlfn.XLOOKUP(N191,Employees!$A$2:$A$26,Employees!$C$2:$C$26,2)</f>
        <v>Wholesale</v>
      </c>
      <c r="P191" s="3" t="str">
        <f>PROPER('Sales_RAW(BEFORE)'!N197)</f>
        <v>North</v>
      </c>
      <c r="Q191" s="3" t="str">
        <f>VLOOKUP(N191,Employees!$A$2:$B$26,2,FALSE)</f>
        <v>Houston</v>
      </c>
      <c r="R191" s="3" t="str">
        <f>PROPER('Sales_RAW(BEFORE)'!P197)</f>
        <v>Wayne Ltd.</v>
      </c>
      <c r="S191" s="3" t="str">
        <f>SUBSTITUTE(SUBSTITUTE('Sales_RAW(BEFORE)'!Q197,"EIN",""),":","")</f>
        <v>574034592</v>
      </c>
      <c r="T191" s="3" t="s">
        <v>1178</v>
      </c>
      <c r="U191" s="3" t="s">
        <v>3323</v>
      </c>
      <c r="V191" s="3" t="s">
        <v>3324</v>
      </c>
      <c r="W191" s="3" t="s">
        <v>3325</v>
      </c>
      <c r="X191" s="3" t="s">
        <v>173</v>
      </c>
      <c r="Y191" s="3" t="str">
        <f>PROPER('Sales_RAW(BEFORE)'!W197)</f>
        <v>Paypal</v>
      </c>
      <c r="Z191" s="3" t="str">
        <f>PROPER('Sales_RAW(BEFORE)'!X197)</f>
        <v>Pending</v>
      </c>
      <c r="AA191" s="3" t="str" cm="1">
        <f t="array" ref="AA191">_xlfn.LET(
  _xlpm.val, TRIM(LOWER('Sales_RAW(BEFORE)'!Y197)),
  _xlfn.IFS(
    OR(_xlpm.val="yes", _xlpm.val="paid"), "Paid",
    OR(_xlpm.val="no", _xlpm.val="unpaid"), "Unpaid",
    OR(_xlpm.val="partial", _xlpm.val="partial paid"), "Partial",
    _xlpm.val="", "",
    TRUE, 'Sales_RAW(BEFORE)'!AY197
  )
)</f>
        <v>Paid</v>
      </c>
      <c r="AB191" s="3" t="s">
        <v>3326</v>
      </c>
      <c r="AC191" s="3" t="str">
        <f>PROPER('Sales_RAW(BEFORE)'!AA197)</f>
        <v>Web</v>
      </c>
      <c r="AD191" s="3" t="str">
        <f>SUBSTITUTE(SUBSTITUTE(SUBSTITUTE(SUBSTITUTE('Sales_RAW(BEFORE)'!AB197,"st",""),"q",""),"Q",""),"uarter","")</f>
        <v>2</v>
      </c>
      <c r="AE191" s="3" t="str">
        <f>TEXT(IFERROR(DATEVALUE('Sales_RAW(BEFORE)'!AC197 &amp; " 1"), IFERROR(DATE(2025, 'Sales_RAW(BEFORE)'!AC197, 1), 'Sales_RAW(BEFORE)'!AC197)), "mmmm")</f>
        <v>April</v>
      </c>
      <c r="AF191" s="3">
        <f>_xlfn.LET(
  _xlpm.raw, TRIM(SUBSTITUTE('Sales_RAW(BEFORE)'!AD197, "'", "")),
  _xlpm.num, IFERROR(VALUE(_xlpm.raw), 0),
  IF(_xlpm.num &lt; 100, 2000 + _xlpm.num, _xlpm.num)
)</f>
        <v>2026</v>
      </c>
      <c r="AG191" s="3" t="str">
        <f>PROPER('Sales_RAW(BEFORE)'!AE197)</f>
        <v>Net 60</v>
      </c>
      <c r="AH191" s="3" cm="1">
        <f t="array" ref="AH191">_xlfn.LET(
  _xlpm.val, LOWER(TRIM('Sales_RAW(BEFORE)'!AF197)),
  _xlfn.IFS(
    OR(_xlpm.val="", _xlpm.val="null", _xlpm.val="N/A", _xlpm.val="-", _xlpm.val="#N/A"), 0,
    ISNUMBER('Sales_RAW(BEFORE)'!AF197), 'Sales_RAW(BEFORE)'!AF197,
    TRUE, IFERROR(_xlfn.NUMBERVALUE(_xlpm.val), 0)
  )
)</f>
        <v>16</v>
      </c>
      <c r="AI191" s="5">
        <f>IF(IFERROR(VALUE(SUBSTITUTE(SUBSTITUTE(TRIM('Sales_RAW(BEFORE)'!AG197), "%", ""), ",", ".")), 0) &gt; 1, IFERROR(VALUE(SUBSTITUTE(SUBSTITUTE(TRIM('Sales_RAW(BEFORE)'!AG197), "%", ""), ",", ".")), 0) / 100, IFERROR(VALUE(SUBSTITUTE(SUBSTITUTE(TRIM('Sales_RAW(BEFORE)'!AG197), "%", ""), ",", ".")), 0))</f>
        <v>0.08</v>
      </c>
      <c r="AJ191" s="6">
        <f t="shared" ref="AJ191:AJ252" si="16">K191*AI191</f>
        <v>108.24639999999999</v>
      </c>
      <c r="AK191" s="6">
        <f t="shared" ref="AK191:AK252" si="17">AJ191+K191</f>
        <v>1461.3263999999999</v>
      </c>
      <c r="AL191" s="6">
        <f>IFERROR(VALUE(SUBSTITUTE(SUBSTITUTE(SUBSTITUTE('Sales_RAW(BEFORE)'!AJ197,"$",""),"USD",""),",",".")),0)</f>
        <v>18.57</v>
      </c>
      <c r="AM191" s="3" t="str">
        <f>SUBSTITUTE(SUBSTITUTE(PROPER('Sales_RAW(BEFORE)'!AK197), "Fed Ex", "FedEx"),"Fedex","FedEx")</f>
        <v>FedEx</v>
      </c>
      <c r="AN191" s="3" t="s">
        <v>3328</v>
      </c>
      <c r="AO191" s="3" t="str">
        <f>SUBSTITUTE('Sales_RAW(BEFORE)'!AM197,"kg","")</f>
        <v>15.78</v>
      </c>
      <c r="AP191" s="3" t="str">
        <f>_xlfn.LET(
  _xlpm.raw, UPPER(TRIM('Sales_RAW(BEFORE)'!AN197)),
  _xlpm.clean, RIGHT(_xlpm.raw, 1),
  IF(OR(_xlpm.raw="", _xlpm.raw="null"), "N/A", _xlpm.clean)
)</f>
        <v>B</v>
      </c>
      <c r="AQ191" s="3">
        <v>418</v>
      </c>
      <c r="AR191" s="3" cm="1">
        <f t="array" ref="AR191">_xlfn.LET(
  _xlpm.raw, LOWER(TRIM('Sales_RAW(BEFORE)'!AP197)),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191" s="3"/>
      <c r="AT191" s="3"/>
      <c r="AU191" s="3"/>
      <c r="AV191" s="8">
        <f>IF(IFERROR(VALUE(SUBSTITUTE(SUBSTITUTE(TRIM('Sales_RAW(BEFORE)'!AT197), "%", ""), ",", ".")), 0) &gt; 1, IFERROR(VALUE(SUBSTITUTE(SUBSTITUTE(TRIM('Sales_RAW(BEFORE)'!AT197), "%", ""), ",", ".")), 0) / 100, IFERROR(VALUE(SUBSTITUTE(SUBSTITUTE(TRIM('Sales_RAW(BEFORE)'!AT197), "%", ""), ",", ".")), 0))</f>
        <v>0.3</v>
      </c>
      <c r="AW191" s="6">
        <f>BA191*(_xlfn.XLOOKUP(N191,Employees!$A$2:$A$26,Employees!$E$2:$E$26,2))</f>
        <v>58.453056000000004</v>
      </c>
      <c r="AX191" s="3" t="str">
        <f>PROPER('Sales_RAW(BEFORE)'!AV197)</f>
        <v>Chris Smith</v>
      </c>
      <c r="AY191" s="3" t="str">
        <f t="shared" si="13"/>
        <v>Chris Smith</v>
      </c>
      <c r="AZ191" s="3"/>
      <c r="BA191" s="24">
        <f>AK191*(1-(_xlfn.XLOOKUP(G191, Exchange_Rates!$B$8:$F$8, Exchange_Rates!$B$9:$F$9, 0)+J191))</f>
        <v>1169.0611200000001</v>
      </c>
      <c r="BB191" s="7" cm="1">
        <f t="array" ref="BB191">_xlfn.LET(
  _xlpm.raw_dt, SUBSTITUTE(TRIM(C191), ".", "/"),
  _xlpm.dt, IFERROR(DATEVALUE(_xlpm.raw_dt), C191),
  _xlpm.p_code, TRIM(E191),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46856</v>
      </c>
      <c r="BC191" s="25">
        <f t="shared" si="14"/>
        <v>350.71833600000002</v>
      </c>
    </row>
    <row r="192" spans="1:55" ht="15.75" thickBot="1" x14ac:dyDescent="0.3">
      <c r="A192" s="3" t="s">
        <v>3331</v>
      </c>
      <c r="B192" s="10">
        <v>46148</v>
      </c>
      <c r="C192" s="4">
        <v>46300</v>
      </c>
      <c r="D192" s="3" t="str">
        <f>"P-" &amp; TEXT(VALUE(SUBSTITUTE(SUBSTITUTE(SUBSTITUTE(UPPER(TRIM('Sales_RAW(BEFORE)'!D198)), "P", ""), "-", ""), "_", "")),"000")</f>
        <v>P-028</v>
      </c>
      <c r="E192" s="3" t="str">
        <f>VLOOKUP(D192,Product_List!$A$2:$B$61,2,FALSE)</f>
        <v>Laptop X 28</v>
      </c>
      <c r="F192" s="3" t="str">
        <f>_xlfn.XLOOKUP(E192,Product_List!$B$2:$B$61,Product_List!$E$2:$E$61,2)</f>
        <v>BestParts</v>
      </c>
      <c r="G192" s="3" t="str">
        <f>VLOOKUP(E192,Product_List!$B$2:$C$61,2,FALSE)</f>
        <v>Furniture</v>
      </c>
      <c r="H192" s="3" t="str">
        <f>SUBSTITUTE(SUBSTITUTE('Sales_RAW(BEFORE)'!G198,"kom",""),".","")</f>
        <v xml:space="preserve">6 </v>
      </c>
      <c r="I192" s="6">
        <f>VLOOKUP(E192,Product_List!$B$2:$D$61,3,FALSE)</f>
        <v>198.36</v>
      </c>
      <c r="J192" s="5">
        <f>IF(IFERROR(VALUE(SUBSTITUTE(SUBSTITUTE(TRIM('Sales_RAW(BEFORE)'!I198), "%", ""), ",", ".")), 0) &gt; 1, IFERROR(VALUE(SUBSTITUTE(SUBSTITUTE(TRIM('Sales_RAW(BEFORE)'!I198), "%", ""), ",", ".")), 0) / 100, IFERROR(VALUE(SUBSTITUTE(SUBSTITUTE(TRIM('Sales_RAW(BEFORE)'!I198), "%", ""), ",", ".")), 0))</f>
        <v>0.1</v>
      </c>
      <c r="K192" s="6">
        <f t="shared" si="15"/>
        <v>1190.1600000000001</v>
      </c>
      <c r="L192" s="6" t="str" cm="1">
        <f t="array" ref="L192">_xlfn.LET(
  _xlpm.valuta, UPPER(TRIM('Sales_RAW(BEFORE)'!K198)),
  _xlfn.IFS(
    _xlpm.valuta = "", "",
    OR(_xlpm.valuta = "USD", _xlpm.valuta = "$"), "$",
    OR(_xlpm.valuta = "EUR", _xlpm.valuta = "€"), "€",
    TRUE, _xlpm.valuta
  )
)</f>
        <v>$</v>
      </c>
      <c r="M192" s="3" t="str">
        <f>"E" &amp; TEXT(VALUE(SUBSTITUTE(SUBSTITUTE(SUBSTITUTE(UPPER(TRIM('Sales_RAW(BEFORE)'!L198)), "EMP", ""), "E", ""), "-", "")),"000")</f>
        <v>E003</v>
      </c>
      <c r="N192" s="3" t="str">
        <f>_xlfn.XLOOKUP(M192,Employees!$D$2:$D$26,Employees!$A$2:$A$26)</f>
        <v>Laura Miller</v>
      </c>
      <c r="O192" s="3" t="str">
        <f>_xlfn.XLOOKUP(N192,Employees!$A$2:$A$26,Employees!$C$2:$C$26,2)</f>
        <v>Sales</v>
      </c>
      <c r="P192" s="3" t="str">
        <f>PROPER('Sales_RAW(BEFORE)'!N198)</f>
        <v>West</v>
      </c>
      <c r="Q192" s="3" t="str">
        <f>VLOOKUP(N192,Employees!$A$2:$B$26,2,FALSE)</f>
        <v>Miami</v>
      </c>
      <c r="R192" s="3" t="str">
        <f>PROPER('Sales_RAW(BEFORE)'!P198)</f>
        <v>Acme Ltd.</v>
      </c>
      <c r="S192" s="3" t="str">
        <f>SUBSTITUTE(SUBSTITUTE('Sales_RAW(BEFORE)'!Q198,"EIN",""),":","")</f>
        <v>694704798</v>
      </c>
      <c r="T192" s="3" t="s">
        <v>564</v>
      </c>
      <c r="U192" s="3" t="s">
        <v>3337</v>
      </c>
      <c r="V192" s="3" t="s">
        <v>3338</v>
      </c>
      <c r="W192" s="3" t="s">
        <v>3339</v>
      </c>
      <c r="X192" s="3" t="s">
        <v>173</v>
      </c>
      <c r="Y192" s="3" t="str">
        <f>PROPER('Sales_RAW(BEFORE)'!W198)</f>
        <v>Credit Card</v>
      </c>
      <c r="Z192" s="3" t="str">
        <f>PROPER('Sales_RAW(BEFORE)'!X198)</f>
        <v>Delivered</v>
      </c>
      <c r="AA192" s="3" t="str" cm="1">
        <f t="array" ref="AA192">_xlfn.LET(
  _xlpm.val, TRIM(LOWER('Sales_RAW(BEFORE)'!Y198)),
  _xlfn.IFS(
    OR(_xlpm.val="yes", _xlpm.val="paid"), "Paid",
    OR(_xlpm.val="no", _xlpm.val="unpaid"), "Unpaid",
    OR(_xlpm.val="partial", _xlpm.val="partial paid"), "Partial",
    _xlpm.val="", "",
    TRUE, 'Sales_RAW(BEFORE)'!AY198
  )
)</f>
        <v>Paid</v>
      </c>
      <c r="AB192" s="3" t="s">
        <v>3340</v>
      </c>
      <c r="AC192" s="3" t="str">
        <f>PROPER('Sales_RAW(BEFORE)'!AA198)</f>
        <v>Phone</v>
      </c>
      <c r="AD192" s="3" t="str">
        <f>SUBSTITUTE(SUBSTITUTE(SUBSTITUTE(SUBSTITUTE('Sales_RAW(BEFORE)'!AB198,"st",""),"q",""),"Q",""),"uarter","")</f>
        <v>4</v>
      </c>
      <c r="AE192" s="3" t="str">
        <f>TEXT(IFERROR(DATEVALUE('Sales_RAW(BEFORE)'!AC198 &amp; " 1"), IFERROR(DATE(2025, 'Sales_RAW(BEFORE)'!AC198, 1), 'Sales_RAW(BEFORE)'!AC198)), "mmmm")</f>
        <v>May</v>
      </c>
      <c r="AF192" s="3">
        <f>_xlfn.LET(
  _xlpm.raw, TRIM(SUBSTITUTE('Sales_RAW(BEFORE)'!AD198, "'", "")),
  _xlpm.num, IFERROR(VALUE(_xlpm.raw), 0),
  IF(_xlpm.num &lt; 100, 2000 + _xlpm.num, _xlpm.num)
)</f>
        <v>2026</v>
      </c>
      <c r="AG192" s="3" t="str">
        <f>PROPER('Sales_RAW(BEFORE)'!AE198)</f>
        <v>Net 30</v>
      </c>
      <c r="AH192" s="3" cm="1">
        <f t="array" ref="AH192">_xlfn.LET(
  _xlpm.val, LOWER(TRIM('Sales_RAW(BEFORE)'!AF198)),
  _xlfn.IFS(
    OR(_xlpm.val="", _xlpm.val="null", _xlpm.val="N/A", _xlpm.val="-", _xlpm.val="#N/A"), 0,
    ISNUMBER('Sales_RAW(BEFORE)'!AF198), 'Sales_RAW(BEFORE)'!AF198,
    TRUE, IFERROR(_xlfn.NUMBERVALUE(_xlpm.val), 0)
  )
)</f>
        <v>62</v>
      </c>
      <c r="AI192" s="5">
        <f>IF(IFERROR(VALUE(SUBSTITUTE(SUBSTITUTE(TRIM('Sales_RAW(BEFORE)'!AG198), "%", ""), ",", ".")), 0) &gt; 1, IFERROR(VALUE(SUBSTITUTE(SUBSTITUTE(TRIM('Sales_RAW(BEFORE)'!AG198), "%", ""), ",", ".")), 0) / 100, IFERROR(VALUE(SUBSTITUTE(SUBSTITUTE(TRIM('Sales_RAW(BEFORE)'!AG198), "%", ""), ",", ".")), 0))</f>
        <v>0.08</v>
      </c>
      <c r="AJ192" s="6">
        <f t="shared" si="16"/>
        <v>95.212800000000001</v>
      </c>
      <c r="AK192" s="6">
        <f t="shared" si="17"/>
        <v>1285.3728000000001</v>
      </c>
      <c r="AL192" s="6">
        <f>IFERROR(VALUE(SUBSTITUTE(SUBSTITUTE(SUBSTITUTE('Sales_RAW(BEFORE)'!AJ198,"$",""),"USD",""),",",".")),0)</f>
        <v>25.49</v>
      </c>
      <c r="AM192" s="3" t="str">
        <f>SUBSTITUTE(SUBSTITUTE(PROPER('Sales_RAW(BEFORE)'!AK198), "Fed Ex", "FedEx"),"Fedex","FedEx")</f>
        <v>Dhl</v>
      </c>
      <c r="AN192" s="3" t="s">
        <v>3342</v>
      </c>
      <c r="AO192" s="3" t="str">
        <f>SUBSTITUTE('Sales_RAW(BEFORE)'!AM198,"kg","")</f>
        <v>20,15</v>
      </c>
      <c r="AP192" s="3" t="str">
        <f>_xlfn.LET(
  _xlpm.raw, UPPER(TRIM('Sales_RAW(BEFORE)'!AN198)),
  _xlpm.clean, RIGHT(_xlpm.raw, 1),
  IF(OR(_xlpm.raw="", _xlpm.raw="null"), "N/A", _xlpm.clean)
)</f>
        <v>B</v>
      </c>
      <c r="AQ192" s="3">
        <v>427</v>
      </c>
      <c r="AR192" s="3" cm="1">
        <f t="array" ref="AR192">_xlfn.LET(
  _xlpm.raw, LOWER(TRIM('Sales_RAW(BEFORE)'!AP198)),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92" s="3"/>
      <c r="AT192" s="3"/>
      <c r="AU192" s="3"/>
      <c r="AV192" s="8">
        <f>IF(IFERROR(VALUE(SUBSTITUTE(SUBSTITUTE(TRIM('Sales_RAW(BEFORE)'!AT198), "%", ""), ",", ".")), 0) &gt; 1, IFERROR(VALUE(SUBSTITUTE(SUBSTITUTE(TRIM('Sales_RAW(BEFORE)'!AT198), "%", ""), ",", ".")), 0) / 100, IFERROR(VALUE(SUBSTITUTE(SUBSTITUTE(TRIM('Sales_RAW(BEFORE)'!AT198), "%", ""), ",", ".")), 0))</f>
        <v>0.25</v>
      </c>
      <c r="AW192" s="6">
        <f>BA192*(_xlfn.XLOOKUP(N192,Employees!$A$2:$A$26,Employees!$E$2:$E$26,2))</f>
        <v>51.414912000000008</v>
      </c>
      <c r="AX192" s="3" t="str">
        <f>PROPER('Sales_RAW(BEFORE)'!AV198)</f>
        <v>Emily Johnson</v>
      </c>
      <c r="AY192" s="3" t="str">
        <f t="shared" ref="AY192:AY253" si="18">AX192</f>
        <v>Emily Johnson</v>
      </c>
      <c r="AZ192" s="3"/>
      <c r="BA192" s="24">
        <f>AK192*(1-(_xlfn.XLOOKUP(G192, Exchange_Rates!$B$8:$F$8, Exchange_Rates!$B$9:$F$9, 0)+J192))</f>
        <v>1028.2982400000001</v>
      </c>
      <c r="BB192" s="7" cm="1">
        <f t="array" ref="BB192">_xlfn.LET(
  _xlpm.raw_dt, SUBSTITUTE(TRIM(C192), ".", "/"),
  _xlpm.dt, IFERROR(DATEVALUE(_xlpm.raw_dt), C192),
  _xlpm.p_code, TRIM(E192),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47396</v>
      </c>
      <c r="BC192" s="25">
        <f t="shared" ref="BC192:BC253" si="19">BA192*AV192</f>
        <v>257.07456000000002</v>
      </c>
    </row>
    <row r="193" spans="1:55" ht="15.75" thickBot="1" x14ac:dyDescent="0.3">
      <c r="A193" s="3" t="s">
        <v>966</v>
      </c>
      <c r="B193" s="10">
        <v>46144</v>
      </c>
      <c r="C193" s="4">
        <f>DATE(2026,5,11)</f>
        <v>46153</v>
      </c>
      <c r="D193" s="3" t="str">
        <f>"P-" &amp; TEXT(VALUE(SUBSTITUTE(SUBSTITUTE(SUBSTITUTE(UPPER(TRIM('Sales_RAW(BEFORE)'!D199)), "P", ""), "-", ""), "_", "")),"000")</f>
        <v>P-051</v>
      </c>
      <c r="E193" s="3" t="str">
        <f>VLOOKUP(D193,Product_List!$A$2:$B$61,2,FALSE)</f>
        <v>Cable Basic 51</v>
      </c>
      <c r="F193" s="3" t="str">
        <f>_xlfn.XLOOKUP(E193,Product_List!$B$2:$B$61,Product_List!$E$2:$E$61,2)</f>
        <v>TechSupply Co</v>
      </c>
      <c r="G193" s="3" t="str">
        <f>VLOOKUP(E193,Product_List!$B$2:$C$61,2,FALSE)</f>
        <v>Office</v>
      </c>
      <c r="H193" s="3" t="str">
        <f>SUBSTITUTE(SUBSTITUTE('Sales_RAW(BEFORE)'!G199,"kom",""),".","")</f>
        <v>3</v>
      </c>
      <c r="I193" s="6">
        <f>VLOOKUP(E193,Product_List!$B$2:$D$61,3,FALSE)</f>
        <v>1036.6500000000001</v>
      </c>
      <c r="J193" s="5">
        <f>IF(IFERROR(VALUE(SUBSTITUTE(SUBSTITUTE(TRIM('Sales_RAW(BEFORE)'!I199), "%", ""), ",", ".")), 0) &gt; 1, IFERROR(VALUE(SUBSTITUTE(SUBSTITUTE(TRIM('Sales_RAW(BEFORE)'!I199), "%", ""), ",", ".")), 0) / 100, IFERROR(VALUE(SUBSTITUTE(SUBSTITUTE(TRIM('Sales_RAW(BEFORE)'!I199), "%", ""), ",", ".")), 0))</f>
        <v>0.05</v>
      </c>
      <c r="K193" s="6">
        <f t="shared" si="15"/>
        <v>3109.9500000000003</v>
      </c>
      <c r="L193" s="6" t="str" cm="1">
        <f t="array" ref="L193">_xlfn.LET(
  _xlpm.valuta, UPPER(TRIM('Sales_RAW(BEFORE)'!K199)),
  _xlfn.IFS(
    _xlpm.valuta = "", "",
    OR(_xlpm.valuta = "USD", _xlpm.valuta = "$"), "$",
    OR(_xlpm.valuta = "EUR", _xlpm.valuta = "€"), "€",
    TRUE, _xlpm.valuta
  )
)</f>
        <v>$</v>
      </c>
      <c r="M193" s="3" t="str">
        <f>"E" &amp; TEXT(VALUE(SUBSTITUTE(SUBSTITUTE(SUBSTITUTE(UPPER(TRIM('Sales_RAW(BEFORE)'!L199)), "EMP", ""), "E", ""), "-", "")),"000")</f>
        <v>E008</v>
      </c>
      <c r="N193" s="3" t="str">
        <f>_xlfn.XLOOKUP(M193,Employees!$D$2:$D$26,Employees!$A$2:$A$26)</f>
        <v>Michael Williams</v>
      </c>
      <c r="O193" s="3" t="str">
        <f>_xlfn.XLOOKUP(N193,Employees!$A$2:$A$26,Employees!$C$2:$C$26,2)</f>
        <v>Wholesale</v>
      </c>
      <c r="P193" s="3" t="str">
        <f>PROPER('Sales_RAW(BEFORE)'!N199)</f>
        <v>South</v>
      </c>
      <c r="Q193" s="3" t="str">
        <f>VLOOKUP(N193,Employees!$A$2:$B$26,2,FALSE)</f>
        <v>New York</v>
      </c>
      <c r="R193" s="3" t="str">
        <f>PROPER('Sales_RAW(BEFORE)'!P199)</f>
        <v xml:space="preserve">Globex Llc   </v>
      </c>
      <c r="S193" s="3" t="str">
        <f>SUBSTITUTE(SUBSTITUTE('Sales_RAW(BEFORE)'!Q199,"EIN",""),":","")</f>
        <v xml:space="preserve"> 676954297</v>
      </c>
      <c r="T193" s="3" t="s">
        <v>976</v>
      </c>
      <c r="U193" s="3" t="s">
        <v>977</v>
      </c>
      <c r="V193" s="3" t="s">
        <v>978</v>
      </c>
      <c r="W193" s="3" t="s">
        <v>979</v>
      </c>
      <c r="X193" s="3" t="s">
        <v>173</v>
      </c>
      <c r="Y193" s="3" t="str">
        <f>PROPER('Sales_RAW(BEFORE)'!W199)</f>
        <v>Wire</v>
      </c>
      <c r="Z193" s="3" t="str">
        <f>PROPER('Sales_RAW(BEFORE)'!X199)</f>
        <v>Delivered</v>
      </c>
      <c r="AA193" s="3" t="str" cm="1">
        <f t="array" ref="AA193">_xlfn.LET(
  _xlpm.val, TRIM(LOWER('Sales_RAW(BEFORE)'!Y199)),
  _xlfn.IFS(
    OR(_xlpm.val="yes", _xlpm.val="paid"), "Paid",
    OR(_xlpm.val="no", _xlpm.val="unpaid"), "Unpaid",
    OR(_xlpm.val="partial", _xlpm.val="partial paid"), "Partial",
    _xlpm.val="", "",
    TRUE, 'Sales_RAW(BEFORE)'!AY199
  )
)</f>
        <v>Partial</v>
      </c>
      <c r="AB193" s="3" t="s">
        <v>980</v>
      </c>
      <c r="AC193" s="3" t="str">
        <f>PROPER('Sales_RAW(BEFORE)'!AA199)</f>
        <v>Online</v>
      </c>
      <c r="AD193" s="3" t="str">
        <f>SUBSTITUTE(SUBSTITUTE(SUBSTITUTE(SUBSTITUTE('Sales_RAW(BEFORE)'!AB199,"st",""),"q",""),"Q",""),"uarter","")</f>
        <v>4</v>
      </c>
      <c r="AE193" s="3" t="str">
        <f>TEXT(IFERROR(DATEVALUE('Sales_RAW(BEFORE)'!AC199 &amp; " 1"), IFERROR(DATE(2025, 'Sales_RAW(BEFORE)'!AC199, 1), 'Sales_RAW(BEFORE)'!AC199)), "mmmm")</f>
        <v>May</v>
      </c>
      <c r="AF193" s="3">
        <f>_xlfn.LET(
  _xlpm.raw, TRIM(SUBSTITUTE('Sales_RAW(BEFORE)'!AD199, "'", "")),
  _xlpm.num, IFERROR(VALUE(_xlpm.raw), 0),
  IF(_xlpm.num &lt; 100, 2000 + _xlpm.num, _xlpm.num)
)</f>
        <v>2026</v>
      </c>
      <c r="AG193" s="3" t="str">
        <f>PROPER('Sales_RAW(BEFORE)'!AE199)</f>
        <v>Net 60</v>
      </c>
      <c r="AH193" s="3" cm="1">
        <f t="array" ref="AH193">_xlfn.LET(
  _xlpm.val, LOWER(TRIM('Sales_RAW(BEFORE)'!AF199)),
  _xlfn.IFS(
    OR(_xlpm.val="", _xlpm.val="null", _xlpm.val="N/A", _xlpm.val="-", _xlpm.val="#N/A"), 0,
    ISNUMBER('Sales_RAW(BEFORE)'!AF199), 'Sales_RAW(BEFORE)'!AF199,
    TRUE, IFERROR(_xlfn.NUMBERVALUE(_xlpm.val), 0)
  )
)</f>
        <v>43</v>
      </c>
      <c r="AI193" s="5">
        <f>IF(IFERROR(VALUE(SUBSTITUTE(SUBSTITUTE(TRIM('Sales_RAW(BEFORE)'!AG199), "%", ""), ",", ".")), 0) &gt; 1, IFERROR(VALUE(SUBSTITUTE(SUBSTITUTE(TRIM('Sales_RAW(BEFORE)'!AG199), "%", ""), ",", ".")), 0) / 100, IFERROR(VALUE(SUBSTITUTE(SUBSTITUTE(TRIM('Sales_RAW(BEFORE)'!AG199), "%", ""), ",", ".")), 0))</f>
        <v>0.08</v>
      </c>
      <c r="AJ193" s="6">
        <f t="shared" si="16"/>
        <v>248.79600000000002</v>
      </c>
      <c r="AK193" s="6">
        <f t="shared" si="17"/>
        <v>3358.7460000000001</v>
      </c>
      <c r="AL193" s="6">
        <f>IFERROR(VALUE(SUBSTITUTE(SUBSTITUTE(SUBSTITUTE('Sales_RAW(BEFORE)'!AJ199,"$",""),"USD",""),",",".")),0)</f>
        <v>5.85</v>
      </c>
      <c r="AM193" s="3" t="str">
        <f>SUBSTITUTE(SUBSTITUTE(PROPER('Sales_RAW(BEFORE)'!AK199), "Fed Ex", "FedEx"),"Fedex","FedEx")</f>
        <v>FedEx</v>
      </c>
      <c r="AN193" s="3" t="s">
        <v>982</v>
      </c>
      <c r="AO193" s="3" t="str">
        <f>SUBSTITUTE('Sales_RAW(BEFORE)'!AM199,"kg","")</f>
        <v>16.22</v>
      </c>
      <c r="AP193" s="3" t="str">
        <f>_xlfn.LET(
  _xlpm.raw, UPPER(TRIM('Sales_RAW(BEFORE)'!AN199)),
  _xlpm.clean, RIGHT(_xlpm.raw, 1),
  IF(OR(_xlpm.raw="", _xlpm.raw="null"), "N/A", _xlpm.clean)
)</f>
        <v>B</v>
      </c>
      <c r="AQ193" s="3">
        <v>300</v>
      </c>
      <c r="AR193" s="3" cm="1">
        <f t="array" ref="AR193">_xlfn.LET(
  _xlpm.raw, LOWER(TRIM('Sales_RAW(BEFORE)'!AP199)),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93" s="3"/>
      <c r="AT193" s="3"/>
      <c r="AU193" s="3"/>
      <c r="AV193" s="8">
        <f>IF(IFERROR(VALUE(SUBSTITUTE(SUBSTITUTE(TRIM('Sales_RAW(BEFORE)'!AT199), "%", ""), ",", ".")), 0) &gt; 1, IFERROR(VALUE(SUBSTITUTE(SUBSTITUTE(TRIM('Sales_RAW(BEFORE)'!AT199), "%", ""), ",", ".")), 0) / 100, IFERROR(VALUE(SUBSTITUTE(SUBSTITUTE(TRIM('Sales_RAW(BEFORE)'!AT199), "%", ""), ",", ".")), 0))</f>
        <v>0.3</v>
      </c>
      <c r="AW193" s="6">
        <f>BA193*(_xlfn.XLOOKUP(N193,Employees!$A$2:$A$26,Employees!$E$2:$E$26,2))</f>
        <v>142.74670499999999</v>
      </c>
      <c r="AX193" s="3" t="str">
        <f>PROPER('Sales_RAW(BEFORE)'!AV199)</f>
        <v>Sarah Johnson</v>
      </c>
      <c r="AY193" s="3" t="str">
        <f t="shared" si="18"/>
        <v>Sarah Johnson</v>
      </c>
      <c r="AZ193" s="3"/>
      <c r="BA193" s="24">
        <f>AK193*(1-(_xlfn.XLOOKUP(G193, Exchange_Rates!$B$8:$F$8, Exchange_Rates!$B$9:$F$9, 0)+J193))</f>
        <v>2854.9340999999999</v>
      </c>
      <c r="BB193" s="7" cm="1">
        <f t="array" ref="BB193">_xlfn.LET(
  _xlpm.raw_dt, SUBSTITUTE(TRIM(C193), ".", "/"),
  _xlpm.dt, IFERROR(DATEVALUE(_xlpm.raw_dt), C193),
  _xlpm.p_code, TRIM(E193),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46884</v>
      </c>
      <c r="BC193" s="25">
        <f t="shared" si="19"/>
        <v>856.48023000000001</v>
      </c>
    </row>
    <row r="194" spans="1:55" ht="15.75" thickBot="1" x14ac:dyDescent="0.3">
      <c r="A194" s="3" t="s">
        <v>3345</v>
      </c>
      <c r="B194" s="10">
        <v>45987</v>
      </c>
      <c r="C194" s="4">
        <v>45759</v>
      </c>
      <c r="D194" s="3" t="str">
        <f>"P-" &amp; TEXT(VALUE(SUBSTITUTE(SUBSTITUTE(SUBSTITUTE(UPPER(TRIM('Sales_RAW(BEFORE)'!D200)), "P", ""), "-", ""), "_", "")),"000")</f>
        <v>P-057</v>
      </c>
      <c r="E194" s="3" t="str">
        <f>VLOOKUP(D194,Product_List!$A$2:$B$61,2,FALSE)</f>
        <v>Keyboard X 57</v>
      </c>
      <c r="F194" s="3" t="str">
        <f>_xlfn.XLOOKUP(E194,Product_List!$B$2:$B$61,Product_List!$E$2:$E$61,2)</f>
        <v>BestParts</v>
      </c>
      <c r="G194" s="3" t="str">
        <f>VLOOKUP(E194,Product_List!$B$2:$C$61,2,FALSE)</f>
        <v>Equipment</v>
      </c>
      <c r="H194" s="3" t="str">
        <f>SUBSTITUTE(SUBSTITUTE('Sales_RAW(BEFORE)'!G200,"kom",""),".","")</f>
        <v xml:space="preserve">6 </v>
      </c>
      <c r="I194" s="6">
        <f>VLOOKUP(E194,Product_List!$B$2:$D$61,3,FALSE)</f>
        <v>741.71</v>
      </c>
      <c r="J194" s="5">
        <f>IF(IFERROR(VALUE(SUBSTITUTE(SUBSTITUTE(TRIM('Sales_RAW(BEFORE)'!I200), "%", ""), ",", ".")), 0) &gt; 1, IFERROR(VALUE(SUBSTITUTE(SUBSTITUTE(TRIM('Sales_RAW(BEFORE)'!I200), "%", ""), ",", ".")), 0) / 100, IFERROR(VALUE(SUBSTITUTE(SUBSTITUTE(TRIM('Sales_RAW(BEFORE)'!I200), "%", ""), ",", ".")), 0))</f>
        <v>0.1</v>
      </c>
      <c r="K194" s="6">
        <f t="shared" si="15"/>
        <v>4450.26</v>
      </c>
      <c r="L194" s="6" t="str" cm="1">
        <f t="array" ref="L194">_xlfn.LET(
  _xlpm.valuta, UPPER(TRIM('Sales_RAW(BEFORE)'!K200)),
  _xlfn.IFS(
    _xlpm.valuta = "", "",
    OR(_xlpm.valuta = "USD", _xlpm.valuta = "$"), "$",
    OR(_xlpm.valuta = "EUR", _xlpm.valuta = "€"), "€",
    TRUE, _xlpm.valuta
  )
)</f>
        <v>$</v>
      </c>
      <c r="M194" s="3" t="str">
        <f>"E" &amp; TEXT(VALUE(SUBSTITUTE(SUBSTITUTE(SUBSTITUTE(UPPER(TRIM('Sales_RAW(BEFORE)'!L200)), "EMP", ""), "E", ""), "-", "")),"000")</f>
        <v>E009</v>
      </c>
      <c r="N194" s="3" t="str">
        <f>_xlfn.XLOOKUP(M194,Employees!$D$2:$D$26,Employees!$A$2:$A$26)</f>
        <v>Olivia Wilson</v>
      </c>
      <c r="O194" s="3" t="str">
        <f>_xlfn.XLOOKUP(N194,Employees!$A$2:$A$26,Employees!$C$2:$C$26,2)</f>
        <v>Wholesale</v>
      </c>
      <c r="P194" s="3" t="str">
        <f>PROPER('Sales_RAW(BEFORE)'!N200)</f>
        <v>West</v>
      </c>
      <c r="Q194" s="3" t="str">
        <f>VLOOKUP(N194,Employees!$A$2:$B$26,2,FALSE)</f>
        <v>Miami</v>
      </c>
      <c r="R194" s="3" t="str">
        <f>PROPER('Sales_RAW(BEFORE)'!P200)</f>
        <v>Globex Ltd.</v>
      </c>
      <c r="S194" s="3" t="str">
        <f>SUBSTITUTE(SUBSTITUTE('Sales_RAW(BEFORE)'!Q200,"EIN",""),":","")</f>
        <v>661093024</v>
      </c>
      <c r="T194" s="3" t="s">
        <v>1232</v>
      </c>
      <c r="U194" s="3" t="s">
        <v>3351</v>
      </c>
      <c r="V194" s="3" t="s">
        <v>3352</v>
      </c>
      <c r="W194" s="3" t="s">
        <v>3353</v>
      </c>
      <c r="X194" s="3" t="s">
        <v>173</v>
      </c>
      <c r="Y194" s="3" t="str">
        <f>PROPER('Sales_RAW(BEFORE)'!W200)</f>
        <v>Wire</v>
      </c>
      <c r="Z194" s="3" t="str">
        <f>PROPER('Sales_RAW(BEFORE)'!X200)</f>
        <v>Pending</v>
      </c>
      <c r="AA194" s="3" t="str" cm="1">
        <f t="array" ref="AA194">_xlfn.LET(
  _xlpm.val, TRIM(LOWER('Sales_RAW(BEFORE)'!Y200)),
  _xlfn.IFS(
    OR(_xlpm.val="yes", _xlpm.val="paid"), "Paid",
    OR(_xlpm.val="no", _xlpm.val="unpaid"), "Unpaid",
    OR(_xlpm.val="partial", _xlpm.val="partial paid"), "Partial",
    _xlpm.val="", "",
    TRUE, 'Sales_RAW(BEFORE)'!AY200
  )
)</f>
        <v>Paid</v>
      </c>
      <c r="AB194" s="3" t="s">
        <v>3354</v>
      </c>
      <c r="AC194" s="3" t="str">
        <f>PROPER('Sales_RAW(BEFORE)'!AA200)</f>
        <v>Online</v>
      </c>
      <c r="AD194" s="3" t="str">
        <f>SUBSTITUTE(SUBSTITUTE(SUBSTITUTE(SUBSTITUTE('Sales_RAW(BEFORE)'!AB200,"st",""),"q",""),"Q",""),"uarter","")</f>
        <v>2</v>
      </c>
      <c r="AE194" s="3" t="str">
        <f>TEXT(IFERROR(DATEVALUE('Sales_RAW(BEFORE)'!AC200 &amp; " 1"), IFERROR(DATE(2025, 'Sales_RAW(BEFORE)'!AC200, 1), 'Sales_RAW(BEFORE)'!AC200)), "mmmm")</f>
        <v>November</v>
      </c>
      <c r="AF194" s="3">
        <f>_xlfn.LET(
  _xlpm.raw, TRIM(SUBSTITUTE('Sales_RAW(BEFORE)'!AD200, "'", "")),
  _xlpm.num, IFERROR(VALUE(_xlpm.raw), 0),
  IF(_xlpm.num &lt; 100, 2000 + _xlpm.num, _xlpm.num)
)</f>
        <v>2025</v>
      </c>
      <c r="AG194" s="3" t="str">
        <f>PROPER('Sales_RAW(BEFORE)'!AE200)</f>
        <v>Net 60</v>
      </c>
      <c r="AH194" s="3" cm="1">
        <f t="array" ref="AH194">_xlfn.LET(
  _xlpm.val, LOWER(TRIM('Sales_RAW(BEFORE)'!AF200)),
  _xlfn.IFS(
    OR(_xlpm.val="", _xlpm.val="null", _xlpm.val="N/A", _xlpm.val="-", _xlpm.val="#N/A"), 0,
    ISNUMBER('Sales_RAW(BEFORE)'!AF200), 'Sales_RAW(BEFORE)'!AF200,
    TRUE, IFERROR(_xlfn.NUMBERVALUE(_xlpm.val), 0)
  )
)</f>
        <v>84</v>
      </c>
      <c r="AI194" s="5">
        <f>IF(IFERROR(VALUE(SUBSTITUTE(SUBSTITUTE(TRIM('Sales_RAW(BEFORE)'!AG200), "%", ""), ",", ".")), 0) &gt; 1, IFERROR(VALUE(SUBSTITUTE(SUBSTITUTE(TRIM('Sales_RAW(BEFORE)'!AG200), "%", ""), ",", ".")), 0) / 100, IFERROR(VALUE(SUBSTITUTE(SUBSTITUTE(TRIM('Sales_RAW(BEFORE)'!AG200), "%", ""), ",", ".")), 0))</f>
        <v>0.08</v>
      </c>
      <c r="AJ194" s="6">
        <f t="shared" si="16"/>
        <v>356.02080000000001</v>
      </c>
      <c r="AK194" s="6">
        <f t="shared" si="17"/>
        <v>4806.2808000000005</v>
      </c>
      <c r="AL194" s="6">
        <f>IFERROR(VALUE(SUBSTITUTE(SUBSTITUTE(SUBSTITUTE('Sales_RAW(BEFORE)'!AJ200,"$",""),"USD",""),",",".")),0)</f>
        <v>36.75</v>
      </c>
      <c r="AM194" s="3" t="str">
        <f>SUBSTITUTE(SUBSTITUTE(PROPER('Sales_RAW(BEFORE)'!AK200), "Fed Ex", "FedEx"),"Fedex","FedEx")</f>
        <v>Dhl</v>
      </c>
      <c r="AN194" s="3" t="s">
        <v>3356</v>
      </c>
      <c r="AO194" s="3" t="str">
        <f>SUBSTITUTE('Sales_RAW(BEFORE)'!AM200,"kg","")</f>
        <v xml:space="preserve">18.3 </v>
      </c>
      <c r="AP194" s="3" t="str">
        <f>_xlfn.LET(
  _xlpm.raw, UPPER(TRIM('Sales_RAW(BEFORE)'!AN200)),
  _xlpm.clean, RIGHT(_xlpm.raw, 1),
  IF(OR(_xlpm.raw="", _xlpm.raw="null"), "N/A", _xlpm.clean)
)</f>
        <v>B</v>
      </c>
      <c r="AQ194" s="3">
        <v>422</v>
      </c>
      <c r="AR194" s="3" cm="1">
        <f t="array" ref="AR194">_xlfn.LET(
  _xlpm.raw, LOWER(TRIM('Sales_RAW(BEFORE)'!AP200)),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194" s="3"/>
      <c r="AT194" s="3"/>
      <c r="AU194" s="3"/>
      <c r="AV194" s="8">
        <f>IF(IFERROR(VALUE(SUBSTITUTE(SUBSTITUTE(TRIM('Sales_RAW(BEFORE)'!AT200), "%", ""), ",", ".")), 0) &gt; 1, IFERROR(VALUE(SUBSTITUTE(SUBSTITUTE(TRIM('Sales_RAW(BEFORE)'!AT200), "%", ""), ",", ".")), 0) / 100, IFERROR(VALUE(SUBSTITUTE(SUBSTITUTE(TRIM('Sales_RAW(BEFORE)'!AT200), "%", ""), ",", ".")), 0))</f>
        <v>0</v>
      </c>
      <c r="AW194" s="6">
        <f>BA194*(_xlfn.XLOOKUP(N194,Employees!$A$2:$A$26,Employees!$E$2:$E$26,2))</f>
        <v>115.35073920000001</v>
      </c>
      <c r="AX194" s="3" t="str">
        <f>PROPER('Sales_RAW(BEFORE)'!AV200)</f>
        <v>Daniel Williams</v>
      </c>
      <c r="AY194" s="3" t="str">
        <f t="shared" si="18"/>
        <v>Daniel Williams</v>
      </c>
      <c r="AZ194" s="3"/>
      <c r="BA194" s="24">
        <f>AK194*(1-(_xlfn.XLOOKUP(G194, Exchange_Rates!$B$8:$F$8, Exchange_Rates!$B$9:$F$9, 0)+J194))</f>
        <v>3845.0246400000005</v>
      </c>
      <c r="BB194" s="7" cm="1">
        <f t="array" ref="BB194">_xlfn.LET(
  _xlpm.raw_dt, SUBSTITUTE(TRIM(C194), ".", "/"),
  _xlpm.dt, IFERROR(DATEVALUE(_xlpm.raw_dt), C194),
  _xlpm.p_code, TRIM(E194),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46855</v>
      </c>
      <c r="BC194" s="25">
        <f t="shared" si="19"/>
        <v>0</v>
      </c>
    </row>
    <row r="195" spans="1:55" ht="15.75" thickBot="1" x14ac:dyDescent="0.3">
      <c r="A195" s="3" t="s">
        <v>3360</v>
      </c>
      <c r="B195" s="10">
        <f>DATE(2026,7,25)</f>
        <v>46228</v>
      </c>
      <c r="C195" s="4">
        <v>46241</v>
      </c>
      <c r="D195" s="3" t="str">
        <f>"P-" &amp; TEXT(VALUE(SUBSTITUTE(SUBSTITUTE(SUBSTITUTE(UPPER(TRIM('Sales_RAW(BEFORE)'!D201)), "P", ""), "-", ""), "_", "")),"000")</f>
        <v>P-043</v>
      </c>
      <c r="E195" s="3" t="str">
        <f>VLOOKUP(D195,Product_List!$A$2:$B$61,2,FALSE)</f>
        <v>Headphones X 43</v>
      </c>
      <c r="F195" s="3" t="str">
        <f>_xlfn.XLOOKUP(E195,Product_List!$B$2:$B$61,Product_List!$E$2:$E$61,2)</f>
        <v>Global Distrib</v>
      </c>
      <c r="G195" s="3" t="str">
        <f>VLOOKUP(E195,Product_List!$B$2:$C$61,2,FALSE)</f>
        <v>Equipment</v>
      </c>
      <c r="H195" s="3" t="str">
        <f>SUBSTITUTE(SUBSTITUTE('Sales_RAW(BEFORE)'!G201,"kom",""),".","")</f>
        <v xml:space="preserve">35 </v>
      </c>
      <c r="I195" s="6">
        <f>VLOOKUP(E195,Product_List!$B$2:$D$61,3,FALSE)</f>
        <v>156.69</v>
      </c>
      <c r="J195" s="5">
        <f>IF(IFERROR(VALUE(SUBSTITUTE(SUBSTITUTE(TRIM('Sales_RAW(BEFORE)'!I201), "%", ""), ",", ".")), 0) &gt; 1, IFERROR(VALUE(SUBSTITUTE(SUBSTITUTE(TRIM('Sales_RAW(BEFORE)'!I201), "%", ""), ",", ".")), 0) / 100, IFERROR(VALUE(SUBSTITUTE(SUBSTITUTE(TRIM('Sales_RAW(BEFORE)'!I201), "%", ""), ",", ".")), 0))</f>
        <v>0.1</v>
      </c>
      <c r="K195" s="6">
        <f t="shared" si="15"/>
        <v>5484.15</v>
      </c>
      <c r="L195" s="6" t="str" cm="1">
        <f t="array" ref="L195">_xlfn.LET(
  _xlpm.valuta, UPPER(TRIM('Sales_RAW(BEFORE)'!K201)),
  _xlfn.IFS(
    _xlpm.valuta = "", "",
    OR(_xlpm.valuta = "USD", _xlpm.valuta = "$"), "$",
    OR(_xlpm.valuta = "EUR", _xlpm.valuta = "€"), "€",
    TRUE, _xlpm.valuta
  )
)</f>
        <v>$</v>
      </c>
      <c r="M195" s="3" t="str">
        <f>"E" &amp; TEXT(VALUE(SUBSTITUTE(SUBSTITUTE(SUBSTITUTE(UPPER(TRIM('Sales_RAW(BEFORE)'!L201)), "EMP", ""), "E", ""), "-", "")),"000")</f>
        <v>E021</v>
      </c>
      <c r="N195" s="3" t="str">
        <f>_xlfn.XLOOKUP(M195,Employees!$D$2:$D$26,Employees!$A$2:$A$26)</f>
        <v>Chris Williams</v>
      </c>
      <c r="O195" s="3" t="str">
        <f>_xlfn.XLOOKUP(N195,Employees!$A$2:$A$26,Employees!$C$2:$C$26,2)</f>
        <v>Sales</v>
      </c>
      <c r="P195" s="3" t="str">
        <f>PROPER('Sales_RAW(BEFORE)'!N201)</f>
        <v>North</v>
      </c>
      <c r="Q195" s="3" t="str">
        <f>VLOOKUP(N195,Employees!$A$2:$B$26,2,FALSE)</f>
        <v>Boston</v>
      </c>
      <c r="R195" s="3" t="str">
        <f>PROPER('Sales_RAW(BEFORE)'!P201)</f>
        <v>Vortex Inc.</v>
      </c>
      <c r="S195" s="3" t="str">
        <f>SUBSTITUTE(SUBSTITUTE('Sales_RAW(BEFORE)'!Q201,"EIN",""),":","")</f>
        <v xml:space="preserve"> 484513761</v>
      </c>
      <c r="T195" s="3" t="s">
        <v>1815</v>
      </c>
      <c r="U195" s="3" t="s">
        <v>3365</v>
      </c>
      <c r="V195" s="3" t="s">
        <v>3366</v>
      </c>
      <c r="W195" s="3" t="s">
        <v>3367</v>
      </c>
      <c r="X195" s="3" t="s">
        <v>173</v>
      </c>
      <c r="Y195" s="3" t="str">
        <f>PROPER('Sales_RAW(BEFORE)'!W201)</f>
        <v>Paypal</v>
      </c>
      <c r="Z195" s="3" t="str">
        <f>PROPER('Sales_RAW(BEFORE)'!X201)</f>
        <v>Delivered</v>
      </c>
      <c r="AA195" s="3" t="str" cm="1">
        <f t="array" ref="AA195">_xlfn.LET(
  _xlpm.val, TRIM(LOWER('Sales_RAW(BEFORE)'!Y201)),
  _xlfn.IFS(
    OR(_xlpm.val="yes", _xlpm.val="paid"), "Paid",
    OR(_xlpm.val="no", _xlpm.val="unpaid"), "Unpaid",
    OR(_xlpm.val="partial", _xlpm.val="partial paid"), "Partial",
    _xlpm.val="", "",
    TRUE, 'Sales_RAW(BEFORE)'!AY201
  )
)</f>
        <v>Paid</v>
      </c>
      <c r="AB195" s="3" t="s">
        <v>3368</v>
      </c>
      <c r="AC195" s="3" t="str">
        <f>PROPER('Sales_RAW(BEFORE)'!AA201)</f>
        <v>Web</v>
      </c>
      <c r="AD195" s="3" t="str">
        <f>SUBSTITUTE(SUBSTITUTE(SUBSTITUTE(SUBSTITUTE('Sales_RAW(BEFORE)'!AB201,"st",""),"q",""),"Q",""),"uarter","")</f>
        <v>1</v>
      </c>
      <c r="AE195" s="3" t="str">
        <f>TEXT(IFERROR(DATEVALUE('Sales_RAW(BEFORE)'!AC201 &amp; " 1"), IFERROR(DATE(2025, 'Sales_RAW(BEFORE)'!AC201, 1), 'Sales_RAW(BEFORE)'!AC201)), "mmmm")</f>
        <v>July</v>
      </c>
      <c r="AF195" s="3">
        <f>_xlfn.LET(
  _xlpm.raw, TRIM(SUBSTITUTE('Sales_RAW(BEFORE)'!AD201, "'", "")),
  _xlpm.num, IFERROR(VALUE(_xlpm.raw), 0),
  IF(_xlpm.num &lt; 100, 2000 + _xlpm.num, _xlpm.num)
)</f>
        <v>2026</v>
      </c>
      <c r="AG195" s="3" t="str">
        <f>PROPER('Sales_RAW(BEFORE)'!AE201)</f>
        <v>Net 60</v>
      </c>
      <c r="AH195" s="3" cm="1">
        <f t="array" ref="AH195">_xlfn.LET(
  _xlpm.val, LOWER(TRIM('Sales_RAW(BEFORE)'!AF201)),
  _xlfn.IFS(
    OR(_xlpm.val="", _xlpm.val="null", _xlpm.val="N/A", _xlpm.val="-", _xlpm.val="#N/A"), 0,
    ISNUMBER('Sales_RAW(BEFORE)'!AF201), 'Sales_RAW(BEFORE)'!AF201,
    TRUE, IFERROR(_xlfn.NUMBERVALUE(_xlpm.val), 0)
  )
)</f>
        <v>0</v>
      </c>
      <c r="AI195" s="5">
        <f>IF(IFERROR(VALUE(SUBSTITUTE(SUBSTITUTE(TRIM('Sales_RAW(BEFORE)'!AG201), "%", ""), ",", ".")), 0) &gt; 1, IFERROR(VALUE(SUBSTITUTE(SUBSTITUTE(TRIM('Sales_RAW(BEFORE)'!AG201), "%", ""), ",", ".")), 0) / 100, IFERROR(VALUE(SUBSTITUTE(SUBSTITUTE(TRIM('Sales_RAW(BEFORE)'!AG201), "%", ""), ",", ".")), 0))</f>
        <v>0.08</v>
      </c>
      <c r="AJ195" s="6">
        <f t="shared" si="16"/>
        <v>438.73199999999997</v>
      </c>
      <c r="AK195" s="6">
        <f t="shared" si="17"/>
        <v>5922.8819999999996</v>
      </c>
      <c r="AL195" s="6">
        <f>IFERROR(VALUE(SUBSTITUTE(SUBSTITUTE(SUBSTITUTE('Sales_RAW(BEFORE)'!AJ201,"$",""),"USD",""),",",".")),0)</f>
        <v>15.22</v>
      </c>
      <c r="AM195" s="3" t="str">
        <f>SUBSTITUTE(SUBSTITUTE(PROPER('Sales_RAW(BEFORE)'!AK201), "Fed Ex", "FedEx"),"Fedex","FedEx")</f>
        <v>Dhl</v>
      </c>
      <c r="AN195" s="3" t="s">
        <v>3370</v>
      </c>
      <c r="AO195" s="3" t="str">
        <f>SUBSTITUTE('Sales_RAW(BEFORE)'!AM201,"kg","")</f>
        <v xml:space="preserve">8.2 </v>
      </c>
      <c r="AP195" s="3" t="str">
        <f>_xlfn.LET(
  _xlpm.raw, UPPER(TRIM('Sales_RAW(BEFORE)'!AN201)),
  _xlpm.clean, RIGHT(_xlpm.raw, 1),
  IF(OR(_xlpm.raw="", _xlpm.raw="null"), "N/A", _xlpm.clean)
)</f>
        <v>A</v>
      </c>
      <c r="AQ195" s="3">
        <v>233</v>
      </c>
      <c r="AR195" s="3" cm="1">
        <f t="array" ref="AR195">_xlfn.LET(
  _xlpm.raw, LOWER(TRIM('Sales_RAW(BEFORE)'!AP201)),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195" s="3"/>
      <c r="AT195" s="3"/>
      <c r="AU195" s="3"/>
      <c r="AV195" s="8">
        <f>IF(IFERROR(VALUE(SUBSTITUTE(SUBSTITUTE(TRIM('Sales_RAW(BEFORE)'!AT201), "%", ""), ",", ".")), 0) &gt; 1, IFERROR(VALUE(SUBSTITUTE(SUBSTITUTE(TRIM('Sales_RAW(BEFORE)'!AT201), "%", ""), ",", ".")), 0) / 100, IFERROR(VALUE(SUBSTITUTE(SUBSTITUTE(TRIM('Sales_RAW(BEFORE)'!AT201), "%", ""), ",", ".")), 0))</f>
        <v>0</v>
      </c>
      <c r="AW195" s="6">
        <f>BA195*(_xlfn.XLOOKUP(N195,Employees!$A$2:$A$26,Employees!$E$2:$E$26,2))</f>
        <v>142.14916799999997</v>
      </c>
      <c r="AX195" s="3" t="str">
        <f>PROPER('Sales_RAW(BEFORE)'!AV201)</f>
        <v>David Johnson</v>
      </c>
      <c r="AY195" s="3" t="str">
        <f t="shared" si="18"/>
        <v>David Johnson</v>
      </c>
      <c r="AZ195" s="3"/>
      <c r="BA195" s="24">
        <f>AK195*(1-(_xlfn.XLOOKUP(G195, Exchange_Rates!$B$8:$F$8, Exchange_Rates!$B$9:$F$9, 0)+J195))</f>
        <v>4738.3055999999997</v>
      </c>
      <c r="BB195" s="7" cm="1">
        <f t="array" ref="BB195">_xlfn.LET(
  _xlpm.raw_dt, SUBSTITUTE(TRIM(C195), ".", "/"),
  _xlpm.dt, IFERROR(DATEVALUE(_xlpm.raw_dt), C195),
  _xlpm.p_code, TRIM(E195),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46606</v>
      </c>
      <c r="BC195" s="25">
        <f t="shared" si="19"/>
        <v>0</v>
      </c>
    </row>
    <row r="196" spans="1:55" ht="15.75" thickBot="1" x14ac:dyDescent="0.3">
      <c r="A196" s="3" t="s">
        <v>3374</v>
      </c>
      <c r="B196" s="10">
        <v>45677</v>
      </c>
      <c r="C196" s="4">
        <v>45690</v>
      </c>
      <c r="D196" s="3" t="str">
        <f>"P-" &amp; TEXT(VALUE(SUBSTITUTE(SUBSTITUTE(SUBSTITUTE(UPPER(TRIM('Sales_RAW(BEFORE)'!D202)), "P", ""), "-", ""), "_", "")),"000")</f>
        <v>P-009</v>
      </c>
      <c r="E196" s="3" t="str">
        <f>VLOOKUP(D196,Product_List!$A$2:$B$61,2,FALSE)</f>
        <v>Chair Plus 9</v>
      </c>
      <c r="F196" s="3" t="str">
        <f>_xlfn.XLOOKUP(E196,Product_List!$B$2:$B$61,Product_List!$E$2:$E$61,2)</f>
        <v>BestParts</v>
      </c>
      <c r="G196" s="3" t="str">
        <f>VLOOKUP(E196,Product_List!$B$2:$C$61,2,FALSE)</f>
        <v>Office</v>
      </c>
      <c r="H196" s="3" t="str">
        <f>SUBSTITUTE(SUBSTITUTE('Sales_RAW(BEFORE)'!G202,"kom",""),".","")</f>
        <v xml:space="preserve">13 </v>
      </c>
      <c r="I196" s="6">
        <f>VLOOKUP(E196,Product_List!$B$2:$D$61,3,FALSE)</f>
        <v>813.33</v>
      </c>
      <c r="J196" s="5">
        <f>IF(IFERROR(VALUE(SUBSTITUTE(SUBSTITUTE(TRIM('Sales_RAW(BEFORE)'!I202), "%", ""), ",", ".")), 0) &gt; 1, IFERROR(VALUE(SUBSTITUTE(SUBSTITUTE(TRIM('Sales_RAW(BEFORE)'!I202), "%", ""), ",", ".")), 0) / 100, IFERROR(VALUE(SUBSTITUTE(SUBSTITUTE(TRIM('Sales_RAW(BEFORE)'!I202), "%", ""), ",", ".")), 0))</f>
        <v>0.1</v>
      </c>
      <c r="K196" s="6">
        <f t="shared" si="15"/>
        <v>10573.29</v>
      </c>
      <c r="L196" s="6" t="str" cm="1">
        <f t="array" ref="L196">_xlfn.LET(
  _xlpm.valuta, UPPER(TRIM('Sales_RAW(BEFORE)'!K202)),
  _xlfn.IFS(
    _xlpm.valuta = "", "",
    OR(_xlpm.valuta = "USD", _xlpm.valuta = "$"), "$",
    OR(_xlpm.valuta = "EUR", _xlpm.valuta = "€"), "€",
    TRUE, _xlpm.valuta
  )
)</f>
        <v>$</v>
      </c>
      <c r="M196" s="3" t="str">
        <f>"E" &amp; TEXT(VALUE(SUBSTITUTE(SUBSTITUTE(SUBSTITUTE(UPPER(TRIM('Sales_RAW(BEFORE)'!L202)), "EMP", ""), "E", ""), "-", "")),"000")</f>
        <v>E004</v>
      </c>
      <c r="N196" s="3" t="str">
        <f>_xlfn.XLOOKUP(M196,Employees!$D$2:$D$26,Employees!$A$2:$A$26)</f>
        <v>Sophia Johnson</v>
      </c>
      <c r="O196" s="3" t="str">
        <f>_xlfn.XLOOKUP(N196,Employees!$A$2:$A$26,Employees!$C$2:$C$26,2)</f>
        <v>Wholesale</v>
      </c>
      <c r="P196" s="3" t="str">
        <f>PROPER('Sales_RAW(BEFORE)'!N202)</f>
        <v>North</v>
      </c>
      <c r="Q196" s="3" t="str">
        <f>VLOOKUP(N196,Employees!$A$2:$B$26,2,FALSE)</f>
        <v>Houston</v>
      </c>
      <c r="R196" s="3" t="str">
        <f>PROPER('Sales_RAW(BEFORE)'!P202)</f>
        <v xml:space="preserve">Stark Inc   </v>
      </c>
      <c r="S196" s="3" t="str">
        <f>SUBSTITUTE(SUBSTITUTE('Sales_RAW(BEFORE)'!Q202,"EIN",""),":","")</f>
        <v>706926794</v>
      </c>
      <c r="T196" s="3" t="s">
        <v>258</v>
      </c>
      <c r="U196" s="3" t="s">
        <v>3380</v>
      </c>
      <c r="V196" s="3" t="s">
        <v>3381</v>
      </c>
      <c r="W196" s="3" t="s">
        <v>134</v>
      </c>
      <c r="X196" s="3" t="s">
        <v>173</v>
      </c>
      <c r="Y196" s="3" t="str">
        <f>PROPER('Sales_RAW(BEFORE)'!W202)</f>
        <v>Credit Card</v>
      </c>
      <c r="Z196" s="3" t="str">
        <f>PROPER('Sales_RAW(BEFORE)'!X202)</f>
        <v>Pending</v>
      </c>
      <c r="AA196" s="3" t="str" cm="1">
        <f t="array" ref="AA196">_xlfn.LET(
  _xlpm.val, TRIM(LOWER('Sales_RAW(BEFORE)'!Y202)),
  _xlfn.IFS(
    OR(_xlpm.val="yes", _xlpm.val="paid"), "Paid",
    OR(_xlpm.val="no", _xlpm.val="unpaid"), "Unpaid",
    OR(_xlpm.val="partial", _xlpm.val="partial paid"), "Partial",
    _xlpm.val="", "",
    TRUE, 'Sales_RAW(BEFORE)'!AY202
  )
)</f>
        <v>Paid</v>
      </c>
      <c r="AB196" s="3" t="s">
        <v>3382</v>
      </c>
      <c r="AC196" s="3" t="str">
        <f>PROPER('Sales_RAW(BEFORE)'!AA202)</f>
        <v>Phone</v>
      </c>
      <c r="AD196" s="3" t="str">
        <f>SUBSTITUTE(SUBSTITUTE(SUBSTITUTE(SUBSTITUTE('Sales_RAW(BEFORE)'!AB202,"st",""),"q",""),"Q",""),"uarter","")</f>
        <v>2</v>
      </c>
      <c r="AE196" s="3" t="str">
        <f>TEXT(IFERROR(DATEVALUE('Sales_RAW(BEFORE)'!AC202 &amp; " 1"), IFERROR(DATE(2025, 'Sales_RAW(BEFORE)'!AC202, 1), 'Sales_RAW(BEFORE)'!AC202)), "mmmm")</f>
        <v>January</v>
      </c>
      <c r="AF196" s="3">
        <f>_xlfn.LET(
  _xlpm.raw, TRIM(SUBSTITUTE('Sales_RAW(BEFORE)'!AD202, "'", "")),
  _xlpm.num, IFERROR(VALUE(_xlpm.raw), 0),
  IF(_xlpm.num &lt; 100, 2000 + _xlpm.num, _xlpm.num)
)</f>
        <v>2025</v>
      </c>
      <c r="AG196" s="3" t="str">
        <f>PROPER('Sales_RAW(BEFORE)'!AE202)</f>
        <v>Net 60</v>
      </c>
      <c r="AH196" s="3" cm="1">
        <f t="array" ref="AH196">_xlfn.LET(
  _xlpm.val, LOWER(TRIM('Sales_RAW(BEFORE)'!AF202)),
  _xlfn.IFS(
    OR(_xlpm.val="", _xlpm.val="null", _xlpm.val="N/A", _xlpm.val="-", _xlpm.val="#N/A"), 0,
    ISNUMBER('Sales_RAW(BEFORE)'!AF202), 'Sales_RAW(BEFORE)'!AF202,
    TRUE, IFERROR(_xlfn.NUMBERVALUE(_xlpm.val), 0)
  )
)</f>
        <v>53</v>
      </c>
      <c r="AI196" s="5">
        <f>IF(IFERROR(VALUE(SUBSTITUTE(SUBSTITUTE(TRIM('Sales_RAW(BEFORE)'!AG202), "%", ""), ",", ".")), 0) &gt; 1, IFERROR(VALUE(SUBSTITUTE(SUBSTITUTE(TRIM('Sales_RAW(BEFORE)'!AG202), "%", ""), ",", ".")), 0) / 100, IFERROR(VALUE(SUBSTITUTE(SUBSTITUTE(TRIM('Sales_RAW(BEFORE)'!AG202), "%", ""), ",", ".")), 0))</f>
        <v>0.08</v>
      </c>
      <c r="AJ196" s="6">
        <f t="shared" si="16"/>
        <v>845.86320000000012</v>
      </c>
      <c r="AK196" s="6">
        <f t="shared" si="17"/>
        <v>11419.153200000001</v>
      </c>
      <c r="AL196" s="6">
        <f>IFERROR(VALUE(SUBSTITUTE(SUBSTITUTE(SUBSTITUTE('Sales_RAW(BEFORE)'!AJ202,"$",""),"USD",""),",",".")),0)</f>
        <v>21.19</v>
      </c>
      <c r="AM196" s="3" t="str">
        <f>SUBSTITUTE(SUBSTITUTE(PROPER('Sales_RAW(BEFORE)'!AK202), "Fed Ex", "FedEx"),"Fedex","FedEx")</f>
        <v>Ups</v>
      </c>
      <c r="AN196" s="3" t="s">
        <v>3384</v>
      </c>
      <c r="AO196" s="3" t="str">
        <f>SUBSTITUTE('Sales_RAW(BEFORE)'!AM202,"kg","")</f>
        <v xml:space="preserve">21.3 </v>
      </c>
      <c r="AP196" s="3" t="str">
        <f>_xlfn.LET(
  _xlpm.raw, UPPER(TRIM('Sales_RAW(BEFORE)'!AN202)),
  _xlpm.clean, RIGHT(_xlpm.raw, 1),
  IF(OR(_xlpm.raw="", _xlpm.raw="null"), "N/A", _xlpm.clean)
)</f>
        <v>A</v>
      </c>
      <c r="AQ196" s="3">
        <v>43</v>
      </c>
      <c r="AR196" s="3" t="str" cm="1">
        <f t="array" ref="AR196">_xlfn.LET(
  _xlpm.raw, LOWER(TRIM('Sales_RAW(BEFORE)'!AP202)),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196" s="3"/>
      <c r="AT196" s="3"/>
      <c r="AU196" s="3"/>
      <c r="AV196" s="8">
        <f>IF(IFERROR(VALUE(SUBSTITUTE(SUBSTITUTE(TRIM('Sales_RAW(BEFORE)'!AT202), "%", ""), ",", ".")), 0) &gt; 1, IFERROR(VALUE(SUBSTITUTE(SUBSTITUTE(TRIM('Sales_RAW(BEFORE)'!AT202), "%", ""), ",", ".")), 0) / 100, IFERROR(VALUE(SUBSTITUTE(SUBSTITUTE(TRIM('Sales_RAW(BEFORE)'!AT202), "%", ""), ",", ".")), 0))</f>
        <v>0</v>
      </c>
      <c r="AW196" s="6">
        <f>BA196*(_xlfn.XLOOKUP(N196,Employees!$A$2:$A$26,Employees!$E$2:$E$26,2))</f>
        <v>456.76612800000004</v>
      </c>
      <c r="AX196" s="3" t="str">
        <f>PROPER('Sales_RAW(BEFORE)'!AV202)</f>
        <v xml:space="preserve"> Sophia Jones   </v>
      </c>
      <c r="AY196" s="3" t="str">
        <f t="shared" si="18"/>
        <v xml:space="preserve"> Sophia Jones   </v>
      </c>
      <c r="AZ196" s="3"/>
      <c r="BA196" s="24">
        <f>AK196*(1-(_xlfn.XLOOKUP(G196, Exchange_Rates!$B$8:$F$8, Exchange_Rates!$B$9:$F$9, 0)+J196))</f>
        <v>9135.3225600000005</v>
      </c>
      <c r="BB196" s="7" cm="1">
        <f t="array" ref="BB196">_xlfn.LET(
  _xlpm.raw_dt, SUBSTITUTE(TRIM(C196), ".", "/"),
  _xlpm.dt, IFERROR(DATEVALUE(_xlpm.raw_dt), C196),
  _xlpm.p_code, TRIM(E196),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46785</v>
      </c>
      <c r="BC196" s="25">
        <f t="shared" si="19"/>
        <v>0</v>
      </c>
    </row>
    <row r="197" spans="1:55" ht="15.75" thickBot="1" x14ac:dyDescent="0.3">
      <c r="A197" s="3" t="s">
        <v>3387</v>
      </c>
      <c r="B197" s="10">
        <v>46028</v>
      </c>
      <c r="C197" s="4">
        <v>46059</v>
      </c>
      <c r="D197" s="3" t="str">
        <f>"P-" &amp; TEXT(VALUE(SUBSTITUTE(SUBSTITUTE(SUBSTITUTE(UPPER(TRIM('Sales_RAW(BEFORE)'!D203)), "P", ""), "-", ""), "_", "")),"000")</f>
        <v>P-033</v>
      </c>
      <c r="E197" s="3" t="str">
        <f>VLOOKUP(D197,Product_List!$A$2:$B$61,2,FALSE)</f>
        <v>Printer X 33</v>
      </c>
      <c r="F197" s="3" t="str">
        <f>_xlfn.XLOOKUP(E197,Product_List!$B$2:$B$61,Product_List!$E$2:$E$61,2)</f>
        <v>Global Distrib</v>
      </c>
      <c r="G197" s="3" t="str">
        <f>VLOOKUP(E197,Product_List!$B$2:$C$61,2,FALSE)</f>
        <v>Office</v>
      </c>
      <c r="H197" s="3" t="str">
        <f>SUBSTITUTE(SUBSTITUTE('Sales_RAW(BEFORE)'!G203,"kom",""),".","")</f>
        <v>2</v>
      </c>
      <c r="I197" s="6">
        <f>VLOOKUP(E197,Product_List!$B$2:$D$61,3,FALSE)</f>
        <v>129.06</v>
      </c>
      <c r="J197" s="5">
        <f>IF(IFERROR(VALUE(SUBSTITUTE(SUBSTITUTE(TRIM('Sales_RAW(BEFORE)'!I203), "%", ""), ",", ".")), 0) &gt; 1, IFERROR(VALUE(SUBSTITUTE(SUBSTITUTE(TRIM('Sales_RAW(BEFORE)'!I203), "%", ""), ",", ".")), 0) / 100, IFERROR(VALUE(SUBSTITUTE(SUBSTITUTE(TRIM('Sales_RAW(BEFORE)'!I203), "%", ""), ",", ".")), 0))</f>
        <v>0.1</v>
      </c>
      <c r="K197" s="6">
        <f t="shared" si="15"/>
        <v>258.12</v>
      </c>
      <c r="L197" s="6" t="str" cm="1">
        <f t="array" ref="L197">_xlfn.LET(
  _xlpm.valuta, UPPER(TRIM('Sales_RAW(BEFORE)'!K203)),
  _xlfn.IFS(
    _xlpm.valuta = "", "",
    OR(_xlpm.valuta = "USD", _xlpm.valuta = "$"), "$",
    OR(_xlpm.valuta = "EUR", _xlpm.valuta = "€"), "€",
    TRUE, _xlpm.valuta
  )
)</f>
        <v>$</v>
      </c>
      <c r="M197" s="3" t="str">
        <f>"E" &amp; TEXT(VALUE(SUBSTITUTE(SUBSTITUTE(SUBSTITUTE(UPPER(TRIM('Sales_RAW(BEFORE)'!L203)), "EMP", ""), "E", ""), "-", "")),"000")</f>
        <v>E001</v>
      </c>
      <c r="N197" s="3" t="str">
        <f>_xlfn.XLOOKUP(M197,Employees!$D$2:$D$26,Employees!$A$2:$A$26)</f>
        <v>Sarah Wilson</v>
      </c>
      <c r="O197" s="3" t="str">
        <f>_xlfn.XLOOKUP(N197,Employees!$A$2:$A$26,Employees!$C$2:$C$26,2)</f>
        <v>Online</v>
      </c>
      <c r="P197" s="3" t="str">
        <f>PROPER('Sales_RAW(BEFORE)'!N203)</f>
        <v>South</v>
      </c>
      <c r="Q197" s="3" t="str">
        <f>VLOOKUP(N197,Employees!$A$2:$B$26,2,FALSE)</f>
        <v>Los Angeles</v>
      </c>
      <c r="R197" s="3" t="str">
        <f>PROPER('Sales_RAW(BEFORE)'!P203)</f>
        <v xml:space="preserve"> Initech Ltd.</v>
      </c>
      <c r="S197" s="3" t="str">
        <f>SUBSTITUTE(SUBSTITUTE('Sales_RAW(BEFORE)'!Q203,"EIN",""),":","")</f>
        <v xml:space="preserve"> 281325279</v>
      </c>
      <c r="T197" s="3" t="s">
        <v>1815</v>
      </c>
      <c r="U197" s="3" t="s">
        <v>3394</v>
      </c>
      <c r="V197" s="3" t="s">
        <v>3395</v>
      </c>
      <c r="W197" s="3" t="s">
        <v>3396</v>
      </c>
      <c r="X197" s="3" t="s">
        <v>173</v>
      </c>
      <c r="Y197" s="3" t="str">
        <f>PROPER('Sales_RAW(BEFORE)'!W203)</f>
        <v>Wire</v>
      </c>
      <c r="Z197" s="3" t="str">
        <f>PROPER('Sales_RAW(BEFORE)'!X203)</f>
        <v>Pending</v>
      </c>
      <c r="AA197" s="3" t="str" cm="1">
        <f t="array" ref="AA197">_xlfn.LET(
  _xlpm.val, TRIM(LOWER('Sales_RAW(BEFORE)'!Y203)),
  _xlfn.IFS(
    OR(_xlpm.val="yes", _xlpm.val="paid"), "Paid",
    OR(_xlpm.val="no", _xlpm.val="unpaid"), "Unpaid",
    OR(_xlpm.val="partial", _xlpm.val="partial paid"), "Partial",
    _xlpm.val="", "",
    TRUE, 'Sales_RAW(BEFORE)'!AY203
  )
)</f>
        <v>Unpaid</v>
      </c>
      <c r="AB197" s="3" t="s">
        <v>3397</v>
      </c>
      <c r="AC197" s="3" t="str">
        <f>PROPER('Sales_RAW(BEFORE)'!AA203)</f>
        <v>Store</v>
      </c>
      <c r="AD197" s="3" t="str">
        <f>SUBSTITUTE(SUBSTITUTE(SUBSTITUTE(SUBSTITUTE('Sales_RAW(BEFORE)'!AB203,"st",""),"q",""),"Q",""),"uarter","")</f>
        <v xml:space="preserve">1 </v>
      </c>
      <c r="AE197" s="3" t="str">
        <f>TEXT(IFERROR(DATEVALUE('Sales_RAW(BEFORE)'!AC203 &amp; " 1"), IFERROR(DATE(2025, 'Sales_RAW(BEFORE)'!AC203, 1), 'Sales_RAW(BEFORE)'!AC203)), "mmmm")</f>
        <v>June</v>
      </c>
      <c r="AF197" s="3">
        <f>_xlfn.LET(
  _xlpm.raw, TRIM(SUBSTITUTE('Sales_RAW(BEFORE)'!AD203, "'", "")),
  _xlpm.num, IFERROR(VALUE(_xlpm.raw), 0),
  IF(_xlpm.num &lt; 100, 2000 + _xlpm.num, _xlpm.num)
)</f>
        <v>2026</v>
      </c>
      <c r="AG197" s="3" t="str">
        <f>PROPER('Sales_RAW(BEFORE)'!AE203)</f>
        <v>Immediate</v>
      </c>
      <c r="AH197" s="3" cm="1">
        <f t="array" ref="AH197">_xlfn.LET(
  _xlpm.val, LOWER(TRIM('Sales_RAW(BEFORE)'!AF203)),
  _xlfn.IFS(
    OR(_xlpm.val="", _xlpm.val="null", _xlpm.val="N/A", _xlpm.val="-", _xlpm.val="#N/A"), 0,
    ISNUMBER('Sales_RAW(BEFORE)'!AF203), 'Sales_RAW(BEFORE)'!AF203,
    TRUE, IFERROR(_xlfn.NUMBERVALUE(_xlpm.val), 0)
  )
)</f>
        <v>18</v>
      </c>
      <c r="AI197" s="5">
        <f>IF(IFERROR(VALUE(SUBSTITUTE(SUBSTITUTE(TRIM('Sales_RAW(BEFORE)'!AG203), "%", ""), ",", ".")), 0) &gt; 1, IFERROR(VALUE(SUBSTITUTE(SUBSTITUTE(TRIM('Sales_RAW(BEFORE)'!AG203), "%", ""), ",", ".")), 0) / 100, IFERROR(VALUE(SUBSTITUTE(SUBSTITUTE(TRIM('Sales_RAW(BEFORE)'!AG203), "%", ""), ",", ".")), 0))</f>
        <v>0.08</v>
      </c>
      <c r="AJ197" s="6">
        <f t="shared" si="16"/>
        <v>20.6496</v>
      </c>
      <c r="AK197" s="6">
        <f t="shared" si="17"/>
        <v>278.76960000000003</v>
      </c>
      <c r="AL197" s="6">
        <f>IFERROR(VALUE(SUBSTITUTE(SUBSTITUTE(SUBSTITUTE('Sales_RAW(BEFORE)'!AJ203,"$",""),"USD",""),",",".")),0)</f>
        <v>32.86</v>
      </c>
      <c r="AM197" s="3" t="str">
        <f>SUBSTITUTE(SUBSTITUTE(PROPER('Sales_RAW(BEFORE)'!AK203), "Fed Ex", "FedEx"),"Fedex","FedEx")</f>
        <v>Dhl</v>
      </c>
      <c r="AN197" s="3" t="s">
        <v>3399</v>
      </c>
      <c r="AO197" s="3" t="str">
        <f>SUBSTITUTE('Sales_RAW(BEFORE)'!AM203,"kg","")</f>
        <v>15.18</v>
      </c>
      <c r="AP197" s="3" t="str">
        <f>_xlfn.LET(
  _xlpm.raw, UPPER(TRIM('Sales_RAW(BEFORE)'!AN203)),
  _xlpm.clean, RIGHT(_xlpm.raw, 1),
  IF(OR(_xlpm.raw="", _xlpm.raw="null"), "N/A", _xlpm.clean)
)</f>
        <v>A</v>
      </c>
      <c r="AQ197" s="3">
        <v>386</v>
      </c>
      <c r="AR197" s="3" cm="1">
        <f t="array" ref="AR197">_xlfn.LET(
  _xlpm.raw, LOWER(TRIM('Sales_RAW(BEFORE)'!AP203)),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197" s="3"/>
      <c r="AT197" s="3"/>
      <c r="AU197" s="3"/>
      <c r="AV197" s="8">
        <f>IF(IFERROR(VALUE(SUBSTITUTE(SUBSTITUTE(TRIM('Sales_RAW(BEFORE)'!AT203), "%", ""), ",", ".")), 0) &gt; 1, IFERROR(VALUE(SUBSTITUTE(SUBSTITUTE(TRIM('Sales_RAW(BEFORE)'!AT203), "%", ""), ",", ".")), 0) / 100, IFERROR(VALUE(SUBSTITUTE(SUBSTITUTE(TRIM('Sales_RAW(BEFORE)'!AT203), "%", ""), ",", ".")), 0))</f>
        <v>0.25</v>
      </c>
      <c r="AW197" s="6">
        <f>BA197*(_xlfn.XLOOKUP(N197,Employees!$A$2:$A$26,Employees!$E$2:$E$26,2))</f>
        <v>6.6904704000000006</v>
      </c>
      <c r="AX197" s="3" t="str">
        <f>PROPER('Sales_RAW(BEFORE)'!AV203)</f>
        <v xml:space="preserve">   David Smith</v>
      </c>
      <c r="AY197" s="3" t="str">
        <f t="shared" si="18"/>
        <v xml:space="preserve">   David Smith</v>
      </c>
      <c r="AZ197" s="3"/>
      <c r="BA197" s="24">
        <f>AK197*(1-(_xlfn.XLOOKUP(G197, Exchange_Rates!$B$8:$F$8, Exchange_Rates!$B$9:$F$9, 0)+J197))</f>
        <v>223.01568000000003</v>
      </c>
      <c r="BB197" s="7" cm="1">
        <f t="array" ref="BB197">_xlfn.LET(
  _xlpm.raw_dt, SUBSTITUTE(TRIM(C197), ".", "/"),
  _xlpm.dt, IFERROR(DATEVALUE(_xlpm.raw_dt), C197),
  _xlpm.p_code, TRIM(E197),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46789</v>
      </c>
      <c r="BC197" s="25">
        <f t="shared" si="19"/>
        <v>55.753920000000008</v>
      </c>
    </row>
    <row r="198" spans="1:55" ht="15.75" thickBot="1" x14ac:dyDescent="0.3">
      <c r="A198" s="3" t="s">
        <v>3401</v>
      </c>
      <c r="B198" s="10">
        <f>DATE(2025,7,4)</f>
        <v>45842</v>
      </c>
      <c r="C198" s="4">
        <v>45876</v>
      </c>
      <c r="D198" s="3" t="str">
        <f>"P-" &amp; TEXT(VALUE(SUBSTITUTE(SUBSTITUTE(SUBSTITUTE(UPPER(TRIM('Sales_RAW(BEFORE)'!D204)), "P", ""), "-", ""), "_", "")),"000")</f>
        <v>P-029</v>
      </c>
      <c r="E198" s="3" t="str">
        <f>VLOOKUP(D198,Product_List!$A$2:$B$61,2,FALSE)</f>
        <v>Keyboard Plus 29</v>
      </c>
      <c r="F198" s="3" t="str">
        <f>_xlfn.XLOOKUP(E198,Product_List!$B$2:$B$61,Product_List!$E$2:$E$61,2)</f>
        <v>OfficeHub</v>
      </c>
      <c r="G198" s="3" t="str">
        <f>VLOOKUP(E198,Product_List!$B$2:$C$61,2,FALSE)</f>
        <v>Software</v>
      </c>
      <c r="H198" s="3" t="str">
        <f>SUBSTITUTE(SUBSTITUTE('Sales_RAW(BEFORE)'!G204,"kom",""),".","")</f>
        <v>29</v>
      </c>
      <c r="I198" s="6">
        <f>VLOOKUP(E198,Product_List!$B$2:$D$61,3,FALSE)</f>
        <v>1375.64</v>
      </c>
      <c r="J198" s="5">
        <f>IF(IFERROR(VALUE(SUBSTITUTE(SUBSTITUTE(TRIM('Sales_RAW(BEFORE)'!I204), "%", ""), ",", ".")), 0) &gt; 1, IFERROR(VALUE(SUBSTITUTE(SUBSTITUTE(TRIM('Sales_RAW(BEFORE)'!I204), "%", ""), ",", ".")), 0) / 100, IFERROR(VALUE(SUBSTITUTE(SUBSTITUTE(TRIM('Sales_RAW(BEFORE)'!I204), "%", ""), ",", ".")), 0))</f>
        <v>0.1</v>
      </c>
      <c r="K198" s="6">
        <f t="shared" si="15"/>
        <v>39893.560000000005</v>
      </c>
      <c r="L198" s="6" t="str" cm="1">
        <f t="array" ref="L198">_xlfn.LET(
  _xlpm.valuta, UPPER(TRIM('Sales_RAW(BEFORE)'!K204)),
  _xlfn.IFS(
    _xlpm.valuta = "", "",
    OR(_xlpm.valuta = "USD", _xlpm.valuta = "$"), "$",
    OR(_xlpm.valuta = "EUR", _xlpm.valuta = "€"), "€",
    TRUE, _xlpm.valuta
  )
)</f>
        <v>$</v>
      </c>
      <c r="M198" s="3" t="str">
        <f>"E" &amp; TEXT(VALUE(SUBSTITUTE(SUBSTITUTE(SUBSTITUTE(UPPER(TRIM('Sales_RAW(BEFORE)'!L204)), "EMP", ""), "E", ""), "-", "")),"000")</f>
        <v>E002</v>
      </c>
      <c r="N198" s="3" t="str">
        <f>_xlfn.XLOOKUP(M198,Employees!$D$2:$D$26,Employees!$A$2:$A$26)</f>
        <v>Sarah Wilson</v>
      </c>
      <c r="O198" s="3" t="str">
        <f>_xlfn.XLOOKUP(N198,Employees!$A$2:$A$26,Employees!$C$2:$C$26,2)</f>
        <v>Online</v>
      </c>
      <c r="P198" s="3" t="str">
        <f>PROPER('Sales_RAW(BEFORE)'!N204)</f>
        <v>West</v>
      </c>
      <c r="Q198" s="3" t="str">
        <f>VLOOKUP(N198,Employees!$A$2:$B$26,2,FALSE)</f>
        <v>Los Angeles</v>
      </c>
      <c r="R198" s="3" t="str">
        <f>PROPER('Sales_RAW(BEFORE)'!P204)</f>
        <v>Wayne Inc</v>
      </c>
      <c r="S198" s="3" t="str">
        <f>SUBSTITUTE(SUBSTITUTE('Sales_RAW(BEFORE)'!Q204,"EIN",""),":","")</f>
        <v>364410293</v>
      </c>
      <c r="T198" s="3" t="s">
        <v>1722</v>
      </c>
      <c r="U198" s="3" t="s">
        <v>3406</v>
      </c>
      <c r="V198" s="3" t="s">
        <v>3407</v>
      </c>
      <c r="W198" s="3" t="s">
        <v>3408</v>
      </c>
      <c r="X198" s="3" t="s">
        <v>173</v>
      </c>
      <c r="Y198" s="3" t="str">
        <f>PROPER('Sales_RAW(BEFORE)'!W204)</f>
        <v>Cash</v>
      </c>
      <c r="Z198" s="3" t="str">
        <f>PROPER('Sales_RAW(BEFORE)'!X204)</f>
        <v>Delivered</v>
      </c>
      <c r="AA198" s="3" t="str" cm="1">
        <f t="array" ref="AA198">_xlfn.LET(
  _xlpm.val, TRIM(LOWER('Sales_RAW(BEFORE)'!Y204)),
  _xlfn.IFS(
    OR(_xlpm.val="yes", _xlpm.val="paid"), "Paid",
    OR(_xlpm.val="no", _xlpm.val="unpaid"), "Unpaid",
    OR(_xlpm.val="partial", _xlpm.val="partial paid"), "Partial",
    _xlpm.val="", "",
    TRUE, 'Sales_RAW(BEFORE)'!AY204
  )
)</f>
        <v>Unpaid</v>
      </c>
      <c r="AB198" s="3" t="s">
        <v>3409</v>
      </c>
      <c r="AC198" s="3" t="str">
        <f>PROPER('Sales_RAW(BEFORE)'!AA204)</f>
        <v>Phone</v>
      </c>
      <c r="AD198" s="3" t="str">
        <f>SUBSTITUTE(SUBSTITUTE(SUBSTITUTE(SUBSTITUTE('Sales_RAW(BEFORE)'!AB204,"st",""),"q",""),"Q",""),"uarter","")</f>
        <v>1</v>
      </c>
      <c r="AE198" s="3" t="str">
        <f>TEXT(IFERROR(DATEVALUE('Sales_RAW(BEFORE)'!AC204 &amp; " 1"), IFERROR(DATE(2025, 'Sales_RAW(BEFORE)'!AC204, 1), 'Sales_RAW(BEFORE)'!AC204)), "mmmm")</f>
        <v>July</v>
      </c>
      <c r="AF198" s="3">
        <f>_xlfn.LET(
  _xlpm.raw, TRIM(SUBSTITUTE('Sales_RAW(BEFORE)'!AD204, "'", "")),
  _xlpm.num, IFERROR(VALUE(_xlpm.raw), 0),
  IF(_xlpm.num &lt; 100, 2000 + _xlpm.num, _xlpm.num)
)</f>
        <v>2025</v>
      </c>
      <c r="AG198" s="3" t="str">
        <f>PROPER('Sales_RAW(BEFORE)'!AE204)</f>
        <v>15</v>
      </c>
      <c r="AH198" s="3" cm="1">
        <f t="array" ref="AH198">_xlfn.LET(
  _xlpm.val, LOWER(TRIM('Sales_RAW(BEFORE)'!AF204)),
  _xlfn.IFS(
    OR(_xlpm.val="", _xlpm.val="null", _xlpm.val="N/A", _xlpm.val="-", _xlpm.val="#N/A"), 0,
    ISNUMBER('Sales_RAW(BEFORE)'!AF204), 'Sales_RAW(BEFORE)'!AF204,
    TRUE, IFERROR(_xlfn.NUMBERVALUE(_xlpm.val), 0)
  )
)</f>
        <v>53</v>
      </c>
      <c r="AI198" s="5">
        <f>IF(IFERROR(VALUE(SUBSTITUTE(SUBSTITUTE(TRIM('Sales_RAW(BEFORE)'!AG204), "%", ""), ",", ".")), 0) &gt; 1, IFERROR(VALUE(SUBSTITUTE(SUBSTITUTE(TRIM('Sales_RAW(BEFORE)'!AG204), "%", ""), ",", ".")), 0) / 100, IFERROR(VALUE(SUBSTITUTE(SUBSTITUTE(TRIM('Sales_RAW(BEFORE)'!AG204), "%", ""), ",", ".")), 0))</f>
        <v>0.08</v>
      </c>
      <c r="AJ198" s="6">
        <f t="shared" si="16"/>
        <v>3191.4848000000006</v>
      </c>
      <c r="AK198" s="6">
        <f t="shared" si="17"/>
        <v>43085.044800000003</v>
      </c>
      <c r="AL198" s="6">
        <f>IFERROR(VALUE(SUBSTITUTE(SUBSTITUTE(SUBSTITUTE('Sales_RAW(BEFORE)'!AJ204,"$",""),"USD",""),",",".")),0)</f>
        <v>19</v>
      </c>
      <c r="AM198" s="3" t="str">
        <f>SUBSTITUTE(SUBSTITUTE(PROPER('Sales_RAW(BEFORE)'!AK204), "Fed Ex", "FedEx"),"Fedex","FedEx")</f>
        <v>Ups</v>
      </c>
      <c r="AN198" s="3" t="s">
        <v>3411</v>
      </c>
      <c r="AO198" s="3" t="str">
        <f>SUBSTITUTE('Sales_RAW(BEFORE)'!AM204,"kg","")</f>
        <v>5.19</v>
      </c>
      <c r="AP198" s="3" t="str">
        <f>_xlfn.LET(
  _xlpm.raw, UPPER(TRIM('Sales_RAW(BEFORE)'!AN204)),
  _xlpm.clean, RIGHT(_xlpm.raw, 1),
  IF(OR(_xlpm.raw="", _xlpm.raw="null"), "N/A", _xlpm.clean)
)</f>
        <v>B</v>
      </c>
      <c r="AQ198" s="3">
        <v>109</v>
      </c>
      <c r="AR198" s="3" cm="1">
        <f t="array" ref="AR198">_xlfn.LET(
  _xlpm.raw, LOWER(TRIM('Sales_RAW(BEFORE)'!AP204)),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198" s="3"/>
      <c r="AT198" s="3"/>
      <c r="AU198" s="3"/>
      <c r="AV198" s="8">
        <f>IF(IFERROR(VALUE(SUBSTITUTE(SUBSTITUTE(TRIM('Sales_RAW(BEFORE)'!AT204), "%", ""), ",", ".")), 0) &gt; 1, IFERROR(VALUE(SUBSTITUTE(SUBSTITUTE(TRIM('Sales_RAW(BEFORE)'!AT204), "%", ""), ",", ".")), 0) / 100, IFERROR(VALUE(SUBSTITUTE(SUBSTITUTE(TRIM('Sales_RAW(BEFORE)'!AT204), "%", ""), ",", ".")), 0))</f>
        <v>0.15</v>
      </c>
      <c r="AW198" s="6">
        <f>BA198*(_xlfn.XLOOKUP(N198,Employees!$A$2:$A$26,Employees!$E$2:$E$26,2))</f>
        <v>969.41350800000009</v>
      </c>
      <c r="AX198" s="3" t="str">
        <f>PROPER('Sales_RAW(BEFORE)'!AV204)</f>
        <v xml:space="preserve"> Sarah Anderson</v>
      </c>
      <c r="AY198" s="3" t="str">
        <f t="shared" si="18"/>
        <v xml:space="preserve"> Sarah Anderson</v>
      </c>
      <c r="AZ198" s="3"/>
      <c r="BA198" s="24">
        <f>AK198*(1-(_xlfn.XLOOKUP(G198, Exchange_Rates!$B$8:$F$8, Exchange_Rates!$B$9:$F$9, 0)+J198))</f>
        <v>32313.783600000002</v>
      </c>
      <c r="BB198" s="7" cm="1">
        <f t="array" ref="BB198">_xlfn.LET(
  _xlpm.raw_dt, SUBSTITUTE(TRIM(C198), ".", "/"),
  _xlpm.dt, IFERROR(DATEVALUE(_xlpm.raw_dt), C198),
  _xlpm.p_code, TRIM(E198),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46606</v>
      </c>
      <c r="BC198" s="25">
        <f t="shared" si="19"/>
        <v>4847.06754</v>
      </c>
    </row>
    <row r="199" spans="1:55" ht="15.75" thickBot="1" x14ac:dyDescent="0.3">
      <c r="A199" s="3" t="s">
        <v>3414</v>
      </c>
      <c r="B199" s="10">
        <f>DATE(2025,4,17)</f>
        <v>45764</v>
      </c>
      <c r="C199" s="4">
        <f>DATE(2025,4,26)</f>
        <v>45773</v>
      </c>
      <c r="D199" s="3" t="str">
        <f>"P-" &amp; TEXT(VALUE(SUBSTITUTE(SUBSTITUTE(SUBSTITUTE(UPPER(TRIM('Sales_RAW(BEFORE)'!D205)), "P", ""), "-", ""), "_", "")),"000")</f>
        <v>P-021</v>
      </c>
      <c r="E199" s="3" t="str">
        <f>VLOOKUP(D199,Product_List!$A$2:$B$61,2,FALSE)</f>
        <v>Monitor Max 21</v>
      </c>
      <c r="F199" s="3" t="str">
        <f>_xlfn.XLOOKUP(E199,Product_List!$B$2:$B$61,Product_List!$E$2:$E$61,2)</f>
        <v>OfficeHub</v>
      </c>
      <c r="G199" s="3" t="str">
        <f>VLOOKUP(E199,Product_List!$B$2:$C$61,2,FALSE)</f>
        <v>Equipment</v>
      </c>
      <c r="H199" s="3" t="str">
        <f>SUBSTITUTE(SUBSTITUTE('Sales_RAW(BEFORE)'!G205,"kom",""),".","")</f>
        <v>10</v>
      </c>
      <c r="I199" s="6">
        <f>VLOOKUP(E199,Product_List!$B$2:$D$61,3,FALSE)</f>
        <v>1184.7</v>
      </c>
      <c r="J199" s="5">
        <f>IF(IFERROR(VALUE(SUBSTITUTE(SUBSTITUTE(TRIM('Sales_RAW(BEFORE)'!I205), "%", ""), ",", ".")), 0) &gt; 1, IFERROR(VALUE(SUBSTITUTE(SUBSTITUTE(TRIM('Sales_RAW(BEFORE)'!I205), "%", ""), ",", ".")), 0) / 100, IFERROR(VALUE(SUBSTITUTE(SUBSTITUTE(TRIM('Sales_RAW(BEFORE)'!I205), "%", ""), ",", ".")), 0))</f>
        <v>0</v>
      </c>
      <c r="K199" s="6">
        <f t="shared" si="15"/>
        <v>11847</v>
      </c>
      <c r="L199" s="6" t="str" cm="1">
        <f t="array" ref="L199">_xlfn.LET(
  _xlpm.valuta, UPPER(TRIM('Sales_RAW(BEFORE)'!K205)),
  _xlfn.IFS(
    _xlpm.valuta = "", "",
    OR(_xlpm.valuta = "USD", _xlpm.valuta = "$"), "$",
    OR(_xlpm.valuta = "EUR", _xlpm.valuta = "€"), "€",
    TRUE, _xlpm.valuta
  )
)</f>
        <v>$</v>
      </c>
      <c r="M199" s="3" t="str">
        <f>"E" &amp; TEXT(VALUE(SUBSTITUTE(SUBSTITUTE(SUBSTITUTE(UPPER(TRIM('Sales_RAW(BEFORE)'!L205)), "EMP", ""), "E", ""), "-", "")),"000")</f>
        <v>E021</v>
      </c>
      <c r="N199" s="3" t="str">
        <f>_xlfn.XLOOKUP(M199,Employees!$D$2:$D$26,Employees!$A$2:$A$26)</f>
        <v>Chris Williams</v>
      </c>
      <c r="O199" s="3" t="str">
        <f>_xlfn.XLOOKUP(N199,Employees!$A$2:$A$26,Employees!$C$2:$C$26,2)</f>
        <v>Sales</v>
      </c>
      <c r="P199" s="3" t="str">
        <f>PROPER('Sales_RAW(BEFORE)'!N205)</f>
        <v>North</v>
      </c>
      <c r="Q199" s="3" t="str">
        <f>VLOOKUP(N199,Employees!$A$2:$B$26,2,FALSE)</f>
        <v>Boston</v>
      </c>
      <c r="R199" s="3" t="str">
        <f>PROPER('Sales_RAW(BEFORE)'!P205)</f>
        <v xml:space="preserve">Initech Ltd.   </v>
      </c>
      <c r="S199" s="3" t="str">
        <f>SUBSTITUTE(SUBSTITUTE('Sales_RAW(BEFORE)'!Q205,"EIN",""),":","")</f>
        <v>139733193</v>
      </c>
      <c r="T199" s="3"/>
      <c r="U199" s="3" t="s">
        <v>3423</v>
      </c>
      <c r="V199" s="3" t="s">
        <v>3424</v>
      </c>
      <c r="W199" s="3" t="s">
        <v>3425</v>
      </c>
      <c r="X199" s="3" t="s">
        <v>173</v>
      </c>
      <c r="Y199" s="3" t="str">
        <f>PROPER('Sales_RAW(BEFORE)'!W205)</f>
        <v>Wire Transfer</v>
      </c>
      <c r="Z199" s="3" t="str">
        <f>PROPER('Sales_RAW(BEFORE)'!X205)</f>
        <v>Delivered</v>
      </c>
      <c r="AA199" s="3" t="str" cm="1">
        <f t="array" ref="AA199">_xlfn.LET(
  _xlpm.val, TRIM(LOWER('Sales_RAW(BEFORE)'!Y205)),
  _xlfn.IFS(
    OR(_xlpm.val="yes", _xlpm.val="paid"), "Paid",
    OR(_xlpm.val="no", _xlpm.val="unpaid"), "Unpaid",
    OR(_xlpm.val="partial", _xlpm.val="partial paid"), "Partial",
    _xlpm.val="", "",
    TRUE, 'Sales_RAW(BEFORE)'!AY205
  )
)</f>
        <v>Unpaid</v>
      </c>
      <c r="AB199" s="3" t="s">
        <v>3426</v>
      </c>
      <c r="AC199" s="3" t="str">
        <f>PROPER('Sales_RAW(BEFORE)'!AA205)</f>
        <v>Online</v>
      </c>
      <c r="AD199" s="3" t="str">
        <f>SUBSTITUTE(SUBSTITUTE(SUBSTITUTE(SUBSTITUTE('Sales_RAW(BEFORE)'!AB205,"st",""),"q",""),"Q",""),"uarter","")</f>
        <v>4</v>
      </c>
      <c r="AE199" s="3" t="str">
        <f>TEXT(IFERROR(DATEVALUE('Sales_RAW(BEFORE)'!AC205 &amp; " 1"), IFERROR(DATE(2025, 'Sales_RAW(BEFORE)'!AC205, 1), 'Sales_RAW(BEFORE)'!AC205)), "mmmm")</f>
        <v>April</v>
      </c>
      <c r="AF199" s="3">
        <f>_xlfn.LET(
  _xlpm.raw, TRIM(SUBSTITUTE('Sales_RAW(BEFORE)'!AD205, "'", "")),
  _xlpm.num, IFERROR(VALUE(_xlpm.raw), 0),
  IF(_xlpm.num &lt; 100, 2000 + _xlpm.num, _xlpm.num)
)</f>
        <v>2025</v>
      </c>
      <c r="AG199" s="3" t="str">
        <f>PROPER('Sales_RAW(BEFORE)'!AE205)</f>
        <v>15</v>
      </c>
      <c r="AH199" s="3" cm="1">
        <f t="array" ref="AH199">_xlfn.LET(
  _xlpm.val, LOWER(TRIM('Sales_RAW(BEFORE)'!AF205)),
  _xlfn.IFS(
    OR(_xlpm.val="", _xlpm.val="null", _xlpm.val="N/A", _xlpm.val="-", _xlpm.val="#N/A"), 0,
    ISNUMBER('Sales_RAW(BEFORE)'!AF205), 'Sales_RAW(BEFORE)'!AF205,
    TRUE, IFERROR(_xlfn.NUMBERVALUE(_xlpm.val), 0)
  )
)</f>
        <v>67</v>
      </c>
      <c r="AI199" s="5">
        <f>IF(IFERROR(VALUE(SUBSTITUTE(SUBSTITUTE(TRIM('Sales_RAW(BEFORE)'!AG205), "%", ""), ",", ".")), 0) &gt; 1, IFERROR(VALUE(SUBSTITUTE(SUBSTITUTE(TRIM('Sales_RAW(BEFORE)'!AG205), "%", ""), ",", ".")), 0) / 100, IFERROR(VALUE(SUBSTITUTE(SUBSTITUTE(TRIM('Sales_RAW(BEFORE)'!AG205), "%", ""), ",", ".")), 0))</f>
        <v>0.08</v>
      </c>
      <c r="AJ199" s="6">
        <f t="shared" si="16"/>
        <v>947.76</v>
      </c>
      <c r="AK199" s="6">
        <f t="shared" si="17"/>
        <v>12794.76</v>
      </c>
      <c r="AL199" s="6">
        <f>IFERROR(VALUE(SUBSTITUTE(SUBSTITUTE(SUBSTITUTE('Sales_RAW(BEFORE)'!AJ205,"$",""),"USD",""),",",".")),0)</f>
        <v>13</v>
      </c>
      <c r="AM199" s="3" t="str">
        <f>SUBSTITUTE(SUBSTITUTE(PROPER('Sales_RAW(BEFORE)'!AK205), "Fed Ex", "FedEx"),"Fedex","FedEx")</f>
        <v>Ups</v>
      </c>
      <c r="AN199" s="3" t="s">
        <v>3428</v>
      </c>
      <c r="AO199" s="3" t="str">
        <f>SUBSTITUTE('Sales_RAW(BEFORE)'!AM205,"kg","")</f>
        <v>5,01</v>
      </c>
      <c r="AP199" s="3" t="str">
        <f>_xlfn.LET(
  _xlpm.raw, UPPER(TRIM('Sales_RAW(BEFORE)'!AN205)),
  _xlpm.clean, RIGHT(_xlpm.raw, 1),
  IF(OR(_xlpm.raw="", _xlpm.raw="null"), "N/A", _xlpm.clean)
)</f>
        <v>C</v>
      </c>
      <c r="AQ199" s="3">
        <v>396</v>
      </c>
      <c r="AR199" s="3" cm="1">
        <f t="array" ref="AR199">_xlfn.LET(
  _xlpm.raw, LOWER(TRIM('Sales_RAW(BEFORE)'!AP205)),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199" s="3"/>
      <c r="AT199" s="3"/>
      <c r="AU199" s="3"/>
      <c r="AV199" s="8">
        <f>IF(IFERROR(VALUE(SUBSTITUTE(SUBSTITUTE(TRIM('Sales_RAW(BEFORE)'!AT205), "%", ""), ",", ".")), 0) &gt; 1, IFERROR(VALUE(SUBSTITUTE(SUBSTITUTE(TRIM('Sales_RAW(BEFORE)'!AT205), "%", ""), ",", ".")), 0) / 100, IFERROR(VALUE(SUBSTITUTE(SUBSTITUTE(TRIM('Sales_RAW(BEFORE)'!AT205), "%", ""), ",", ".")), 0))</f>
        <v>0.15</v>
      </c>
      <c r="AW199" s="6">
        <f>BA199*(_xlfn.XLOOKUP(N199,Employees!$A$2:$A$26,Employees!$E$2:$E$26,2))</f>
        <v>345.45851999999996</v>
      </c>
      <c r="AX199" s="3" t="str">
        <f>PROPER('Sales_RAW(BEFORE)'!AV205)</f>
        <v>Ryan Wilson</v>
      </c>
      <c r="AY199" s="3" t="str">
        <f t="shared" si="18"/>
        <v>Ryan Wilson</v>
      </c>
      <c r="AZ199" s="3"/>
      <c r="BA199" s="24">
        <f>AK199*(1-(_xlfn.XLOOKUP(G199, Exchange_Rates!$B$8:$F$8, Exchange_Rates!$B$9:$F$9, 0)+J199))</f>
        <v>11515.284</v>
      </c>
      <c r="BB199" s="7" cm="1">
        <f t="array" ref="BB199">_xlfn.LET(
  _xlpm.raw_dt, SUBSTITUTE(TRIM(C199), ".", "/"),
  _xlpm.dt, IFERROR(DATEVALUE(_xlpm.raw_dt), C199),
  _xlpm.p_code, TRIM(E199),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46503</v>
      </c>
      <c r="BC199" s="25">
        <f t="shared" si="19"/>
        <v>1727.2926</v>
      </c>
    </row>
    <row r="200" spans="1:55" ht="15.75" thickBot="1" x14ac:dyDescent="0.3">
      <c r="A200" s="3" t="s">
        <v>2399</v>
      </c>
      <c r="B200" s="10">
        <v>46044</v>
      </c>
      <c r="C200" s="4">
        <f>DATE(2026,1,27)</f>
        <v>46049</v>
      </c>
      <c r="D200" s="3" t="str">
        <f>"P-" &amp; TEXT(VALUE(SUBSTITUTE(SUBSTITUTE(SUBSTITUTE(UPPER(TRIM('Sales_RAW(BEFORE)'!D206)), "P", ""), "-", ""), "_", "")),"000")</f>
        <v>P-060</v>
      </c>
      <c r="E200" s="3" t="str">
        <f>VLOOKUP(D200,Product_List!$A$2:$B$61,2,FALSE)</f>
        <v>Desk Basic 60</v>
      </c>
      <c r="F200" s="3" t="str">
        <f>_xlfn.XLOOKUP(E200,Product_List!$B$2:$B$61,Product_List!$E$2:$E$61,2)</f>
        <v>Global Distrib</v>
      </c>
      <c r="G200" s="3" t="str">
        <f>VLOOKUP(E200,Product_List!$B$2:$C$61,2,FALSE)</f>
        <v>Electronics</v>
      </c>
      <c r="H200" s="3" t="str">
        <f>SUBSTITUTE(SUBSTITUTE('Sales_RAW(BEFORE)'!G206,"kom",""),".","")</f>
        <v xml:space="preserve">6 </v>
      </c>
      <c r="I200" s="6">
        <f>VLOOKUP(E200,Product_List!$B$2:$D$61,3,FALSE)</f>
        <v>334.59</v>
      </c>
      <c r="J200" s="5">
        <f>IF(IFERROR(VALUE(SUBSTITUTE(SUBSTITUTE(TRIM('Sales_RAW(BEFORE)'!I206), "%", ""), ",", ".")), 0) &gt; 1, IFERROR(VALUE(SUBSTITUTE(SUBSTITUTE(TRIM('Sales_RAW(BEFORE)'!I206), "%", ""), ",", ".")), 0) / 100, IFERROR(VALUE(SUBSTITUTE(SUBSTITUTE(TRIM('Sales_RAW(BEFORE)'!I206), "%", ""), ",", ".")), 0))</f>
        <v>0.1</v>
      </c>
      <c r="K200" s="6">
        <f t="shared" si="15"/>
        <v>2007.54</v>
      </c>
      <c r="L200" s="6" t="str" cm="1">
        <f t="array" ref="L200">_xlfn.LET(
  _xlpm.valuta, UPPER(TRIM('Sales_RAW(BEFORE)'!K206)),
  _xlfn.IFS(
    _xlpm.valuta = "", "",
    OR(_xlpm.valuta = "USD", _xlpm.valuta = "$"), "$",
    OR(_xlpm.valuta = "EUR", _xlpm.valuta = "€"), "€",
    TRUE, _xlpm.valuta
  )
)</f>
        <v>$</v>
      </c>
      <c r="M200" s="3" t="str">
        <f>"E" &amp; TEXT(VALUE(SUBSTITUTE(SUBSTITUTE(SUBSTITUTE(UPPER(TRIM('Sales_RAW(BEFORE)'!L206)), "EMP", ""), "E", ""), "-", "")),"000")</f>
        <v>E006</v>
      </c>
      <c r="N200" s="3" t="str">
        <f>_xlfn.XLOOKUP(M200,Employees!$D$2:$D$26,Employees!$A$2:$A$26)</f>
        <v>Emily Davis</v>
      </c>
      <c r="O200" s="3" t="str">
        <f>_xlfn.XLOOKUP(N200,Employees!$A$2:$A$26,Employees!$C$2:$C$26,2)</f>
        <v>Retail</v>
      </c>
      <c r="P200" s="3" t="str">
        <f>PROPER('Sales_RAW(BEFORE)'!N206)</f>
        <v>South</v>
      </c>
      <c r="Q200" s="3" t="str">
        <f>VLOOKUP(N200,Employees!$A$2:$B$26,2,FALSE)</f>
        <v>Houston</v>
      </c>
      <c r="R200" s="3" t="str">
        <f>PROPER('Sales_RAW(BEFORE)'!P206)</f>
        <v>Globex Inc</v>
      </c>
      <c r="S200" s="3" t="str">
        <f>SUBSTITUTE(SUBSTITUTE('Sales_RAW(BEFORE)'!Q206,"EIN",""),":","")</f>
        <v>563976881</v>
      </c>
      <c r="T200" s="3" t="s">
        <v>378</v>
      </c>
      <c r="U200" s="3" t="s">
        <v>2409</v>
      </c>
      <c r="V200" s="3" t="s">
        <v>2410</v>
      </c>
      <c r="W200" s="3" t="s">
        <v>2411</v>
      </c>
      <c r="X200" s="3" t="s">
        <v>173</v>
      </c>
      <c r="Y200" s="3" t="str">
        <f>PROPER('Sales_RAW(BEFORE)'!W206)</f>
        <v>Wire Transfer</v>
      </c>
      <c r="Z200" s="3" t="str">
        <f>PROPER('Sales_RAW(BEFORE)'!X206)</f>
        <v>Cancelled</v>
      </c>
      <c r="AA200" s="3" t="str" cm="1">
        <f t="array" ref="AA200">_xlfn.LET(
  _xlpm.val, TRIM(LOWER('Sales_RAW(BEFORE)'!Y206)),
  _xlfn.IFS(
    OR(_xlpm.val="yes", _xlpm.val="paid"), "Paid",
    OR(_xlpm.val="no", _xlpm.val="unpaid"), "Unpaid",
    OR(_xlpm.val="partial", _xlpm.val="partial paid"), "Partial",
    _xlpm.val="", "",
    TRUE, 'Sales_RAW(BEFORE)'!AY206
  )
)</f>
        <v>Paid</v>
      </c>
      <c r="AB200" s="3" t="s">
        <v>2412</v>
      </c>
      <c r="AC200" s="3" t="str">
        <f>PROPER('Sales_RAW(BEFORE)'!AA206)</f>
        <v>Phone</v>
      </c>
      <c r="AD200" s="3" t="str">
        <f>SUBSTITUTE(SUBSTITUTE(SUBSTITUTE(SUBSTITUTE('Sales_RAW(BEFORE)'!AB206,"st",""),"q",""),"Q",""),"uarter","")</f>
        <v>4</v>
      </c>
      <c r="AE200" s="3" t="str">
        <f>TEXT(IFERROR(DATEVALUE('Sales_RAW(BEFORE)'!AC206 &amp; " 1"), IFERROR(DATE(2025, 'Sales_RAW(BEFORE)'!AC206, 1), 'Sales_RAW(BEFORE)'!AC206)), "mmmm")</f>
        <v>January</v>
      </c>
      <c r="AF200" s="3">
        <f>_xlfn.LET(
  _xlpm.raw, TRIM(SUBSTITUTE('Sales_RAW(BEFORE)'!AD206, "'", "")),
  _xlpm.num, IFERROR(VALUE(_xlpm.raw), 0),
  IF(_xlpm.num &lt; 100, 2000 + _xlpm.num, _xlpm.num)
)</f>
        <v>2026</v>
      </c>
      <c r="AG200" s="3" t="str">
        <f>PROPER('Sales_RAW(BEFORE)'!AE206)</f>
        <v>Immediate</v>
      </c>
      <c r="AH200" s="3" cm="1">
        <f t="array" ref="AH200">_xlfn.LET(
  _xlpm.val, LOWER(TRIM('Sales_RAW(BEFORE)'!AF206)),
  _xlfn.IFS(
    OR(_xlpm.val="", _xlpm.val="null", _xlpm.val="N/A", _xlpm.val="-", _xlpm.val="#N/A"), 0,
    ISNUMBER('Sales_RAW(BEFORE)'!AF206), 'Sales_RAW(BEFORE)'!AF206,
    TRUE, IFERROR(_xlfn.NUMBERVALUE(_xlpm.val), 0)
  )
)</f>
        <v>29</v>
      </c>
      <c r="AI200" s="5">
        <f>IF(IFERROR(VALUE(SUBSTITUTE(SUBSTITUTE(TRIM('Sales_RAW(BEFORE)'!AG206), "%", ""), ",", ".")), 0) &gt; 1, IFERROR(VALUE(SUBSTITUTE(SUBSTITUTE(TRIM('Sales_RAW(BEFORE)'!AG206), "%", ""), ",", ".")), 0) / 100, IFERROR(VALUE(SUBSTITUTE(SUBSTITUTE(TRIM('Sales_RAW(BEFORE)'!AG206), "%", ""), ",", ".")), 0))</f>
        <v>0.08</v>
      </c>
      <c r="AJ200" s="6">
        <f t="shared" si="16"/>
        <v>160.60319999999999</v>
      </c>
      <c r="AK200" s="6">
        <f t="shared" si="17"/>
        <v>2168.1432</v>
      </c>
      <c r="AL200" s="6">
        <f>IFERROR(VALUE(SUBSTITUTE(SUBSTITUTE(SUBSTITUTE('Sales_RAW(BEFORE)'!AJ206,"$",""),"USD",""),",",".")),0)</f>
        <v>5.97</v>
      </c>
      <c r="AM200" s="3" t="str">
        <f>SUBSTITUTE(SUBSTITUTE(PROPER('Sales_RAW(BEFORE)'!AK206), "Fed Ex", "FedEx"),"Fedex","FedEx")</f>
        <v>Dhl</v>
      </c>
      <c r="AN200" s="3" t="s">
        <v>2414</v>
      </c>
      <c r="AO200" s="3" t="str">
        <f>SUBSTITUTE('Sales_RAW(BEFORE)'!AM206,"kg","")</f>
        <v>23,16</v>
      </c>
      <c r="AP200" s="3" t="str">
        <f>_xlfn.LET(
  _xlpm.raw, UPPER(TRIM('Sales_RAW(BEFORE)'!AN206)),
  _xlpm.clean, RIGHT(_xlpm.raw, 1),
  IF(OR(_xlpm.raw="", _xlpm.raw="null"), "N/A", _xlpm.clean)
)</f>
        <v>A</v>
      </c>
      <c r="AQ200" s="3">
        <v>88</v>
      </c>
      <c r="AR200" s="3" cm="1">
        <f t="array" ref="AR200">_xlfn.LET(
  _xlpm.raw, LOWER(TRIM('Sales_RAW(BEFORE)'!AP206)),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200" s="3"/>
      <c r="AT200" s="3"/>
      <c r="AU200" s="3"/>
      <c r="AV200" s="8">
        <f>IF(IFERROR(VALUE(SUBSTITUTE(SUBSTITUTE(TRIM('Sales_RAW(BEFORE)'!AT206), "%", ""), ",", ".")), 0) &gt; 1, IFERROR(VALUE(SUBSTITUTE(SUBSTITUTE(TRIM('Sales_RAW(BEFORE)'!AT206), "%", ""), ",", ".")), 0) / 100, IFERROR(VALUE(SUBSTITUTE(SUBSTITUTE(TRIM('Sales_RAW(BEFORE)'!AT206), "%", ""), ",", ".")), 0))</f>
        <v>0.15</v>
      </c>
      <c r="AW200" s="6">
        <f>BA200*(_xlfn.XLOOKUP(N200,Employees!$A$2:$A$26,Employees!$E$2:$E$26,2))</f>
        <v>86.725728000000004</v>
      </c>
      <c r="AX200" s="3" t="str">
        <f>PROPER('Sales_RAW(BEFORE)'!AV206)</f>
        <v>Emma Miller</v>
      </c>
      <c r="AY200" s="3" t="str">
        <f t="shared" si="18"/>
        <v>Emma Miller</v>
      </c>
      <c r="AZ200" s="3"/>
      <c r="BA200" s="24">
        <f>AK200*(1-(_xlfn.XLOOKUP(G200, Exchange_Rates!$B$8:$F$8, Exchange_Rates!$B$9:$F$9, 0)+J200))</f>
        <v>1734.5145600000001</v>
      </c>
      <c r="BB200" s="7" cm="1">
        <f t="array" ref="BB200">_xlfn.LET(
  _xlpm.raw_dt, SUBSTITUTE(TRIM(C200), ".", "/"),
  _xlpm.dt, IFERROR(DATEVALUE(_xlpm.raw_dt), C200),
  _xlpm.p_code, TRIM(E200),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47145</v>
      </c>
      <c r="BC200" s="25">
        <f t="shared" si="19"/>
        <v>260.17718400000001</v>
      </c>
    </row>
    <row r="201" spans="1:55" ht="15.75" thickBot="1" x14ac:dyDescent="0.3">
      <c r="A201" s="3" t="s">
        <v>3432</v>
      </c>
      <c r="B201" s="10">
        <v>46064</v>
      </c>
      <c r="C201" s="4">
        <f>DATE(2026,2,23)</f>
        <v>46076</v>
      </c>
      <c r="D201" s="3" t="str">
        <f>"P-" &amp; TEXT(VALUE(SUBSTITUTE(SUBSTITUTE(SUBSTITUTE(UPPER(TRIM('Sales_RAW(BEFORE)'!D207)), "P", ""), "-", ""), "_", "")),"000")</f>
        <v>P-002</v>
      </c>
      <c r="E201" s="3" t="str">
        <f>VLOOKUP(D201,Product_List!$A$2:$B$61,2,FALSE)</f>
        <v>Monitor Max 2</v>
      </c>
      <c r="F201" s="3" t="str">
        <f>_xlfn.XLOOKUP(E201,Product_List!$B$2:$B$61,Product_List!$E$2:$E$61,2)</f>
        <v>BestParts</v>
      </c>
      <c r="G201" s="3" t="str">
        <f>VLOOKUP(E201,Product_List!$B$2:$C$61,2,FALSE)</f>
        <v>Electronics</v>
      </c>
      <c r="H201" s="3" t="str">
        <f>SUBSTITUTE(SUBSTITUTE('Sales_RAW(BEFORE)'!G207,"kom",""),".","")</f>
        <v>13</v>
      </c>
      <c r="I201" s="6">
        <f>VLOOKUP(E201,Product_List!$B$2:$D$61,3,FALSE)</f>
        <v>551.70000000000005</v>
      </c>
      <c r="J201" s="5">
        <f>IF(IFERROR(VALUE(SUBSTITUTE(SUBSTITUTE(TRIM('Sales_RAW(BEFORE)'!I207), "%", ""), ",", ".")), 0) &gt; 1, IFERROR(VALUE(SUBSTITUTE(SUBSTITUTE(TRIM('Sales_RAW(BEFORE)'!I207), "%", ""), ",", ".")), 0) / 100, IFERROR(VALUE(SUBSTITUTE(SUBSTITUTE(TRIM('Sales_RAW(BEFORE)'!I207), "%", ""), ",", ".")), 0))</f>
        <v>0</v>
      </c>
      <c r="K201" s="6">
        <f t="shared" si="15"/>
        <v>7172.1</v>
      </c>
      <c r="L201" s="6" t="str" cm="1">
        <f t="array" ref="L201">_xlfn.LET(
  _xlpm.valuta, UPPER(TRIM('Sales_RAW(BEFORE)'!K207)),
  _xlfn.IFS(
    _xlpm.valuta = "", "",
    OR(_xlpm.valuta = "USD", _xlpm.valuta = "$"), "$",
    OR(_xlpm.valuta = "EUR", _xlpm.valuta = "€"), "€",
    TRUE, _xlpm.valuta
  )
)</f>
        <v>$</v>
      </c>
      <c r="M201" s="3" t="str">
        <f>"E" &amp; TEXT(VALUE(SUBSTITUTE(SUBSTITUTE(SUBSTITUTE(UPPER(TRIM('Sales_RAW(BEFORE)'!L207)), "EMP", ""), "E", ""), "-", "")),"000")</f>
        <v>E022</v>
      </c>
      <c r="N201" s="3" t="str">
        <f>_xlfn.XLOOKUP(M201,Employees!$D$2:$D$26,Employees!$A$2:$A$26)</f>
        <v>Chris Williams</v>
      </c>
      <c r="O201" s="3" t="str">
        <f>_xlfn.XLOOKUP(N201,Employees!$A$2:$A$26,Employees!$C$2:$C$26,2)</f>
        <v>Sales</v>
      </c>
      <c r="P201" s="3" t="str">
        <f>PROPER('Sales_RAW(BEFORE)'!N207)</f>
        <v>South</v>
      </c>
      <c r="Q201" s="3" t="str">
        <f>VLOOKUP(N201,Employees!$A$2:$B$26,2,FALSE)</f>
        <v>Boston</v>
      </c>
      <c r="R201" s="3" t="str">
        <f>PROPER('Sales_RAW(BEFORE)'!P207)</f>
        <v>Stark Inc</v>
      </c>
      <c r="S201" s="3" t="str">
        <f>SUBSTITUTE(SUBSTITUTE('Sales_RAW(BEFORE)'!Q207,"EIN",""),":","")</f>
        <v xml:space="preserve"> 486966326</v>
      </c>
      <c r="T201" s="3" t="s">
        <v>564</v>
      </c>
      <c r="U201" s="3" t="s">
        <v>3439</v>
      </c>
      <c r="V201" s="3" t="s">
        <v>3440</v>
      </c>
      <c r="W201" s="3" t="s">
        <v>3441</v>
      </c>
      <c r="X201" s="3" t="s">
        <v>173</v>
      </c>
      <c r="Y201" s="3" t="str">
        <f>PROPER('Sales_RAW(BEFORE)'!W207)</f>
        <v>Credit Card</v>
      </c>
      <c r="Z201" s="3" t="str">
        <f>PROPER('Sales_RAW(BEFORE)'!X207)</f>
        <v>Delivered</v>
      </c>
      <c r="AA201" s="3" t="str" cm="1">
        <f t="array" ref="AA201">_xlfn.LET(
  _xlpm.val, TRIM(LOWER('Sales_RAW(BEFORE)'!Y207)),
  _xlfn.IFS(
    OR(_xlpm.val="yes", _xlpm.val="paid"), "Paid",
    OR(_xlpm.val="no", _xlpm.val="unpaid"), "Unpaid",
    OR(_xlpm.val="partial", _xlpm.val="partial paid"), "Partial",
    _xlpm.val="", "",
    TRUE, 'Sales_RAW(BEFORE)'!AY207
  )
)</f>
        <v>Paid</v>
      </c>
      <c r="AB201" s="3" t="s">
        <v>3442</v>
      </c>
      <c r="AC201" s="3" t="str">
        <f>PROPER('Sales_RAW(BEFORE)'!AA207)</f>
        <v>Web</v>
      </c>
      <c r="AD201" s="3" t="str">
        <f>SUBSTITUTE(SUBSTITUTE(SUBSTITUTE(SUBSTITUTE('Sales_RAW(BEFORE)'!AB207,"st",""),"q",""),"Q",""),"uarter","")</f>
        <v>1</v>
      </c>
      <c r="AE201" s="3" t="str">
        <f>TEXT(IFERROR(DATEVALUE('Sales_RAW(BEFORE)'!AC207 &amp; " 1"), IFERROR(DATE(2025, 'Sales_RAW(BEFORE)'!AC207, 1), 'Sales_RAW(BEFORE)'!AC207)), "mmmm")</f>
        <v>February</v>
      </c>
      <c r="AF201" s="3">
        <f>_xlfn.LET(
  _xlpm.raw, TRIM(SUBSTITUTE('Sales_RAW(BEFORE)'!AD207, "'", "")),
  _xlpm.num, IFERROR(VALUE(_xlpm.raw), 0),
  IF(_xlpm.num &lt; 100, 2000 + _xlpm.num, _xlpm.num)
)</f>
        <v>2026</v>
      </c>
      <c r="AG201" s="3" t="str">
        <f>PROPER('Sales_RAW(BEFORE)'!AE207)</f>
        <v>Immediate</v>
      </c>
      <c r="AH201" s="3" cm="1">
        <f t="array" ref="AH201">_xlfn.LET(
  _xlpm.val, LOWER(TRIM('Sales_RAW(BEFORE)'!AF207)),
  _xlfn.IFS(
    OR(_xlpm.val="", _xlpm.val="null", _xlpm.val="N/A", _xlpm.val="-", _xlpm.val="#N/A"), 0,
    ISNUMBER('Sales_RAW(BEFORE)'!AF207), 'Sales_RAW(BEFORE)'!AF207,
    TRUE, IFERROR(_xlfn.NUMBERVALUE(_xlpm.val), 0)
  )
)</f>
        <v>46</v>
      </c>
      <c r="AI201" s="5">
        <f>IF(IFERROR(VALUE(SUBSTITUTE(SUBSTITUTE(TRIM('Sales_RAW(BEFORE)'!AG207), "%", ""), ",", ".")), 0) &gt; 1, IFERROR(VALUE(SUBSTITUTE(SUBSTITUTE(TRIM('Sales_RAW(BEFORE)'!AG207), "%", ""), ",", ".")), 0) / 100, IFERROR(VALUE(SUBSTITUTE(SUBSTITUTE(TRIM('Sales_RAW(BEFORE)'!AG207), "%", ""), ",", ".")), 0))</f>
        <v>0.08</v>
      </c>
      <c r="AJ201" s="6">
        <f t="shared" si="16"/>
        <v>573.76800000000003</v>
      </c>
      <c r="AK201" s="6">
        <f t="shared" si="17"/>
        <v>7745.8680000000004</v>
      </c>
      <c r="AL201" s="6">
        <f>IFERROR(VALUE(SUBSTITUTE(SUBSTITUTE(SUBSTITUTE('Sales_RAW(BEFORE)'!AJ207,"$",""),"USD",""),",",".")),0)</f>
        <v>47.78</v>
      </c>
      <c r="AM201" s="3" t="str">
        <f>SUBSTITUTE(SUBSTITUTE(PROPER('Sales_RAW(BEFORE)'!AK207), "Fed Ex", "FedEx"),"Fedex","FedEx")</f>
        <v>Ups</v>
      </c>
      <c r="AN201" s="3" t="s">
        <v>3444</v>
      </c>
      <c r="AO201" s="3" t="str">
        <f>SUBSTITUTE('Sales_RAW(BEFORE)'!AM207,"kg","")</f>
        <v xml:space="preserve">15.6 </v>
      </c>
      <c r="AP201" s="3" t="str">
        <f>_xlfn.LET(
  _xlpm.raw, UPPER(TRIM('Sales_RAW(BEFORE)'!AN207)),
  _xlpm.clean, RIGHT(_xlpm.raw, 1),
  IF(OR(_xlpm.raw="", _xlpm.raw="null"), "N/A", _xlpm.clean)
)</f>
        <v>C</v>
      </c>
      <c r="AQ201" s="3">
        <v>78</v>
      </c>
      <c r="AR201" s="3" cm="1">
        <f t="array" ref="AR201">_xlfn.LET(
  _xlpm.raw, LOWER(TRIM('Sales_RAW(BEFORE)'!AP207)),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201" s="3"/>
      <c r="AT201" s="3"/>
      <c r="AU201" s="3"/>
      <c r="AV201" s="8">
        <f>IF(IFERROR(VALUE(SUBSTITUTE(SUBSTITUTE(TRIM('Sales_RAW(BEFORE)'!AT207), "%", ""), ",", ".")), 0) &gt; 1, IFERROR(VALUE(SUBSTITUTE(SUBSTITUTE(TRIM('Sales_RAW(BEFORE)'!AT207), "%", ""), ",", ".")), 0) / 100, IFERROR(VALUE(SUBSTITUTE(SUBSTITUTE(TRIM('Sales_RAW(BEFORE)'!AT207), "%", ""), ",", ".")), 0))</f>
        <v>0.25</v>
      </c>
      <c r="AW201" s="6">
        <f>BA201*(_xlfn.XLOOKUP(N201,Employees!$A$2:$A$26,Employees!$E$2:$E$26,2))</f>
        <v>209.13843600000001</v>
      </c>
      <c r="AX201" s="3" t="str">
        <f>PROPER('Sales_RAW(BEFORE)'!AV207)</f>
        <v xml:space="preserve">   Emily Davis</v>
      </c>
      <c r="AY201" s="3" t="str">
        <f t="shared" si="18"/>
        <v xml:space="preserve">   Emily Davis</v>
      </c>
      <c r="AZ201" s="3"/>
      <c r="BA201" s="24">
        <f>AK201*(1-(_xlfn.XLOOKUP(G201, Exchange_Rates!$B$8:$F$8, Exchange_Rates!$B$9:$F$9, 0)+J201))</f>
        <v>6971.2812000000004</v>
      </c>
      <c r="BB201" s="7" cm="1">
        <f t="array" ref="BB201">_xlfn.LET(
  _xlpm.raw_dt, SUBSTITUTE(TRIM(C201), ".", "/"),
  _xlpm.dt, IFERROR(DATEVALUE(_xlpm.raw_dt), C201),
  _xlpm.p_code, TRIM(E201),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46441</v>
      </c>
      <c r="BC201" s="25">
        <f t="shared" si="19"/>
        <v>1742.8203000000001</v>
      </c>
    </row>
    <row r="202" spans="1:55" ht="15.75" thickBot="1" x14ac:dyDescent="0.3">
      <c r="A202" s="3" t="s">
        <v>3448</v>
      </c>
      <c r="B202" s="10">
        <v>45893</v>
      </c>
      <c r="C202" s="4">
        <v>45697</v>
      </c>
      <c r="D202" s="3" t="str">
        <f>"P-" &amp; TEXT(VALUE(SUBSTITUTE(SUBSTITUTE(SUBSTITUTE(UPPER(TRIM('Sales_RAW(BEFORE)'!D208)), "P", ""), "-", ""), "_", "")),"000")</f>
        <v>P-008</v>
      </c>
      <c r="E202" s="3" t="str">
        <f>VLOOKUP(D202,Product_List!$A$2:$B$61,2,FALSE)</f>
        <v>Keyboard Pro 8</v>
      </c>
      <c r="F202" s="3" t="str">
        <f>_xlfn.XLOOKUP(E202,Product_List!$B$2:$B$61,Product_List!$E$2:$E$61,2)</f>
        <v>OfficeHub</v>
      </c>
      <c r="G202" s="3" t="str">
        <f>VLOOKUP(E202,Product_List!$B$2:$C$61,2,FALSE)</f>
        <v>Equipment</v>
      </c>
      <c r="H202" s="3" t="str">
        <f>SUBSTITUTE(SUBSTITUTE('Sales_RAW(BEFORE)'!G208,"kom",""),".","")</f>
        <v>35</v>
      </c>
      <c r="I202" s="6">
        <f>VLOOKUP(E202,Product_List!$B$2:$D$61,3,FALSE)</f>
        <v>1288.4100000000001</v>
      </c>
      <c r="J202" s="5">
        <f>IF(IFERROR(VALUE(SUBSTITUTE(SUBSTITUTE(TRIM('Sales_RAW(BEFORE)'!I208), "%", ""), ",", ".")), 0) &gt; 1, IFERROR(VALUE(SUBSTITUTE(SUBSTITUTE(TRIM('Sales_RAW(BEFORE)'!I208), "%", ""), ",", ".")), 0) / 100, IFERROR(VALUE(SUBSTITUTE(SUBSTITUTE(TRIM('Sales_RAW(BEFORE)'!I208), "%", ""), ",", ".")), 0))</f>
        <v>0.1</v>
      </c>
      <c r="K202" s="6">
        <f t="shared" si="15"/>
        <v>45094.350000000006</v>
      </c>
      <c r="L202" s="6" t="str" cm="1">
        <f t="array" ref="L202">_xlfn.LET(
  _xlpm.valuta, UPPER(TRIM('Sales_RAW(BEFORE)'!K208)),
  _xlfn.IFS(
    _xlpm.valuta = "", "",
    OR(_xlpm.valuta = "USD", _xlpm.valuta = "$"), "$",
    OR(_xlpm.valuta = "EUR", _xlpm.valuta = "€"), "€",
    TRUE, _xlpm.valuta
  )
)</f>
        <v>$</v>
      </c>
      <c r="M202" s="3" t="str">
        <f>"E" &amp; TEXT(VALUE(SUBSTITUTE(SUBSTITUTE(SUBSTITUTE(UPPER(TRIM('Sales_RAW(BEFORE)'!L208)), "EMP", ""), "E", ""), "-", "")),"000")</f>
        <v>E005</v>
      </c>
      <c r="N202" s="3" t="str">
        <f>_xlfn.XLOOKUP(M202,Employees!$D$2:$D$26,Employees!$A$2:$A$26)</f>
        <v>Laura Williams</v>
      </c>
      <c r="O202" s="3" t="str">
        <f>_xlfn.XLOOKUP(N202,Employees!$A$2:$A$26,Employees!$C$2:$C$26,2)</f>
        <v>Online</v>
      </c>
      <c r="P202" s="3" t="str">
        <f>PROPER('Sales_RAW(BEFORE)'!N208)</f>
        <v>East</v>
      </c>
      <c r="Q202" s="3" t="str">
        <f>VLOOKUP(N202,Employees!$A$2:$B$26,2,FALSE)</f>
        <v>Houston</v>
      </c>
      <c r="R202" s="3" t="str">
        <f>PROPER('Sales_RAW(BEFORE)'!P208)</f>
        <v xml:space="preserve">   Stark Inc</v>
      </c>
      <c r="S202" s="3" t="str">
        <f>SUBSTITUTE(SUBSTITUTE('Sales_RAW(BEFORE)'!Q208,"EIN",""),":","")</f>
        <v>783391196</v>
      </c>
      <c r="T202" s="3" t="s">
        <v>1846</v>
      </c>
      <c r="U202" s="3" t="s">
        <v>3456</v>
      </c>
      <c r="V202" s="3" t="s">
        <v>3457</v>
      </c>
      <c r="W202" s="3" t="s">
        <v>3458</v>
      </c>
      <c r="X202" s="3" t="s">
        <v>173</v>
      </c>
      <c r="Y202" s="3" t="str">
        <f>PROPER('Sales_RAW(BEFORE)'!W208)</f>
        <v>Wire Transfer</v>
      </c>
      <c r="Z202" s="3" t="str">
        <f>PROPER('Sales_RAW(BEFORE)'!X208)</f>
        <v>Delivered</v>
      </c>
      <c r="AA202" s="3" t="str" cm="1">
        <f t="array" ref="AA202">_xlfn.LET(
  _xlpm.val, TRIM(LOWER('Sales_RAW(BEFORE)'!Y208)),
  _xlfn.IFS(
    OR(_xlpm.val="yes", _xlpm.val="paid"), "Paid",
    OR(_xlpm.val="no", _xlpm.val="unpaid"), "Unpaid",
    OR(_xlpm.val="partial", _xlpm.val="partial paid"), "Partial",
    _xlpm.val="", "",
    TRUE, 'Sales_RAW(BEFORE)'!AY208
  )
)</f>
        <v>Unpaid</v>
      </c>
      <c r="AB202" s="3" t="s">
        <v>3459</v>
      </c>
      <c r="AC202" s="3" t="str">
        <f>PROPER('Sales_RAW(BEFORE)'!AA208)</f>
        <v>Online</v>
      </c>
      <c r="AD202" s="3" t="str">
        <f>SUBSTITUTE(SUBSTITUTE(SUBSTITUTE(SUBSTITUTE('Sales_RAW(BEFORE)'!AB208,"st",""),"q",""),"Q",""),"uarter","")</f>
        <v>4</v>
      </c>
      <c r="AE202" s="3" t="str">
        <f>TEXT(IFERROR(DATEVALUE('Sales_RAW(BEFORE)'!AC208 &amp; " 1"), IFERROR(DATE(2025, 'Sales_RAW(BEFORE)'!AC208, 1), 'Sales_RAW(BEFORE)'!AC208)), "mmmm")</f>
        <v>August</v>
      </c>
      <c r="AF202" s="3">
        <f>_xlfn.LET(
  _xlpm.raw, TRIM(SUBSTITUTE('Sales_RAW(BEFORE)'!AD208, "'", "")),
  _xlpm.num, IFERROR(VALUE(_xlpm.raw), 0),
  IF(_xlpm.num &lt; 100, 2000 + _xlpm.num, _xlpm.num)
)</f>
        <v>2025</v>
      </c>
      <c r="AG202" s="3" t="str">
        <f>PROPER('Sales_RAW(BEFORE)'!AE208)</f>
        <v>Immediate</v>
      </c>
      <c r="AH202" s="3" cm="1">
        <f t="array" ref="AH202">_xlfn.LET(
  _xlpm.val, LOWER(TRIM('Sales_RAW(BEFORE)'!AF208)),
  _xlfn.IFS(
    OR(_xlpm.val="", _xlpm.val="null", _xlpm.val="N/A", _xlpm.val="-", _xlpm.val="#N/A"), 0,
    ISNUMBER('Sales_RAW(BEFORE)'!AF208), 'Sales_RAW(BEFORE)'!AF208,
    TRUE, IFERROR(_xlfn.NUMBERVALUE(_xlpm.val), 0)
  )
)</f>
        <v>54</v>
      </c>
      <c r="AI202" s="5">
        <f>IF(IFERROR(VALUE(SUBSTITUTE(SUBSTITUTE(TRIM('Sales_RAW(BEFORE)'!AG208), "%", ""), ",", ".")), 0) &gt; 1, IFERROR(VALUE(SUBSTITUTE(SUBSTITUTE(TRIM('Sales_RAW(BEFORE)'!AG208), "%", ""), ",", ".")), 0) / 100, IFERROR(VALUE(SUBSTITUTE(SUBSTITUTE(TRIM('Sales_RAW(BEFORE)'!AG208), "%", ""), ",", ".")), 0))</f>
        <v>0.08</v>
      </c>
      <c r="AJ202" s="6">
        <f t="shared" si="16"/>
        <v>3607.5480000000007</v>
      </c>
      <c r="AK202" s="6">
        <f t="shared" si="17"/>
        <v>48701.898000000008</v>
      </c>
      <c r="AL202" s="6">
        <f>IFERROR(VALUE(SUBSTITUTE(SUBSTITUTE(SUBSTITUTE('Sales_RAW(BEFORE)'!AJ208,"$",""),"USD",""),",",".")),0)</f>
        <v>30.39</v>
      </c>
      <c r="AM202" s="3" t="str">
        <f>SUBSTITUTE(SUBSTITUTE(PROPER('Sales_RAW(BEFORE)'!AK208), "Fed Ex", "FedEx"),"Fedex","FedEx")</f>
        <v>Usps</v>
      </c>
      <c r="AN202" s="3" t="s">
        <v>3461</v>
      </c>
      <c r="AO202" s="3" t="str">
        <f>SUBSTITUTE('Sales_RAW(BEFORE)'!AM208,"kg","")</f>
        <v>11.75</v>
      </c>
      <c r="AP202" s="3" t="str">
        <f>_xlfn.LET(
  _xlpm.raw, UPPER(TRIM('Sales_RAW(BEFORE)'!AN208)),
  _xlpm.clean, RIGHT(_xlpm.raw, 1),
  IF(OR(_xlpm.raw="", _xlpm.raw="null"), "N/A", _xlpm.clean)
)</f>
        <v>B</v>
      </c>
      <c r="AQ202" s="3">
        <v>449</v>
      </c>
      <c r="AR202" s="3" cm="1">
        <f t="array" ref="AR202">_xlfn.LET(
  _xlpm.raw, LOWER(TRIM('Sales_RAW(BEFORE)'!AP208)),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202" s="3"/>
      <c r="AT202" s="3"/>
      <c r="AU202" s="3"/>
      <c r="AV202" s="8">
        <f>IF(IFERROR(VALUE(SUBSTITUTE(SUBSTITUTE(TRIM('Sales_RAW(BEFORE)'!AT208), "%", ""), ",", ".")), 0) &gt; 1, IFERROR(VALUE(SUBSTITUTE(SUBSTITUTE(TRIM('Sales_RAW(BEFORE)'!AT208), "%", ""), ",", ".")), 0) / 100, IFERROR(VALUE(SUBSTITUTE(SUBSTITUTE(TRIM('Sales_RAW(BEFORE)'!AT208), "%", ""), ",", ".")), 0))</f>
        <v>0.3</v>
      </c>
      <c r="AW202" s="6">
        <f>BA202*(_xlfn.XLOOKUP(N202,Employees!$A$2:$A$26,Employees!$E$2:$E$26,2))</f>
        <v>1168.8455520000002</v>
      </c>
      <c r="AX202" s="3" t="str">
        <f>PROPER('Sales_RAW(BEFORE)'!AV208)</f>
        <v>Ryan Davis</v>
      </c>
      <c r="AY202" s="3" t="str">
        <f t="shared" si="18"/>
        <v>Ryan Davis</v>
      </c>
      <c r="AZ202" s="3"/>
      <c r="BA202" s="24">
        <f>AK202*(1-(_xlfn.XLOOKUP(G202, Exchange_Rates!$B$8:$F$8, Exchange_Rates!$B$9:$F$9, 0)+J202))</f>
        <v>38961.518400000008</v>
      </c>
      <c r="BB202" s="7" cm="1">
        <f t="array" ref="BB202">_xlfn.LET(
  _xlpm.raw_dt, SUBSTITUTE(TRIM(C202), ".", "/"),
  _xlpm.dt, IFERROR(DATEVALUE(_xlpm.raw_dt), C202),
  _xlpm.p_code, TRIM(E202),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46792</v>
      </c>
      <c r="BC202" s="25">
        <f t="shared" si="19"/>
        <v>11688.455520000001</v>
      </c>
    </row>
    <row r="203" spans="1:55" ht="15.75" thickBot="1" x14ac:dyDescent="0.3">
      <c r="A203" s="3" t="s">
        <v>3464</v>
      </c>
      <c r="B203" s="10">
        <v>46064</v>
      </c>
      <c r="C203" s="4">
        <v>46073</v>
      </c>
      <c r="D203" s="3" t="str">
        <f>"P-" &amp; TEXT(VALUE(SUBSTITUTE(SUBSTITUTE(SUBSTITUTE(UPPER(TRIM('Sales_RAW(BEFORE)'!D209)), "P", ""), "-", ""), "_", "")),"000")</f>
        <v>P-053</v>
      </c>
      <c r="E203" s="3" t="str">
        <f>VLOOKUP(D203,Product_List!$A$2:$B$61,2,FALSE)</f>
        <v>Monitor Basic 53</v>
      </c>
      <c r="F203" s="3" t="str">
        <f>_xlfn.XLOOKUP(E203,Product_List!$B$2:$B$61,Product_List!$E$2:$E$61,2)</f>
        <v>Global Distrib</v>
      </c>
      <c r="G203" s="3" t="str">
        <f>VLOOKUP(E203,Product_List!$B$2:$C$61,2,FALSE)</f>
        <v>Equipment</v>
      </c>
      <c r="H203" s="3" t="str">
        <f>SUBSTITUTE(SUBSTITUTE('Sales_RAW(BEFORE)'!G209,"kom",""),".","")</f>
        <v xml:space="preserve">2 </v>
      </c>
      <c r="I203" s="6">
        <f>VLOOKUP(E203,Product_List!$B$2:$D$61,3,FALSE)</f>
        <v>553.22</v>
      </c>
      <c r="J203" s="5">
        <f>IF(IFERROR(VALUE(SUBSTITUTE(SUBSTITUTE(TRIM('Sales_RAW(BEFORE)'!I209), "%", ""), ",", ".")), 0) &gt; 1, IFERROR(VALUE(SUBSTITUTE(SUBSTITUTE(TRIM('Sales_RAW(BEFORE)'!I209), "%", ""), ",", ".")), 0) / 100, IFERROR(VALUE(SUBSTITUTE(SUBSTITUTE(TRIM('Sales_RAW(BEFORE)'!I209), "%", ""), ",", ".")), 0))</f>
        <v>0.1</v>
      </c>
      <c r="K203" s="6">
        <f t="shared" si="15"/>
        <v>1106.44</v>
      </c>
      <c r="L203" s="6" t="str" cm="1">
        <f t="array" ref="L203">_xlfn.LET(
  _xlpm.valuta, UPPER(TRIM('Sales_RAW(BEFORE)'!K209)),
  _xlfn.IFS(
    _xlpm.valuta = "", "",
    OR(_xlpm.valuta = "USD", _xlpm.valuta = "$"), "$",
    OR(_xlpm.valuta = "EUR", _xlpm.valuta = "€"), "€",
    TRUE, _xlpm.valuta
  )
)</f>
        <v>$</v>
      </c>
      <c r="M203" s="3" t="str">
        <f>"E" &amp; TEXT(VALUE(SUBSTITUTE(SUBSTITUTE(SUBSTITUTE(UPPER(TRIM('Sales_RAW(BEFORE)'!L209)), "EMP", ""), "E", ""), "-", "")),"000")</f>
        <v>E004</v>
      </c>
      <c r="N203" s="3" t="str">
        <f>_xlfn.XLOOKUP(M203,Employees!$D$2:$D$26,Employees!$A$2:$A$26)</f>
        <v>Sophia Johnson</v>
      </c>
      <c r="O203" s="3" t="str">
        <f>_xlfn.XLOOKUP(N203,Employees!$A$2:$A$26,Employees!$C$2:$C$26,2)</f>
        <v>Wholesale</v>
      </c>
      <c r="P203" s="3" t="str">
        <f>PROPER('Sales_RAW(BEFORE)'!N209)</f>
        <v>West</v>
      </c>
      <c r="Q203" s="3" t="str">
        <f>VLOOKUP(N203,Employees!$A$2:$B$26,2,FALSE)</f>
        <v>Houston</v>
      </c>
      <c r="R203" s="3" t="str">
        <f>PROPER('Sales_RAW(BEFORE)'!P209)</f>
        <v>Initech Inc.</v>
      </c>
      <c r="S203" s="3" t="str">
        <f>SUBSTITUTE(SUBSTITUTE('Sales_RAW(BEFORE)'!Q209,"EIN",""),":","")</f>
        <v xml:space="preserve"> 219131979</v>
      </c>
      <c r="T203" s="3" t="s">
        <v>169</v>
      </c>
      <c r="U203" s="3" t="s">
        <v>3469</v>
      </c>
      <c r="V203" s="3" t="s">
        <v>1069</v>
      </c>
      <c r="W203" s="3" t="s">
        <v>3470</v>
      </c>
      <c r="X203" s="3" t="s">
        <v>173</v>
      </c>
      <c r="Y203" s="3" t="str">
        <f>PROPER('Sales_RAW(BEFORE)'!W209)</f>
        <v>Credit Card</v>
      </c>
      <c r="Z203" s="3" t="str">
        <f>PROPER('Sales_RAW(BEFORE)'!X209)</f>
        <v>Pending</v>
      </c>
      <c r="AA203" s="3" t="str" cm="1">
        <f t="array" ref="AA203">_xlfn.LET(
  _xlpm.val, TRIM(LOWER('Sales_RAW(BEFORE)'!Y209)),
  _xlfn.IFS(
    OR(_xlpm.val="yes", _xlpm.val="paid"), "Paid",
    OR(_xlpm.val="no", _xlpm.val="unpaid"), "Unpaid",
    OR(_xlpm.val="partial", _xlpm.val="partial paid"), "Partial",
    _xlpm.val="", "",
    TRUE, 'Sales_RAW(BEFORE)'!AY209
  )
)</f>
        <v>Paid</v>
      </c>
      <c r="AB203" s="3" t="s">
        <v>3471</v>
      </c>
      <c r="AC203" s="3" t="str">
        <f>PROPER('Sales_RAW(BEFORE)'!AA209)</f>
        <v>Online</v>
      </c>
      <c r="AD203" s="3" t="str">
        <f>SUBSTITUTE(SUBSTITUTE(SUBSTITUTE(SUBSTITUTE('Sales_RAW(BEFORE)'!AB209,"st",""),"q",""),"Q",""),"uarter","")</f>
        <v>1</v>
      </c>
      <c r="AE203" s="3" t="str">
        <f>TEXT(IFERROR(DATEVALUE('Sales_RAW(BEFORE)'!AC209 &amp; " 1"), IFERROR(DATE(2025, 'Sales_RAW(BEFORE)'!AC209, 1), 'Sales_RAW(BEFORE)'!AC209)), "mmmm")</f>
        <v>February</v>
      </c>
      <c r="AF203" s="3">
        <f>_xlfn.LET(
  _xlpm.raw, TRIM(SUBSTITUTE('Sales_RAW(BEFORE)'!AD209, "'", "")),
  _xlpm.num, IFERROR(VALUE(_xlpm.raw), 0),
  IF(_xlpm.num &lt; 100, 2000 + _xlpm.num, _xlpm.num)
)</f>
        <v>2026</v>
      </c>
      <c r="AG203" s="3" t="str">
        <f>PROPER('Sales_RAW(BEFORE)'!AE209)</f>
        <v>Net 60</v>
      </c>
      <c r="AH203" s="3" cm="1">
        <f t="array" ref="AH203">_xlfn.LET(
  _xlpm.val, LOWER(TRIM('Sales_RAW(BEFORE)'!AF209)),
  _xlfn.IFS(
    OR(_xlpm.val="", _xlpm.val="null", _xlpm.val="N/A", _xlpm.val="-", _xlpm.val="#N/A"), 0,
    ISNUMBER('Sales_RAW(BEFORE)'!AF209), 'Sales_RAW(BEFORE)'!AF209,
    TRUE, IFERROR(_xlfn.NUMBERVALUE(_xlpm.val), 0)
  )
)</f>
        <v>29</v>
      </c>
      <c r="AI203" s="5">
        <f>IF(IFERROR(VALUE(SUBSTITUTE(SUBSTITUTE(TRIM('Sales_RAW(BEFORE)'!AG209), "%", ""), ",", ".")), 0) &gt; 1, IFERROR(VALUE(SUBSTITUTE(SUBSTITUTE(TRIM('Sales_RAW(BEFORE)'!AG209), "%", ""), ",", ".")), 0) / 100, IFERROR(VALUE(SUBSTITUTE(SUBSTITUTE(TRIM('Sales_RAW(BEFORE)'!AG209), "%", ""), ",", ".")), 0))</f>
        <v>0.08</v>
      </c>
      <c r="AJ203" s="6">
        <f t="shared" si="16"/>
        <v>88.515200000000007</v>
      </c>
      <c r="AK203" s="6">
        <f t="shared" si="17"/>
        <v>1194.9552000000001</v>
      </c>
      <c r="AL203" s="6">
        <f>IFERROR(VALUE(SUBSTITUTE(SUBSTITUTE(SUBSTITUTE('Sales_RAW(BEFORE)'!AJ209,"$",""),"USD",""),",",".")),0)</f>
        <v>33.729999999999997</v>
      </c>
      <c r="AM203" s="3" t="str">
        <f>SUBSTITUTE(SUBSTITUTE(PROPER('Sales_RAW(BEFORE)'!AK209), "Fed Ex", "FedEx"),"Fedex","FedEx")</f>
        <v>FedEx</v>
      </c>
      <c r="AN203" s="3" t="s">
        <v>3472</v>
      </c>
      <c r="AO203" s="3" t="str">
        <f>SUBSTITUTE('Sales_RAW(BEFORE)'!AM209,"kg","")</f>
        <v>1.14</v>
      </c>
      <c r="AP203" s="3" t="str">
        <f>_xlfn.LET(
  _xlpm.raw, UPPER(TRIM('Sales_RAW(BEFORE)'!AN209)),
  _xlpm.clean, RIGHT(_xlpm.raw, 1),
  IF(OR(_xlpm.raw="", _xlpm.raw="null"), "N/A", _xlpm.clean)
)</f>
        <v>A</v>
      </c>
      <c r="AQ203" s="3">
        <v>314</v>
      </c>
      <c r="AR203" s="3" t="str" cm="1">
        <f t="array" ref="AR203">_xlfn.LET(
  _xlpm.raw, LOWER(TRIM('Sales_RAW(BEFORE)'!AP209)),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203" s="3"/>
      <c r="AT203" s="3"/>
      <c r="AU203" s="3"/>
      <c r="AV203" s="8">
        <f>IF(IFERROR(VALUE(SUBSTITUTE(SUBSTITUTE(TRIM('Sales_RAW(BEFORE)'!AT209), "%", ""), ",", ".")), 0) &gt; 1, IFERROR(VALUE(SUBSTITUTE(SUBSTITUTE(TRIM('Sales_RAW(BEFORE)'!AT209), "%", ""), ",", ".")), 0) / 100, IFERROR(VALUE(SUBSTITUTE(SUBSTITUTE(TRIM('Sales_RAW(BEFORE)'!AT209), "%", ""), ",", ".")), 0))</f>
        <v>0.18</v>
      </c>
      <c r="AW203" s="6">
        <f>BA203*(_xlfn.XLOOKUP(N203,Employees!$A$2:$A$26,Employees!$E$2:$E$26,2))</f>
        <v>47.79820800000001</v>
      </c>
      <c r="AX203" s="3" t="str">
        <f>PROPER('Sales_RAW(BEFORE)'!AV209)</f>
        <v xml:space="preserve">Sarah Taylor </v>
      </c>
      <c r="AY203" s="3" t="str">
        <f t="shared" si="18"/>
        <v xml:space="preserve">Sarah Taylor </v>
      </c>
      <c r="AZ203" s="3"/>
      <c r="BA203" s="24">
        <f>AK203*(1-(_xlfn.XLOOKUP(G203, Exchange_Rates!$B$8:$F$8, Exchange_Rates!$B$9:$F$9, 0)+J203))</f>
        <v>955.96416000000011</v>
      </c>
      <c r="BB203" s="7" cm="1">
        <f t="array" ref="BB203">_xlfn.LET(
  _xlpm.raw_dt, SUBSTITUTE(TRIM(C203), ".", "/"),
  _xlpm.dt, IFERROR(DATEVALUE(_xlpm.raw_dt), C203),
  _xlpm.p_code, TRIM(E203),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46803</v>
      </c>
      <c r="BC203" s="25">
        <f t="shared" si="19"/>
        <v>172.07354880000003</v>
      </c>
    </row>
    <row r="204" spans="1:55" ht="15.75" thickBot="1" x14ac:dyDescent="0.3">
      <c r="A204" s="3" t="s">
        <v>3475</v>
      </c>
      <c r="B204" s="10">
        <v>45675</v>
      </c>
      <c r="C204" s="4">
        <f>DATE(2025,1,21)</f>
        <v>45678</v>
      </c>
      <c r="D204" s="3" t="str">
        <f>"P-" &amp; TEXT(VALUE(SUBSTITUTE(SUBSTITUTE(SUBSTITUTE(UPPER(TRIM('Sales_RAW(BEFORE)'!D210)), "P", ""), "-", ""), "_", "")),"000")</f>
        <v>P-050</v>
      </c>
      <c r="E204" s="3" t="str">
        <f>VLOOKUP(D204,Product_List!$A$2:$B$61,2,FALSE)</f>
        <v>License X 50</v>
      </c>
      <c r="F204" s="3" t="str">
        <f>_xlfn.XLOOKUP(E204,Product_List!$B$2:$B$61,Product_List!$E$2:$E$61,2)</f>
        <v>BestParts</v>
      </c>
      <c r="G204" s="3" t="str">
        <f>VLOOKUP(E204,Product_List!$B$2:$C$61,2,FALSE)</f>
        <v>Equipment</v>
      </c>
      <c r="H204" s="3" t="str">
        <f>SUBSTITUTE(SUBSTITUTE('Sales_RAW(BEFORE)'!G210,"kom",""),".","")</f>
        <v xml:space="preserve">15 </v>
      </c>
      <c r="I204" s="6">
        <f>VLOOKUP(E204,Product_List!$B$2:$D$61,3,FALSE)</f>
        <v>39.53</v>
      </c>
      <c r="J204" s="5">
        <f>IF(IFERROR(VALUE(SUBSTITUTE(SUBSTITUTE(TRIM('Sales_RAW(BEFORE)'!I210), "%", ""), ",", ".")), 0) &gt; 1, IFERROR(VALUE(SUBSTITUTE(SUBSTITUTE(TRIM('Sales_RAW(BEFORE)'!I210), "%", ""), ",", ".")), 0) / 100, IFERROR(VALUE(SUBSTITUTE(SUBSTITUTE(TRIM('Sales_RAW(BEFORE)'!I210), "%", ""), ",", ".")), 0))</f>
        <v>0.1</v>
      </c>
      <c r="K204" s="6">
        <f>(H204*I204)/(HLOOKUP(AE204,Exchange_Rates!$B$1:$M$2,2,FALSE))</f>
        <v>641.02702702702709</v>
      </c>
      <c r="L204" s="6" t="str" cm="1">
        <f t="array" ref="L204">_xlfn.LET(
  _xlpm.valuta, UPPER(TRIM('Sales_RAW(BEFORE)'!K210)),
  _xlfn.IFS(
    _xlpm.valuta = "", "",
    OR(_xlpm.valuta = "USD", _xlpm.valuta = "$"), "$",
    OR(_xlpm.valuta = "EUR", _xlpm.valuta = "€"), "€",
    TRUE, _xlpm.valuta
  )
)</f>
        <v>€</v>
      </c>
      <c r="M204" s="3" t="str">
        <f>"E" &amp; TEXT(VALUE(SUBSTITUTE(SUBSTITUTE(SUBSTITUTE(UPPER(TRIM('Sales_RAW(BEFORE)'!L210)), "EMP", ""), "E", ""), "-", "")),"000")</f>
        <v>E009</v>
      </c>
      <c r="N204" s="3" t="str">
        <f>_xlfn.XLOOKUP(M204,Employees!$D$2:$D$26,Employees!$A$2:$A$26)</f>
        <v>Olivia Wilson</v>
      </c>
      <c r="O204" s="3" t="str">
        <f>_xlfn.XLOOKUP(N204,Employees!$A$2:$A$26,Employees!$C$2:$C$26,2)</f>
        <v>Wholesale</v>
      </c>
      <c r="P204" s="3" t="str">
        <f>PROPER('Sales_RAW(BEFORE)'!N210)</f>
        <v>South</v>
      </c>
      <c r="Q204" s="3" t="str">
        <f>VLOOKUP(N204,Employees!$A$2:$B$26,2,FALSE)</f>
        <v>Miami</v>
      </c>
      <c r="R204" s="3" t="str">
        <f>PROPER('Sales_RAW(BEFORE)'!P210)</f>
        <v xml:space="preserve">Globex Inc </v>
      </c>
      <c r="S204" s="3" t="str">
        <f>SUBSTITUTE(SUBSTITUTE('Sales_RAW(BEFORE)'!Q210,"EIN",""),":","")</f>
        <v xml:space="preserve"> 296549411</v>
      </c>
      <c r="T204" s="3" t="s">
        <v>505</v>
      </c>
      <c r="U204" s="3" t="s">
        <v>3482</v>
      </c>
      <c r="V204" s="3" t="s">
        <v>3483</v>
      </c>
      <c r="W204" s="3" t="s">
        <v>3484</v>
      </c>
      <c r="X204" s="3" t="s">
        <v>173</v>
      </c>
      <c r="Y204" s="3" t="str">
        <f>PROPER('Sales_RAW(BEFORE)'!W210)</f>
        <v>Credit Card</v>
      </c>
      <c r="Z204" s="3" t="str">
        <f>PROPER('Sales_RAW(BEFORE)'!X210)</f>
        <v>Cancelled</v>
      </c>
      <c r="AA204" s="3" t="str" cm="1">
        <f t="array" ref="AA204">_xlfn.LET(
  _xlpm.val, TRIM(LOWER('Sales_RAW(BEFORE)'!Y210)),
  _xlfn.IFS(
    OR(_xlpm.val="yes", _xlpm.val="paid"), "Paid",
    OR(_xlpm.val="no", _xlpm.val="unpaid"), "Unpaid",
    OR(_xlpm.val="partial", _xlpm.val="partial paid"), "Partial",
    _xlpm.val="", "",
    TRUE, 'Sales_RAW(BEFORE)'!AY210
  )
)</f>
        <v>Unpaid</v>
      </c>
      <c r="AB204" s="3" t="s">
        <v>3485</v>
      </c>
      <c r="AC204" s="3" t="str">
        <f>PROPER('Sales_RAW(BEFORE)'!AA210)</f>
        <v>Phone</v>
      </c>
      <c r="AD204" s="3" t="str">
        <f>SUBSTITUTE(SUBSTITUTE(SUBSTITUTE(SUBSTITUTE('Sales_RAW(BEFORE)'!AB210,"st",""),"q",""),"Q",""),"uarter","")</f>
        <v>1</v>
      </c>
      <c r="AE204" s="3" t="str">
        <f>TEXT(IFERROR(DATEVALUE('Sales_RAW(BEFORE)'!AC210 &amp; " 1"), IFERROR(DATE(2025, 'Sales_RAW(BEFORE)'!AC210, 1), 'Sales_RAW(BEFORE)'!AC210)), "mmmm")</f>
        <v>January</v>
      </c>
      <c r="AF204" s="3">
        <f>_xlfn.LET(
  _xlpm.raw, TRIM(SUBSTITUTE('Sales_RAW(BEFORE)'!AD210, "'", "")),
  _xlpm.num, IFERROR(VALUE(_xlpm.raw), 0),
  IF(_xlpm.num &lt; 100, 2000 + _xlpm.num, _xlpm.num)
)</f>
        <v>2025</v>
      </c>
      <c r="AG204" s="3" t="str">
        <f>PROPER('Sales_RAW(BEFORE)'!AE210)</f>
        <v>Net 30</v>
      </c>
      <c r="AH204" s="3" cm="1">
        <f t="array" ref="AH204">_xlfn.LET(
  _xlpm.val, LOWER(TRIM('Sales_RAW(BEFORE)'!AF210)),
  _xlfn.IFS(
    OR(_xlpm.val="", _xlpm.val="null", _xlpm.val="N/A", _xlpm.val="-", _xlpm.val="#N/A"), 0,
    ISNUMBER('Sales_RAW(BEFORE)'!AF210), 'Sales_RAW(BEFORE)'!AF210,
    TRUE, IFERROR(_xlfn.NUMBERVALUE(_xlpm.val), 0)
  )
)</f>
        <v>62</v>
      </c>
      <c r="AI204" s="5">
        <f>IF(IFERROR(VALUE(SUBSTITUTE(SUBSTITUTE(TRIM('Sales_RAW(BEFORE)'!AG210), "%", ""), ",", ".")), 0) &gt; 1, IFERROR(VALUE(SUBSTITUTE(SUBSTITUTE(TRIM('Sales_RAW(BEFORE)'!AG210), "%", ""), ",", ".")), 0) / 100, IFERROR(VALUE(SUBSTITUTE(SUBSTITUTE(TRIM('Sales_RAW(BEFORE)'!AG210), "%", ""), ",", ".")), 0))</f>
        <v>0.08</v>
      </c>
      <c r="AJ204" s="6">
        <f t="shared" si="16"/>
        <v>51.282162162162166</v>
      </c>
      <c r="AK204" s="6">
        <f t="shared" si="17"/>
        <v>692.30918918918928</v>
      </c>
      <c r="AL204" s="6">
        <f>IFERROR(VALUE(SUBSTITUTE(SUBSTITUTE(SUBSTITUTE('Sales_RAW(BEFORE)'!AJ210,"$",""),"USD",""),",",".")),0)</f>
        <v>2.63</v>
      </c>
      <c r="AM204" s="3" t="str">
        <f>SUBSTITUTE(SUBSTITUTE(PROPER('Sales_RAW(BEFORE)'!AK210), "Fed Ex", "FedEx"),"Fedex","FedEx")</f>
        <v>FedEx</v>
      </c>
      <c r="AN204" s="3" t="s">
        <v>3487</v>
      </c>
      <c r="AO204" s="3" t="str">
        <f>SUBSTITUTE('Sales_RAW(BEFORE)'!AM210,"kg","")</f>
        <v>0.82</v>
      </c>
      <c r="AP204" s="3" t="str">
        <f>_xlfn.LET(
  _xlpm.raw, UPPER(TRIM('Sales_RAW(BEFORE)'!AN210)),
  _xlpm.clean, RIGHT(_xlpm.raw, 1),
  IF(OR(_xlpm.raw="", _xlpm.raw="null"), "N/A", _xlpm.clean)
)</f>
        <v>B</v>
      </c>
      <c r="AQ204" s="3">
        <v>141</v>
      </c>
      <c r="AR204" s="3" cm="1">
        <f t="array" ref="AR204">_xlfn.LET(
  _xlpm.raw, LOWER(TRIM('Sales_RAW(BEFORE)'!AP210)),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204" s="3"/>
      <c r="AT204" s="3"/>
      <c r="AU204" s="3"/>
      <c r="AV204" s="8">
        <f>IF(IFERROR(VALUE(SUBSTITUTE(SUBSTITUTE(TRIM('Sales_RAW(BEFORE)'!AT210), "%", ""), ",", ".")), 0) &gt; 1, IFERROR(VALUE(SUBSTITUTE(SUBSTITUTE(TRIM('Sales_RAW(BEFORE)'!AT210), "%", ""), ",", ".")), 0) / 100, IFERROR(VALUE(SUBSTITUTE(SUBSTITUTE(TRIM('Sales_RAW(BEFORE)'!AT210), "%", ""), ",", ".")), 0))</f>
        <v>0.18</v>
      </c>
      <c r="AW204" s="6">
        <f>BA204*(_xlfn.XLOOKUP(N204,Employees!$A$2:$A$26,Employees!$E$2:$E$26,2))</f>
        <v>16.615420540540544</v>
      </c>
      <c r="AX204" s="3" t="str">
        <f>PROPER('Sales_RAW(BEFORE)'!AV210)</f>
        <v>Sophia Jones</v>
      </c>
      <c r="AY204" s="3" t="str">
        <f t="shared" si="18"/>
        <v>Sophia Jones</v>
      </c>
      <c r="AZ204" s="3"/>
      <c r="BA204" s="24">
        <f>AK204*(1-(_xlfn.XLOOKUP(G204, Exchange_Rates!$B$8:$F$8, Exchange_Rates!$B$9:$F$9, 0)+J204))</f>
        <v>553.84735135135145</v>
      </c>
      <c r="BB204" s="7" cm="1">
        <f t="array" ref="BB204">_xlfn.LET(
  _xlpm.raw_dt, SUBSTITUTE(TRIM(C204), ".", "/"),
  _xlpm.dt, IFERROR(DATEVALUE(_xlpm.raw_dt), C204),
  _xlpm.p_code, TRIM(E204),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46043</v>
      </c>
      <c r="BC204" s="25">
        <f t="shared" si="19"/>
        <v>99.692523243243258</v>
      </c>
    </row>
    <row r="205" spans="1:55" ht="15.75" thickBot="1" x14ac:dyDescent="0.3">
      <c r="A205" s="3" t="s">
        <v>3488</v>
      </c>
      <c r="B205" s="10">
        <v>45883</v>
      </c>
      <c r="C205" s="4">
        <v>45891</v>
      </c>
      <c r="D205" s="3" t="str">
        <f>"P-" &amp; TEXT(VALUE(SUBSTITUTE(SUBSTITUTE(SUBSTITUTE(UPPER(TRIM('Sales_RAW(BEFORE)'!D211)), "P", ""), "-", ""), "_", "")),"000")</f>
        <v>P-047</v>
      </c>
      <c r="E205" s="3" t="str">
        <f>VLOOKUP(D205,Product_List!$A$2:$B$61,2,FALSE)</f>
        <v>Monitor Pro 47</v>
      </c>
      <c r="F205" s="3" t="str">
        <f>_xlfn.XLOOKUP(E205,Product_List!$B$2:$B$61,Product_List!$E$2:$E$61,2)</f>
        <v>TechSupply Co</v>
      </c>
      <c r="G205" s="3" t="str">
        <f>VLOOKUP(E205,Product_List!$B$2:$C$61,2,FALSE)</f>
        <v>Software</v>
      </c>
      <c r="H205" s="3" t="str">
        <f>SUBSTITUTE(SUBSTITUTE('Sales_RAW(BEFORE)'!G211,"kom",""),".","")</f>
        <v xml:space="preserve">7 </v>
      </c>
      <c r="I205" s="6">
        <f>VLOOKUP(E205,Product_List!$B$2:$D$61,3,FALSE)</f>
        <v>1489.69</v>
      </c>
      <c r="J205" s="5">
        <f>IF(IFERROR(VALUE(SUBSTITUTE(SUBSTITUTE(TRIM('Sales_RAW(BEFORE)'!I211), "%", ""), ",", ".")), 0) &gt; 1, IFERROR(VALUE(SUBSTITUTE(SUBSTITUTE(TRIM('Sales_RAW(BEFORE)'!I211), "%", ""), ",", ".")), 0) / 100, IFERROR(VALUE(SUBSTITUTE(SUBSTITUTE(TRIM('Sales_RAW(BEFORE)'!I211), "%", ""), ",", ".")), 0))</f>
        <v>0.1</v>
      </c>
      <c r="K205" s="6">
        <f t="shared" si="15"/>
        <v>10427.83</v>
      </c>
      <c r="L205" s="6" t="str" cm="1">
        <f t="array" ref="L205">_xlfn.LET(
  _xlpm.valuta, UPPER(TRIM('Sales_RAW(BEFORE)'!K211)),
  _xlfn.IFS(
    _xlpm.valuta = "", "",
    OR(_xlpm.valuta = "USD", _xlpm.valuta = "$"), "$",
    OR(_xlpm.valuta = "EUR", _xlpm.valuta = "€"), "€",
    TRUE, _xlpm.valuta
  )
)</f>
        <v>$</v>
      </c>
      <c r="M205" s="3" t="str">
        <f>"E" &amp; TEXT(VALUE(SUBSTITUTE(SUBSTITUTE(SUBSTITUTE(UPPER(TRIM('Sales_RAW(BEFORE)'!L211)), "EMP", ""), "E", ""), "-", "")),"000")</f>
        <v>E019</v>
      </c>
      <c r="N205" s="3" t="str">
        <f>_xlfn.XLOOKUP(M205,Employees!$D$2:$D$26,Employees!$A$2:$A$26)</f>
        <v>Sophia Taylor</v>
      </c>
      <c r="O205" s="3" t="str">
        <f>_xlfn.XLOOKUP(N205,Employees!$A$2:$A$26,Employees!$C$2:$C$26,2)</f>
        <v>Wholesale</v>
      </c>
      <c r="P205" s="3" t="str">
        <f>PROPER('Sales_RAW(BEFORE)'!N211)</f>
        <v>West</v>
      </c>
      <c r="Q205" s="3" t="str">
        <f>VLOOKUP(N205,Employees!$A$2:$B$26,2,FALSE)</f>
        <v>Los Angeles</v>
      </c>
      <c r="R205" s="3" t="str">
        <f>PROPER('Sales_RAW(BEFORE)'!P211)</f>
        <v>Acme Llc</v>
      </c>
      <c r="S205" s="3" t="str">
        <f>SUBSTITUTE(SUBSTITUTE('Sales_RAW(BEFORE)'!Q211,"EIN",""),":","")</f>
        <v>145207302</v>
      </c>
      <c r="T205" s="3" t="s">
        <v>994</v>
      </c>
      <c r="U205" s="3" t="s">
        <v>3494</v>
      </c>
      <c r="V205" s="3" t="s">
        <v>3495</v>
      </c>
      <c r="W205" s="3" t="s">
        <v>3496</v>
      </c>
      <c r="X205" s="3" t="s">
        <v>173</v>
      </c>
      <c r="Y205" s="3" t="str">
        <f>PROPER('Sales_RAW(BEFORE)'!W211)</f>
        <v>Wire Transfer</v>
      </c>
      <c r="Z205" s="3" t="str">
        <f>PROPER('Sales_RAW(BEFORE)'!X211)</f>
        <v>Cancelled</v>
      </c>
      <c r="AA205" s="3" t="str" cm="1">
        <f t="array" ref="AA205">_xlfn.LET(
  _xlpm.val, TRIM(LOWER('Sales_RAW(BEFORE)'!Y211)),
  _xlfn.IFS(
    OR(_xlpm.val="yes", _xlpm.val="paid"), "Paid",
    OR(_xlpm.val="no", _xlpm.val="unpaid"), "Unpaid",
    OR(_xlpm.val="partial", _xlpm.val="partial paid"), "Partial",
    _xlpm.val="", "",
    TRUE, 'Sales_RAW(BEFORE)'!AY211
  )
)</f>
        <v>Paid</v>
      </c>
      <c r="AB205" s="3" t="s">
        <v>3497</v>
      </c>
      <c r="AC205" s="3" t="str">
        <f>PROPER('Sales_RAW(BEFORE)'!AA211)</f>
        <v>Store</v>
      </c>
      <c r="AD205" s="3" t="str">
        <f>SUBSTITUTE(SUBSTITUTE(SUBSTITUTE(SUBSTITUTE('Sales_RAW(BEFORE)'!AB211,"st",""),"q",""),"Q",""),"uarter","")</f>
        <v>1</v>
      </c>
      <c r="AE205" s="3" t="str">
        <f>TEXT(IFERROR(DATEVALUE('Sales_RAW(BEFORE)'!AC211 &amp; " 1"), IFERROR(DATE(2025, 'Sales_RAW(BEFORE)'!AC211, 1), 'Sales_RAW(BEFORE)'!AC211)), "mmmm")</f>
        <v>August</v>
      </c>
      <c r="AF205" s="3">
        <f>_xlfn.LET(
  _xlpm.raw, TRIM(SUBSTITUTE('Sales_RAW(BEFORE)'!AD211, "'", "")),
  _xlpm.num, IFERROR(VALUE(_xlpm.raw), 0),
  IF(_xlpm.num &lt; 100, 2000 + _xlpm.num, _xlpm.num)
)</f>
        <v>2025</v>
      </c>
      <c r="AG205" s="3" t="str">
        <f>PROPER('Sales_RAW(BEFORE)'!AE211)</f>
        <v>Immediate</v>
      </c>
      <c r="AH205" s="3" cm="1">
        <f t="array" ref="AH205">_xlfn.LET(
  _xlpm.val, LOWER(TRIM('Sales_RAW(BEFORE)'!AF211)),
  _xlfn.IFS(
    OR(_xlpm.val="", _xlpm.val="null", _xlpm.val="N/A", _xlpm.val="-", _xlpm.val="#N/A"), 0,
    ISNUMBER('Sales_RAW(BEFORE)'!AF211), 'Sales_RAW(BEFORE)'!AF211,
    TRUE, IFERROR(_xlfn.NUMBERVALUE(_xlpm.val), 0)
  )
)</f>
        <v>48</v>
      </c>
      <c r="AI205" s="5">
        <f>IF(IFERROR(VALUE(SUBSTITUTE(SUBSTITUTE(TRIM('Sales_RAW(BEFORE)'!AG211), "%", ""), ",", ".")), 0) &gt; 1, IFERROR(VALUE(SUBSTITUTE(SUBSTITUTE(TRIM('Sales_RAW(BEFORE)'!AG211), "%", ""), ",", ".")), 0) / 100, IFERROR(VALUE(SUBSTITUTE(SUBSTITUTE(TRIM('Sales_RAW(BEFORE)'!AG211), "%", ""), ",", ".")), 0))</f>
        <v>0.08</v>
      </c>
      <c r="AJ205" s="6">
        <f t="shared" si="16"/>
        <v>834.22640000000001</v>
      </c>
      <c r="AK205" s="6">
        <f t="shared" si="17"/>
        <v>11262.056399999999</v>
      </c>
      <c r="AL205" s="6">
        <f>IFERROR(VALUE(SUBSTITUTE(SUBSTITUTE(SUBSTITUTE('Sales_RAW(BEFORE)'!AJ211,"$",""),"USD",""),",",".")),0)</f>
        <v>25.08</v>
      </c>
      <c r="AM205" s="3" t="str">
        <f>SUBSTITUTE(SUBSTITUTE(PROPER('Sales_RAW(BEFORE)'!AK211), "Fed Ex", "FedEx"),"Fedex","FedEx")</f>
        <v>Dhl</v>
      </c>
      <c r="AN205" s="3" t="s">
        <v>3499</v>
      </c>
      <c r="AO205" s="3" t="str">
        <f>SUBSTITUTE('Sales_RAW(BEFORE)'!AM211,"kg","")</f>
        <v>8.63</v>
      </c>
      <c r="AP205" s="3" t="str">
        <f>_xlfn.LET(
  _xlpm.raw, UPPER(TRIM('Sales_RAW(BEFORE)'!AN211)),
  _xlpm.clean, RIGHT(_xlpm.raw, 1),
  IF(OR(_xlpm.raw="", _xlpm.raw="null"), "N/A", _xlpm.clean)
)</f>
        <v>C</v>
      </c>
      <c r="AQ205" s="3">
        <v>464</v>
      </c>
      <c r="AR205" s="3" cm="1">
        <f t="array" ref="AR205">_xlfn.LET(
  _xlpm.raw, LOWER(TRIM('Sales_RAW(BEFORE)'!AP211)),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205" s="3"/>
      <c r="AT205" s="3"/>
      <c r="AU205" s="3"/>
      <c r="AV205" s="8">
        <f>IF(IFERROR(VALUE(SUBSTITUTE(SUBSTITUTE(TRIM('Sales_RAW(BEFORE)'!AT211), "%", ""), ",", ".")), 0) &gt; 1, IFERROR(VALUE(SUBSTITUTE(SUBSTITUTE(TRIM('Sales_RAW(BEFORE)'!AT211), "%", ""), ",", ".")), 0) / 100, IFERROR(VALUE(SUBSTITUTE(SUBSTITUTE(TRIM('Sales_RAW(BEFORE)'!AT211), "%", ""), ",", ".")), 0))</f>
        <v>0.18</v>
      </c>
      <c r="AW205" s="6">
        <f>BA205*(_xlfn.XLOOKUP(N205,Employees!$A$2:$A$26,Employees!$E$2:$E$26,2))</f>
        <v>253.39626899999996</v>
      </c>
      <c r="AX205" s="3" t="str">
        <f>PROPER('Sales_RAW(BEFORE)'!AV211)</f>
        <v>Laura Anderson</v>
      </c>
      <c r="AY205" s="3" t="str">
        <f t="shared" si="18"/>
        <v>Laura Anderson</v>
      </c>
      <c r="AZ205" s="3"/>
      <c r="BA205" s="24">
        <f>AK205*(1-(_xlfn.XLOOKUP(G205, Exchange_Rates!$B$8:$F$8, Exchange_Rates!$B$9:$F$9, 0)+J205))</f>
        <v>8446.5422999999992</v>
      </c>
      <c r="BB205" s="7" cm="1">
        <f t="array" ref="BB205">_xlfn.LET(
  _xlpm.raw_dt, SUBSTITUTE(TRIM(C205), ".", "/"),
  _xlpm.dt, IFERROR(DATEVALUE(_xlpm.raw_dt), C205),
  _xlpm.p_code, TRIM(E205),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46987</v>
      </c>
      <c r="BC205" s="25">
        <f t="shared" si="19"/>
        <v>1520.3776139999998</v>
      </c>
    </row>
    <row r="206" spans="1:55" ht="15.75" thickBot="1" x14ac:dyDescent="0.3">
      <c r="A206" s="3" t="s">
        <v>3501</v>
      </c>
      <c r="B206" s="10">
        <v>45746</v>
      </c>
      <c r="C206" s="4">
        <v>45748</v>
      </c>
      <c r="D206" s="3" t="str">
        <f>"P-" &amp; TEXT(VALUE(SUBSTITUTE(SUBSTITUTE(SUBSTITUTE(UPPER(TRIM('Sales_RAW(BEFORE)'!D212)), "P", ""), "-", ""), "_", "")),"000")</f>
        <v>P-041</v>
      </c>
      <c r="E206" s="3" t="str">
        <f>VLOOKUP(D206,Product_List!$A$2:$B$61,2,FALSE)</f>
        <v>Monitor X 41</v>
      </c>
      <c r="F206" s="3" t="str">
        <f>_xlfn.XLOOKUP(E206,Product_List!$B$2:$B$61,Product_List!$E$2:$E$61,2)</f>
        <v>TechSupply Co</v>
      </c>
      <c r="G206" s="3" t="str">
        <f>VLOOKUP(E206,Product_List!$B$2:$C$61,2,FALSE)</f>
        <v>Software</v>
      </c>
      <c r="H206" s="3" t="str">
        <f>SUBSTITUTE(SUBSTITUTE('Sales_RAW(BEFORE)'!G212,"kom",""),".","")</f>
        <v>23</v>
      </c>
      <c r="I206" s="6">
        <f>VLOOKUP(E206,Product_List!$B$2:$D$61,3,FALSE)</f>
        <v>247.64</v>
      </c>
      <c r="J206" s="5">
        <f>IF(IFERROR(VALUE(SUBSTITUTE(SUBSTITUTE(TRIM('Sales_RAW(BEFORE)'!I212), "%", ""), ",", ".")), 0) &gt; 1, IFERROR(VALUE(SUBSTITUTE(SUBSTITUTE(TRIM('Sales_RAW(BEFORE)'!I212), "%", ""), ",", ".")), 0) / 100, IFERROR(VALUE(SUBSTITUTE(SUBSTITUTE(TRIM('Sales_RAW(BEFORE)'!I212), "%", ""), ",", ".")), 0))</f>
        <v>0.1</v>
      </c>
      <c r="K206" s="6">
        <f t="shared" si="15"/>
        <v>5695.7199999999993</v>
      </c>
      <c r="L206" s="6" t="str" cm="1">
        <f t="array" ref="L206">_xlfn.LET(
  _xlpm.valuta, UPPER(TRIM('Sales_RAW(BEFORE)'!K212)),
  _xlfn.IFS(
    _xlpm.valuta = "", "",
    OR(_xlpm.valuta = "USD", _xlpm.valuta = "$"), "$",
    OR(_xlpm.valuta = "EUR", _xlpm.valuta = "€"), "€",
    TRUE, _xlpm.valuta
  )
)</f>
        <v>$</v>
      </c>
      <c r="M206" s="3" t="str">
        <f>"E" &amp; TEXT(VALUE(SUBSTITUTE(SUBSTITUTE(SUBSTITUTE(UPPER(TRIM('Sales_RAW(BEFORE)'!L212)), "EMP", ""), "E", ""), "-", "")),"000")</f>
        <v>E001</v>
      </c>
      <c r="N206" s="3" t="str">
        <f>_xlfn.XLOOKUP(M206,Employees!$D$2:$D$26,Employees!$A$2:$A$26)</f>
        <v>Sarah Wilson</v>
      </c>
      <c r="O206" s="3" t="str">
        <f>_xlfn.XLOOKUP(N206,Employees!$A$2:$A$26,Employees!$C$2:$C$26,2)</f>
        <v>Online</v>
      </c>
      <c r="P206" s="3" t="str">
        <f>PROPER('Sales_RAW(BEFORE)'!N212)</f>
        <v>West</v>
      </c>
      <c r="Q206" s="3" t="str">
        <f>VLOOKUP(N206,Employees!$A$2:$B$26,2,FALSE)</f>
        <v>Los Angeles</v>
      </c>
      <c r="R206" s="3" t="str">
        <f>PROPER('Sales_RAW(BEFORE)'!P212)</f>
        <v>Umbrella Inc</v>
      </c>
      <c r="S206" s="3" t="str">
        <f>SUBSTITUTE(SUBSTITUTE('Sales_RAW(BEFORE)'!Q212,"EIN",""),":","")</f>
        <v xml:space="preserve"> 837262618</v>
      </c>
      <c r="T206" s="3" t="s">
        <v>1722</v>
      </c>
      <c r="U206" s="3" t="s">
        <v>3506</v>
      </c>
      <c r="V206" s="3" t="s">
        <v>3507</v>
      </c>
      <c r="W206" s="3" t="s">
        <v>3508</v>
      </c>
      <c r="X206" s="3" t="s">
        <v>173</v>
      </c>
      <c r="Y206" s="3" t="str">
        <f>PROPER('Sales_RAW(BEFORE)'!W212)</f>
        <v>Credit Card</v>
      </c>
      <c r="Z206" s="3" t="str">
        <f>PROPER('Sales_RAW(BEFORE)'!X212)</f>
        <v>Delivered</v>
      </c>
      <c r="AA206" s="3" t="str" cm="1">
        <f t="array" ref="AA206">_xlfn.LET(
  _xlpm.val, TRIM(LOWER('Sales_RAW(BEFORE)'!Y212)),
  _xlfn.IFS(
    OR(_xlpm.val="yes", _xlpm.val="paid"), "Paid",
    OR(_xlpm.val="no", _xlpm.val="unpaid"), "Unpaid",
    OR(_xlpm.val="partial", _xlpm.val="partial paid"), "Partial",
    _xlpm.val="", "",
    TRUE, 'Sales_RAW(BEFORE)'!AY212
  )
)</f>
        <v>Paid</v>
      </c>
      <c r="AB206" s="3" t="s">
        <v>3509</v>
      </c>
      <c r="AC206" s="3" t="str">
        <f>PROPER('Sales_RAW(BEFORE)'!AA212)</f>
        <v>Online</v>
      </c>
      <c r="AD206" s="3" t="str">
        <f>SUBSTITUTE(SUBSTITUTE(SUBSTITUTE(SUBSTITUTE('Sales_RAW(BEFORE)'!AB212,"st",""),"q",""),"Q",""),"uarter","")</f>
        <v>2</v>
      </c>
      <c r="AE206" s="3" t="str">
        <f>TEXT(IFERROR(DATEVALUE('Sales_RAW(BEFORE)'!AC212 &amp; " 1"), IFERROR(DATE(2025, 'Sales_RAW(BEFORE)'!AC212, 1), 'Sales_RAW(BEFORE)'!AC212)), "mmmm")</f>
        <v>March</v>
      </c>
      <c r="AF206" s="3">
        <f>_xlfn.LET(
  _xlpm.raw, TRIM(SUBSTITUTE('Sales_RAW(BEFORE)'!AD212, "'", "")),
  _xlpm.num, IFERROR(VALUE(_xlpm.raw), 0),
  IF(_xlpm.num &lt; 100, 2000 + _xlpm.num, _xlpm.num)
)</f>
        <v>2025</v>
      </c>
      <c r="AG206" s="3" t="str">
        <f>PROPER('Sales_RAW(BEFORE)'!AE212)</f>
        <v>Net 60</v>
      </c>
      <c r="AH206" s="3" cm="1">
        <f t="array" ref="AH206">_xlfn.LET(
  _xlpm.val, LOWER(TRIM('Sales_RAW(BEFORE)'!AF212)),
  _xlfn.IFS(
    OR(_xlpm.val="", _xlpm.val="null", _xlpm.val="N/A", _xlpm.val="-", _xlpm.val="#N/A"), 0,
    ISNUMBER('Sales_RAW(BEFORE)'!AF212), 'Sales_RAW(BEFORE)'!AF212,
    TRUE, IFERROR(_xlfn.NUMBERVALUE(_xlpm.val), 0)
  )
)</f>
        <v>27</v>
      </c>
      <c r="AI206" s="5">
        <f>IF(IFERROR(VALUE(SUBSTITUTE(SUBSTITUTE(TRIM('Sales_RAW(BEFORE)'!AG212), "%", ""), ",", ".")), 0) &gt; 1, IFERROR(VALUE(SUBSTITUTE(SUBSTITUTE(TRIM('Sales_RAW(BEFORE)'!AG212), "%", ""), ",", ".")), 0) / 100, IFERROR(VALUE(SUBSTITUTE(SUBSTITUTE(TRIM('Sales_RAW(BEFORE)'!AG212), "%", ""), ",", ".")), 0))</f>
        <v>0.08</v>
      </c>
      <c r="AJ206" s="6">
        <f t="shared" si="16"/>
        <v>455.65759999999995</v>
      </c>
      <c r="AK206" s="6">
        <f t="shared" si="17"/>
        <v>6151.3775999999989</v>
      </c>
      <c r="AL206" s="6">
        <f>IFERROR(VALUE(SUBSTITUTE(SUBSTITUTE(SUBSTITUTE('Sales_RAW(BEFORE)'!AJ212,"$",""),"USD",""),",",".")),0)</f>
        <v>3.17</v>
      </c>
      <c r="AM206" s="3" t="str">
        <f>SUBSTITUTE(SUBSTITUTE(PROPER('Sales_RAW(BEFORE)'!AK212), "Fed Ex", "FedEx"),"Fedex","FedEx")</f>
        <v>Ups</v>
      </c>
      <c r="AN206" s="3" t="s">
        <v>3511</v>
      </c>
      <c r="AO206" s="3" t="str">
        <f>SUBSTITUTE('Sales_RAW(BEFORE)'!AM212,"kg","")</f>
        <v xml:space="preserve">25.9 </v>
      </c>
      <c r="AP206" s="3" t="str">
        <f>_xlfn.LET(
  _xlpm.raw, UPPER(TRIM('Sales_RAW(BEFORE)'!AN212)),
  _xlpm.clean, RIGHT(_xlpm.raw, 1),
  IF(OR(_xlpm.raw="", _xlpm.raw="null"), "N/A", _xlpm.clean)
)</f>
        <v>B</v>
      </c>
      <c r="AQ206" s="3">
        <v>485</v>
      </c>
      <c r="AR206" s="3" cm="1">
        <f t="array" ref="AR206">_xlfn.LET(
  _xlpm.raw, LOWER(TRIM('Sales_RAW(BEFORE)'!AP212)),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206" s="3"/>
      <c r="AT206" s="3"/>
      <c r="AU206" s="3"/>
      <c r="AV206" s="8">
        <f>IF(IFERROR(VALUE(SUBSTITUTE(SUBSTITUTE(TRIM('Sales_RAW(BEFORE)'!AT212), "%", ""), ",", ".")), 0) &gt; 1, IFERROR(VALUE(SUBSTITUTE(SUBSTITUTE(TRIM('Sales_RAW(BEFORE)'!AT212), "%", ""), ",", ".")), 0) / 100, IFERROR(VALUE(SUBSTITUTE(SUBSTITUTE(TRIM('Sales_RAW(BEFORE)'!AT212), "%", ""), ",", ".")), 0))</f>
        <v>0.3</v>
      </c>
      <c r="AW206" s="6">
        <f>BA206*(_xlfn.XLOOKUP(N206,Employees!$A$2:$A$26,Employees!$E$2:$E$26,2))</f>
        <v>138.40599599999996</v>
      </c>
      <c r="AX206" s="3" t="str">
        <f>PROPER('Sales_RAW(BEFORE)'!AV212)</f>
        <v xml:space="preserve">Sarah Davis </v>
      </c>
      <c r="AY206" s="3" t="str">
        <f t="shared" si="18"/>
        <v xml:space="preserve">Sarah Davis </v>
      </c>
      <c r="AZ206" s="3"/>
      <c r="BA206" s="24">
        <f>AK206*(1-(_xlfn.XLOOKUP(G206, Exchange_Rates!$B$8:$F$8, Exchange_Rates!$B$9:$F$9, 0)+J206))</f>
        <v>4613.5331999999989</v>
      </c>
      <c r="BB206" s="7" cm="1">
        <f t="array" ref="BB206">_xlfn.LET(
  _xlpm.raw_dt, SUBSTITUTE(TRIM(C206), ".", "/"),
  _xlpm.dt, IFERROR(DATEVALUE(_xlpm.raw_dt), C206),
  _xlpm.p_code, TRIM(E206),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46478</v>
      </c>
      <c r="BC206" s="25">
        <f t="shared" si="19"/>
        <v>1384.0599599999996</v>
      </c>
    </row>
    <row r="207" spans="1:55" ht="15.75" thickBot="1" x14ac:dyDescent="0.3">
      <c r="A207" s="3" t="s">
        <v>3514</v>
      </c>
      <c r="B207" s="10">
        <v>46238</v>
      </c>
      <c r="C207" s="4">
        <f>DATE(2026,8,16)</f>
        <v>46250</v>
      </c>
      <c r="D207" s="3" t="str">
        <f>"P-" &amp; TEXT(VALUE(SUBSTITUTE(SUBSTITUTE(SUBSTITUTE(UPPER(TRIM('Sales_RAW(BEFORE)'!D213)), "P", ""), "-", ""), "_", "")),"000")</f>
        <v>P-039</v>
      </c>
      <c r="E207" s="3" t="str">
        <f>VLOOKUP(D207,Product_List!$A$2:$B$61,2,FALSE)</f>
        <v>Cable Plus 39</v>
      </c>
      <c r="F207" s="3" t="str">
        <f>_xlfn.XLOOKUP(E207,Product_List!$B$2:$B$61,Product_List!$E$2:$E$61,2)</f>
        <v>TechSupply Co</v>
      </c>
      <c r="G207" s="3" t="str">
        <f>VLOOKUP(E207,Product_List!$B$2:$C$61,2,FALSE)</f>
        <v>Software</v>
      </c>
      <c r="H207" s="3" t="str">
        <f>SUBSTITUTE(SUBSTITUTE('Sales_RAW(BEFORE)'!G213,"kom",""),".","")</f>
        <v>39</v>
      </c>
      <c r="I207" s="6">
        <f>VLOOKUP(E207,Product_List!$B$2:$D$61,3,FALSE)</f>
        <v>601.47</v>
      </c>
      <c r="J207" s="5">
        <f>IF(IFERROR(VALUE(SUBSTITUTE(SUBSTITUTE(TRIM('Sales_RAW(BEFORE)'!I213), "%", ""), ",", ".")), 0) &gt; 1, IFERROR(VALUE(SUBSTITUTE(SUBSTITUTE(TRIM('Sales_RAW(BEFORE)'!I213), "%", ""), ",", ".")), 0) / 100, IFERROR(VALUE(SUBSTITUTE(SUBSTITUTE(TRIM('Sales_RAW(BEFORE)'!I213), "%", ""), ",", ".")), 0))</f>
        <v>0</v>
      </c>
      <c r="K207" s="6">
        <f t="shared" si="15"/>
        <v>23457.33</v>
      </c>
      <c r="L207" s="6" t="str" cm="1">
        <f t="array" ref="L207">_xlfn.LET(
  _xlpm.valuta, UPPER(TRIM('Sales_RAW(BEFORE)'!K213)),
  _xlfn.IFS(
    _xlpm.valuta = "", "",
    OR(_xlpm.valuta = "USD", _xlpm.valuta = "$"), "$",
    OR(_xlpm.valuta = "EUR", _xlpm.valuta = "€"), "€",
    TRUE, _xlpm.valuta
  )
)</f>
        <v>$</v>
      </c>
      <c r="M207" s="3" t="str">
        <f>"E" &amp; TEXT(VALUE(SUBSTITUTE(SUBSTITUTE(SUBSTITUTE(UPPER(TRIM('Sales_RAW(BEFORE)'!L213)), "EMP", ""), "E", ""), "-", "")),"000")</f>
        <v>E020</v>
      </c>
      <c r="N207" s="3" t="str">
        <f>_xlfn.XLOOKUP(M207,Employees!$D$2:$D$26,Employees!$A$2:$A$26)</f>
        <v>Robert Taylor</v>
      </c>
      <c r="O207" s="3" t="str">
        <f>_xlfn.XLOOKUP(N207,Employees!$A$2:$A$26,Employees!$C$2:$C$26,2)</f>
        <v>Retail</v>
      </c>
      <c r="P207" s="3" t="str">
        <f>PROPER('Sales_RAW(BEFORE)'!N213)</f>
        <v>West</v>
      </c>
      <c r="Q207" s="3" t="str">
        <f>VLOOKUP(N207,Employees!$A$2:$B$26,2,FALSE)</f>
        <v>New York</v>
      </c>
      <c r="R207" s="3" t="str">
        <f>PROPER('Sales_RAW(BEFORE)'!P213)</f>
        <v xml:space="preserve"> Stark Inc.</v>
      </c>
      <c r="S207" s="3" t="str">
        <f>SUBSTITUTE(SUBSTITUTE('Sales_RAW(BEFORE)'!Q213,"EIN",""),":","")</f>
        <v xml:space="preserve"> 467993686</v>
      </c>
      <c r="T207" s="3" t="s">
        <v>624</v>
      </c>
      <c r="U207" s="3" t="s">
        <v>3519</v>
      </c>
      <c r="V207" s="3" t="s">
        <v>3520</v>
      </c>
      <c r="W207" s="3" t="s">
        <v>3521</v>
      </c>
      <c r="X207" s="3" t="s">
        <v>173</v>
      </c>
      <c r="Y207" s="3" t="str">
        <f>PROPER('Sales_RAW(BEFORE)'!W213)</f>
        <v>Wire Transfer</v>
      </c>
      <c r="Z207" s="3" t="str">
        <f>PROPER('Sales_RAW(BEFORE)'!X213)</f>
        <v>Processing</v>
      </c>
      <c r="AA207" s="3" t="str" cm="1">
        <f t="array" ref="AA207">_xlfn.LET(
  _xlpm.val, TRIM(LOWER('Sales_RAW(BEFORE)'!Y213)),
  _xlfn.IFS(
    OR(_xlpm.val="yes", _xlpm.val="paid"), "Paid",
    OR(_xlpm.val="no", _xlpm.val="unpaid"), "Unpaid",
    OR(_xlpm.val="partial", _xlpm.val="partial paid"), "Partial",
    _xlpm.val="", "",
    TRUE, 'Sales_RAW(BEFORE)'!AY213
  )
)</f>
        <v>Paid</v>
      </c>
      <c r="AB207" s="3" t="s">
        <v>3522</v>
      </c>
      <c r="AC207" s="3" t="str">
        <f>PROPER('Sales_RAW(BEFORE)'!AA213)</f>
        <v>Online</v>
      </c>
      <c r="AD207" s="3" t="str">
        <f>SUBSTITUTE(SUBSTITUTE(SUBSTITUTE(SUBSTITUTE('Sales_RAW(BEFORE)'!AB213,"st",""),"q",""),"Q",""),"uarter","")</f>
        <v>1</v>
      </c>
      <c r="AE207" s="3" t="str">
        <f>TEXT(IFERROR(DATEVALUE('Sales_RAW(BEFORE)'!AC213 &amp; " 1"), IFERROR(DATE(2025, 'Sales_RAW(BEFORE)'!AC213, 1), 'Sales_RAW(BEFORE)'!AC213)), "mmmm")</f>
        <v>August</v>
      </c>
      <c r="AF207" s="3">
        <f>_xlfn.LET(
  _xlpm.raw, TRIM(SUBSTITUTE('Sales_RAW(BEFORE)'!AD213, "'", "")),
  _xlpm.num, IFERROR(VALUE(_xlpm.raw), 0),
  IF(_xlpm.num &lt; 100, 2000 + _xlpm.num, _xlpm.num)
)</f>
        <v>2026</v>
      </c>
      <c r="AG207" s="3" t="str">
        <f>PROPER('Sales_RAW(BEFORE)'!AE213)</f>
        <v>Immediate</v>
      </c>
      <c r="AH207" s="3" cm="1">
        <f t="array" ref="AH207">_xlfn.LET(
  _xlpm.val, LOWER(TRIM('Sales_RAW(BEFORE)'!AF213)),
  _xlfn.IFS(
    OR(_xlpm.val="", _xlpm.val="null", _xlpm.val="N/A", _xlpm.val="-", _xlpm.val="#N/A"), 0,
    ISNUMBER('Sales_RAW(BEFORE)'!AF213), 'Sales_RAW(BEFORE)'!AF213,
    TRUE, IFERROR(_xlfn.NUMBERVALUE(_xlpm.val), 0)
  )
)</f>
        <v>13</v>
      </c>
      <c r="AI207" s="5">
        <f>IF(IFERROR(VALUE(SUBSTITUTE(SUBSTITUTE(TRIM('Sales_RAW(BEFORE)'!AG213), "%", ""), ",", ".")), 0) &gt; 1, IFERROR(VALUE(SUBSTITUTE(SUBSTITUTE(TRIM('Sales_RAW(BEFORE)'!AG213), "%", ""), ",", ".")), 0) / 100, IFERROR(VALUE(SUBSTITUTE(SUBSTITUTE(TRIM('Sales_RAW(BEFORE)'!AG213), "%", ""), ",", ".")), 0))</f>
        <v>0.08</v>
      </c>
      <c r="AJ207" s="6">
        <f t="shared" si="16"/>
        <v>1876.5864000000001</v>
      </c>
      <c r="AK207" s="6">
        <f t="shared" si="17"/>
        <v>25333.916400000002</v>
      </c>
      <c r="AL207" s="6">
        <f>IFERROR(VALUE(SUBSTITUTE(SUBSTITUTE(SUBSTITUTE('Sales_RAW(BEFORE)'!AJ213,"$",""),"USD",""),",",".")),0)</f>
        <v>21.76</v>
      </c>
      <c r="AM207" s="3" t="str">
        <f>SUBSTITUTE(SUBSTITUTE(PROPER('Sales_RAW(BEFORE)'!AK213), "Fed Ex", "FedEx"),"Fedex","FedEx")</f>
        <v>Dhl</v>
      </c>
      <c r="AN207" s="3" t="s">
        <v>3524</v>
      </c>
      <c r="AO207" s="3" t="str">
        <f>SUBSTITUTE('Sales_RAW(BEFORE)'!AM213,"kg","")</f>
        <v>12,57</v>
      </c>
      <c r="AP207" s="3" t="str">
        <f>_xlfn.LET(
  _xlpm.raw, UPPER(TRIM('Sales_RAW(BEFORE)'!AN213)),
  _xlpm.clean, RIGHT(_xlpm.raw, 1),
  IF(OR(_xlpm.raw="", _xlpm.raw="null"), "N/A", _xlpm.clean)
)</f>
        <v>A</v>
      </c>
      <c r="AQ207" s="3">
        <v>344</v>
      </c>
      <c r="AR207" s="3" cm="1">
        <f t="array" ref="AR207">_xlfn.LET(
  _xlpm.raw, LOWER(TRIM('Sales_RAW(BEFORE)'!AP213)),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207" s="3"/>
      <c r="AT207" s="3"/>
      <c r="AU207" s="3"/>
      <c r="AV207" s="8">
        <f>IF(IFERROR(VALUE(SUBSTITUTE(SUBSTITUTE(TRIM('Sales_RAW(BEFORE)'!AT213), "%", ""), ",", ".")), 0) &gt; 1, IFERROR(VALUE(SUBSTITUTE(SUBSTITUTE(TRIM('Sales_RAW(BEFORE)'!AT213), "%", ""), ",", ".")), 0) / 100, IFERROR(VALUE(SUBSTITUTE(SUBSTITUTE(TRIM('Sales_RAW(BEFORE)'!AT213), "%", ""), ",", ".")), 0))</f>
        <v>0.25</v>
      </c>
      <c r="AW207" s="6">
        <f>BA207*(_xlfn.XLOOKUP(N207,Employees!$A$2:$A$26,Employees!$E$2:$E$26,2))</f>
        <v>646.01486819999991</v>
      </c>
      <c r="AX207" s="3" t="str">
        <f>PROPER('Sales_RAW(BEFORE)'!AV213)</f>
        <v>James Anderson</v>
      </c>
      <c r="AY207" s="3" t="str">
        <f t="shared" si="18"/>
        <v>James Anderson</v>
      </c>
      <c r="AZ207" s="3"/>
      <c r="BA207" s="24">
        <f>AK207*(1-(_xlfn.XLOOKUP(G207, Exchange_Rates!$B$8:$F$8, Exchange_Rates!$B$9:$F$9, 0)+J207))</f>
        <v>21533.828939999999</v>
      </c>
      <c r="BB207" s="7" cm="1">
        <f t="array" ref="BB207">_xlfn.LET(
  _xlpm.raw_dt, SUBSTITUTE(TRIM(C207), ".", "/"),
  _xlpm.dt, IFERROR(DATEVALUE(_xlpm.raw_dt), C207),
  _xlpm.p_code, TRIM(E207),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46615</v>
      </c>
      <c r="BC207" s="25">
        <f t="shared" si="19"/>
        <v>5383.4572349999999</v>
      </c>
    </row>
    <row r="208" spans="1:55" ht="15.75" thickBot="1" x14ac:dyDescent="0.3">
      <c r="A208" s="3" t="s">
        <v>1076</v>
      </c>
      <c r="B208" s="10">
        <v>46249</v>
      </c>
      <c r="C208" s="4">
        <v>46262</v>
      </c>
      <c r="D208" s="3" t="str">
        <f>"P-" &amp; TEXT(VALUE(SUBSTITUTE(SUBSTITUTE(SUBSTITUTE(UPPER(TRIM('Sales_RAW(BEFORE)'!D214)), "P", ""), "-", ""), "_", "")),"000")</f>
        <v>P-060</v>
      </c>
      <c r="E208" s="3" t="str">
        <f>VLOOKUP(D208,Product_List!$A$2:$B$61,2,FALSE)</f>
        <v>Desk Basic 60</v>
      </c>
      <c r="F208" s="3" t="str">
        <f>_xlfn.XLOOKUP(E208,Product_List!$B$2:$B$61,Product_List!$E$2:$E$61,2)</f>
        <v>Global Distrib</v>
      </c>
      <c r="G208" s="3" t="str">
        <f>VLOOKUP(E208,Product_List!$B$2:$C$61,2,FALSE)</f>
        <v>Electronics</v>
      </c>
      <c r="H208" s="3" t="str">
        <f>SUBSTITUTE(SUBSTITUTE('Sales_RAW(BEFORE)'!G214,"kom",""),".","")</f>
        <v>17</v>
      </c>
      <c r="I208" s="6">
        <f>VLOOKUP(E208,Product_List!$B$2:$D$61,3,FALSE)</f>
        <v>334.59</v>
      </c>
      <c r="J208" s="5">
        <f>IF(IFERROR(VALUE(SUBSTITUTE(SUBSTITUTE(TRIM('Sales_RAW(BEFORE)'!I214), "%", ""), ",", ".")), 0) &gt; 1, IFERROR(VALUE(SUBSTITUTE(SUBSTITUTE(TRIM('Sales_RAW(BEFORE)'!I214), "%", ""), ",", ".")), 0) / 100, IFERROR(VALUE(SUBSTITUTE(SUBSTITUTE(TRIM('Sales_RAW(BEFORE)'!I214), "%", ""), ",", ".")), 0))</f>
        <v>0</v>
      </c>
      <c r="K208" s="6">
        <f>(H208*I208)/(HLOOKUP(AE208,Exchange_Rates!$B$1:$M$2,2,FALSE))</f>
        <v>6169.2299349240775</v>
      </c>
      <c r="L208" s="6" t="str" cm="1">
        <f t="array" ref="L208">_xlfn.LET(
  _xlpm.valuta, UPPER(TRIM('Sales_RAW(BEFORE)'!K214)),
  _xlfn.IFS(
    _xlpm.valuta = "", "",
    OR(_xlpm.valuta = "USD", _xlpm.valuta = "$"), "$",
    OR(_xlpm.valuta = "EUR", _xlpm.valuta = "€"), "€",
    TRUE, _xlpm.valuta
  )
)</f>
        <v>€</v>
      </c>
      <c r="M208" s="3" t="str">
        <f>"E" &amp; TEXT(VALUE(SUBSTITUTE(SUBSTITUTE(SUBSTITUTE(UPPER(TRIM('Sales_RAW(BEFORE)'!L214)), "EMP", ""), "E", ""), "-", "")),"000")</f>
        <v>E018</v>
      </c>
      <c r="N208" s="3" t="str">
        <f>_xlfn.XLOOKUP(M208,Employees!$D$2:$D$26,Employees!$A$2:$A$26)</f>
        <v>John Miller</v>
      </c>
      <c r="O208" s="3" t="str">
        <f>_xlfn.XLOOKUP(N208,Employees!$A$2:$A$26,Employees!$C$2:$C$26,2)</f>
        <v>Retail</v>
      </c>
      <c r="P208" s="3" t="str">
        <f>PROPER('Sales_RAW(BEFORE)'!N214)</f>
        <v>West</v>
      </c>
      <c r="Q208" s="3" t="str">
        <f>VLOOKUP(N208,Employees!$A$2:$B$26,2,FALSE)</f>
        <v>Houston</v>
      </c>
      <c r="R208" s="3" t="str">
        <f>PROPER('Sales_RAW(BEFORE)'!P214)</f>
        <v xml:space="preserve"> Umbrella Inc.</v>
      </c>
      <c r="S208" s="3" t="str">
        <f>SUBSTITUTE(SUBSTITUTE('Sales_RAW(BEFORE)'!Q214,"EIN",""),":","")</f>
        <v xml:space="preserve"> 999035931</v>
      </c>
      <c r="T208" s="3" t="s">
        <v>665</v>
      </c>
      <c r="U208" s="3" t="s">
        <v>1084</v>
      </c>
      <c r="V208" s="3" t="s">
        <v>1085</v>
      </c>
      <c r="W208" s="3" t="s">
        <v>1086</v>
      </c>
      <c r="X208" s="3" t="s">
        <v>173</v>
      </c>
      <c r="Y208" s="3" t="str">
        <f>PROPER('Sales_RAW(BEFORE)'!W214)</f>
        <v>Credit Card</v>
      </c>
      <c r="Z208" s="3" t="str">
        <f>PROPER('Sales_RAW(BEFORE)'!X214)</f>
        <v>Processing</v>
      </c>
      <c r="AA208" s="3" t="str" cm="1">
        <f t="array" ref="AA208">_xlfn.LET(
  _xlpm.val, TRIM(LOWER('Sales_RAW(BEFORE)'!Y214)),
  _xlfn.IFS(
    OR(_xlpm.val="yes", _xlpm.val="paid"), "Paid",
    OR(_xlpm.val="no", _xlpm.val="unpaid"), "Unpaid",
    OR(_xlpm.val="partial", _xlpm.val="partial paid"), "Partial",
    _xlpm.val="", "",
    TRUE, 'Sales_RAW(BEFORE)'!AY214
  )
)</f>
        <v>Unpaid</v>
      </c>
      <c r="AB208" s="3" t="s">
        <v>1087</v>
      </c>
      <c r="AC208" s="3" t="str">
        <f>PROPER('Sales_RAW(BEFORE)'!AA214)</f>
        <v>Store</v>
      </c>
      <c r="AD208" s="3" t="str">
        <f>SUBSTITUTE(SUBSTITUTE(SUBSTITUTE(SUBSTITUTE('Sales_RAW(BEFORE)'!AB214,"st",""),"q",""),"Q",""),"uarter","")</f>
        <v xml:space="preserve">1 </v>
      </c>
      <c r="AE208" s="3" t="str">
        <f>TEXT(IFERROR(DATEVALUE('Sales_RAW(BEFORE)'!AC214 &amp; " 1"), IFERROR(DATE(2025, 'Sales_RAW(BEFORE)'!AC214, 1), 'Sales_RAW(BEFORE)'!AC214)), "mmmm")</f>
        <v>August</v>
      </c>
      <c r="AF208" s="3">
        <f>_xlfn.LET(
  _xlpm.raw, TRIM(SUBSTITUTE('Sales_RAW(BEFORE)'!AD214, "'", "")),
  _xlpm.num, IFERROR(VALUE(_xlpm.raw), 0),
  IF(_xlpm.num &lt; 100, 2000 + _xlpm.num, _xlpm.num)
)</f>
        <v>2026</v>
      </c>
      <c r="AG208" s="3" t="str">
        <f>PROPER('Sales_RAW(BEFORE)'!AE214)</f>
        <v>Immediate</v>
      </c>
      <c r="AH208" s="3" cm="1">
        <f t="array" ref="AH208">_xlfn.LET(
  _xlpm.val, LOWER(TRIM('Sales_RAW(BEFORE)'!AF214)),
  _xlfn.IFS(
    OR(_xlpm.val="", _xlpm.val="null", _xlpm.val="N/A", _xlpm.val="-", _xlpm.val="#N/A"), 0,
    ISNUMBER('Sales_RAW(BEFORE)'!AF214), 'Sales_RAW(BEFORE)'!AF214,
    TRUE, IFERROR(_xlfn.NUMBERVALUE(_xlpm.val), 0)
  )
)</f>
        <v>77</v>
      </c>
      <c r="AI208" s="5">
        <f>IF(IFERROR(VALUE(SUBSTITUTE(SUBSTITUTE(TRIM('Sales_RAW(BEFORE)'!AG214), "%", ""), ",", ".")), 0) &gt; 1, IFERROR(VALUE(SUBSTITUTE(SUBSTITUTE(TRIM('Sales_RAW(BEFORE)'!AG214), "%", ""), ",", ".")), 0) / 100, IFERROR(VALUE(SUBSTITUTE(SUBSTITUTE(TRIM('Sales_RAW(BEFORE)'!AG214), "%", ""), ",", ".")), 0))</f>
        <v>0.08</v>
      </c>
      <c r="AJ208" s="6">
        <f t="shared" si="16"/>
        <v>493.53839479392622</v>
      </c>
      <c r="AK208" s="6">
        <f t="shared" si="17"/>
        <v>6662.7683297180038</v>
      </c>
      <c r="AL208" s="6">
        <f>IFERROR(VALUE(SUBSTITUTE(SUBSTITUTE(SUBSTITUTE('Sales_RAW(BEFORE)'!AJ214,"$",""),"USD",""),",",".")),0)</f>
        <v>38.44</v>
      </c>
      <c r="AM208" s="3" t="str">
        <f>SUBSTITUTE(SUBSTITUTE(PROPER('Sales_RAW(BEFORE)'!AK214), "Fed Ex", "FedEx"),"Fedex","FedEx")</f>
        <v>FedEx</v>
      </c>
      <c r="AN208" s="3" t="s">
        <v>1089</v>
      </c>
      <c r="AO208" s="3" t="str">
        <f>SUBSTITUTE('Sales_RAW(BEFORE)'!AM214,"kg","")</f>
        <v xml:space="preserve">18.0 </v>
      </c>
      <c r="AP208" s="3" t="str">
        <f>_xlfn.LET(
  _xlpm.raw, UPPER(TRIM('Sales_RAW(BEFORE)'!AN214)),
  _xlpm.clean, RIGHT(_xlpm.raw, 1),
  IF(OR(_xlpm.raw="", _xlpm.raw="null"), "N/A", _xlpm.clean)
)</f>
        <v>B</v>
      </c>
      <c r="AQ208" s="3">
        <v>472</v>
      </c>
      <c r="AR208" s="3" cm="1">
        <f t="array" ref="AR208">_xlfn.LET(
  _xlpm.raw, LOWER(TRIM('Sales_RAW(BEFORE)'!AP214)),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208" s="3"/>
      <c r="AT208" s="3"/>
      <c r="AU208" s="3"/>
      <c r="AV208" s="8">
        <f>IF(IFERROR(VALUE(SUBSTITUTE(SUBSTITUTE(TRIM('Sales_RAW(BEFORE)'!AT214), "%", ""), ",", ".")), 0) &gt; 1, IFERROR(VALUE(SUBSTITUTE(SUBSTITUTE(TRIM('Sales_RAW(BEFORE)'!AT214), "%", ""), ",", ".")), 0) / 100, IFERROR(VALUE(SUBSTITUTE(SUBSTITUTE(TRIM('Sales_RAW(BEFORE)'!AT214), "%", ""), ",", ".")), 0))</f>
        <v>0.25</v>
      </c>
      <c r="AW208" s="6">
        <f>BA208*(_xlfn.XLOOKUP(N208,Employees!$A$2:$A$26,Employees!$E$2:$E$26,2))</f>
        <v>119.92982993492407</v>
      </c>
      <c r="AX208" s="3" t="str">
        <f>PROPER('Sales_RAW(BEFORE)'!AV214)</f>
        <v xml:space="preserve">  John Williams</v>
      </c>
      <c r="AY208" s="3" t="str">
        <f t="shared" si="18"/>
        <v xml:space="preserve">  John Williams</v>
      </c>
      <c r="AZ208" s="3"/>
      <c r="BA208" s="24">
        <f>AK208*(1-(_xlfn.XLOOKUP(G208, Exchange_Rates!$B$8:$F$8, Exchange_Rates!$B$9:$F$9, 0)+J208))</f>
        <v>5996.4914967462037</v>
      </c>
      <c r="BB208" s="7" cm="1">
        <f t="array" ref="BB208">_xlfn.LET(
  _xlpm.raw_dt, SUBSTITUTE(TRIM(C208), ".", "/"),
  _xlpm.dt, IFERROR(DATEVALUE(_xlpm.raw_dt), C208),
  _xlpm.p_code, TRIM(E208),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47358</v>
      </c>
      <c r="BC208" s="25">
        <f t="shared" si="19"/>
        <v>1499.1228741865509</v>
      </c>
    </row>
    <row r="209" spans="1:55" ht="15.75" thickBot="1" x14ac:dyDescent="0.3">
      <c r="A209" s="3" t="s">
        <v>3527</v>
      </c>
      <c r="B209" s="10">
        <f>DATE(2026,6,29)</f>
        <v>46202</v>
      </c>
      <c r="C209" s="4">
        <v>46088</v>
      </c>
      <c r="D209" s="3" t="str">
        <f>"P-" &amp; TEXT(VALUE(SUBSTITUTE(SUBSTITUTE(SUBSTITUTE(UPPER(TRIM('Sales_RAW(BEFORE)'!D215)), "P", ""), "-", ""), "_", "")),"000")</f>
        <v>P-032</v>
      </c>
      <c r="E209" s="3" t="str">
        <f>VLOOKUP(D209,Product_List!$A$2:$B$61,2,FALSE)</f>
        <v>Cable Basic 32</v>
      </c>
      <c r="F209" s="3" t="str">
        <f>_xlfn.XLOOKUP(E209,Product_List!$B$2:$B$61,Product_List!$E$2:$E$61,2)</f>
        <v>OfficeHub</v>
      </c>
      <c r="G209" s="3" t="str">
        <f>VLOOKUP(E209,Product_List!$B$2:$C$61,2,FALSE)</f>
        <v>Software</v>
      </c>
      <c r="H209" s="3" t="str">
        <f>SUBSTITUTE(SUBSTITUTE('Sales_RAW(BEFORE)'!G215,"kom",""),".","")</f>
        <v>16</v>
      </c>
      <c r="I209" s="6">
        <f>VLOOKUP(E209,Product_List!$B$2:$D$61,3,FALSE)</f>
        <v>1479.77</v>
      </c>
      <c r="J209" s="5">
        <f>IF(IFERROR(VALUE(SUBSTITUTE(SUBSTITUTE(TRIM('Sales_RAW(BEFORE)'!I215), "%", ""), ",", ".")), 0) &gt; 1, IFERROR(VALUE(SUBSTITUTE(SUBSTITUTE(TRIM('Sales_RAW(BEFORE)'!I215), "%", ""), ",", ".")), 0) / 100, IFERROR(VALUE(SUBSTITUTE(SUBSTITUTE(TRIM('Sales_RAW(BEFORE)'!I215), "%", ""), ",", ".")), 0))</f>
        <v>0.1</v>
      </c>
      <c r="K209" s="6">
        <f t="shared" si="15"/>
        <v>23676.32</v>
      </c>
      <c r="L209" s="6" t="str" cm="1">
        <f t="array" ref="L209">_xlfn.LET(
  _xlpm.valuta, UPPER(TRIM('Sales_RAW(BEFORE)'!K215)),
  _xlfn.IFS(
    _xlpm.valuta = "", "",
    OR(_xlpm.valuta = "USD", _xlpm.valuta = "$"), "$",
    OR(_xlpm.valuta = "EUR", _xlpm.valuta = "€"), "€",
    TRUE, _xlpm.valuta
  )
)</f>
        <v>$</v>
      </c>
      <c r="M209" s="3" t="str">
        <f>"E" &amp; TEXT(VALUE(SUBSTITUTE(SUBSTITUTE(SUBSTITUTE(UPPER(TRIM('Sales_RAW(BEFORE)'!L215)), "EMP", ""), "E", ""), "-", "")),"000")</f>
        <v>E002</v>
      </c>
      <c r="N209" s="3" t="str">
        <f>_xlfn.XLOOKUP(M209,Employees!$D$2:$D$26,Employees!$A$2:$A$26)</f>
        <v>Sarah Wilson</v>
      </c>
      <c r="O209" s="3" t="str">
        <f>_xlfn.XLOOKUP(N209,Employees!$A$2:$A$26,Employees!$C$2:$C$26,2)</f>
        <v>Online</v>
      </c>
      <c r="P209" s="3" t="str">
        <f>PROPER('Sales_RAW(BEFORE)'!N215)</f>
        <v>East</v>
      </c>
      <c r="Q209" s="3" t="str">
        <f>VLOOKUP(N209,Employees!$A$2:$B$26,2,FALSE)</f>
        <v>Los Angeles</v>
      </c>
      <c r="R209" s="3" t="str">
        <f>PROPER('Sales_RAW(BEFORE)'!P215)</f>
        <v>Wayne Inc</v>
      </c>
      <c r="S209" s="3" t="str">
        <f>SUBSTITUTE(SUBSTITUTE('Sales_RAW(BEFORE)'!Q215,"EIN",""),":","")</f>
        <v xml:space="preserve"> 478718640</v>
      </c>
      <c r="T209" s="3" t="s">
        <v>134</v>
      </c>
      <c r="U209" s="3" t="s">
        <v>3535</v>
      </c>
      <c r="V209" s="3" t="s">
        <v>3536</v>
      </c>
      <c r="W209" s="3" t="s">
        <v>3537</v>
      </c>
      <c r="X209" s="3" t="s">
        <v>173</v>
      </c>
      <c r="Y209" s="3" t="str">
        <f>PROPER('Sales_RAW(BEFORE)'!W215)</f>
        <v>Credit Card</v>
      </c>
      <c r="Z209" s="3" t="str">
        <f>PROPER('Sales_RAW(BEFORE)'!X215)</f>
        <v>Delivered</v>
      </c>
      <c r="AA209" s="3" t="str" cm="1">
        <f t="array" ref="AA209">_xlfn.LET(
  _xlpm.val, TRIM(LOWER('Sales_RAW(BEFORE)'!Y215)),
  _xlfn.IFS(
    OR(_xlpm.val="yes", _xlpm.val="paid"), "Paid",
    OR(_xlpm.val="no", _xlpm.val="unpaid"), "Unpaid",
    OR(_xlpm.val="partial", _xlpm.val="partial paid"), "Partial",
    _xlpm.val="", "",
    TRUE, 'Sales_RAW(BEFORE)'!AY215
  )
)</f>
        <v>Partial</v>
      </c>
      <c r="AB209" s="3" t="s">
        <v>3538</v>
      </c>
      <c r="AC209" s="3" t="str">
        <f>PROPER('Sales_RAW(BEFORE)'!AA215)</f>
        <v>Online</v>
      </c>
      <c r="AD209" s="3" t="str">
        <f>SUBSTITUTE(SUBSTITUTE(SUBSTITUTE(SUBSTITUTE('Sales_RAW(BEFORE)'!AB215,"st",""),"q",""),"Q",""),"uarter","")</f>
        <v>4</v>
      </c>
      <c r="AE209" s="3" t="str">
        <f>TEXT(IFERROR(DATEVALUE('Sales_RAW(BEFORE)'!AC215 &amp; " 1"), IFERROR(DATE(2025, 'Sales_RAW(BEFORE)'!AC215, 1), 'Sales_RAW(BEFORE)'!AC215)), "mmmm")</f>
        <v>June</v>
      </c>
      <c r="AF209" s="3">
        <f>_xlfn.LET(
  _xlpm.raw, TRIM(SUBSTITUTE('Sales_RAW(BEFORE)'!AD215, "'", "")),
  _xlpm.num, IFERROR(VALUE(_xlpm.raw), 0),
  IF(_xlpm.num &lt; 100, 2000 + _xlpm.num, _xlpm.num)
)</f>
        <v>2026</v>
      </c>
      <c r="AG209" s="3" t="str">
        <f>PROPER('Sales_RAW(BEFORE)'!AE215)</f>
        <v>Net 60</v>
      </c>
      <c r="AH209" s="3" cm="1">
        <f t="array" ref="AH209">_xlfn.LET(
  _xlpm.val, LOWER(TRIM('Sales_RAW(BEFORE)'!AF215)),
  _xlfn.IFS(
    OR(_xlpm.val="", _xlpm.val="null", _xlpm.val="N/A", _xlpm.val="-", _xlpm.val="#N/A"), 0,
    ISNUMBER('Sales_RAW(BEFORE)'!AF215), 'Sales_RAW(BEFORE)'!AF215,
    TRUE, IFERROR(_xlfn.NUMBERVALUE(_xlpm.val), 0)
  )
)</f>
        <v>9</v>
      </c>
      <c r="AI209" s="5">
        <f>IF(IFERROR(VALUE(SUBSTITUTE(SUBSTITUTE(TRIM('Sales_RAW(BEFORE)'!AG215), "%", ""), ",", ".")), 0) &gt; 1, IFERROR(VALUE(SUBSTITUTE(SUBSTITUTE(TRIM('Sales_RAW(BEFORE)'!AG215), "%", ""), ",", ".")), 0) / 100, IFERROR(VALUE(SUBSTITUTE(SUBSTITUTE(TRIM('Sales_RAW(BEFORE)'!AG215), "%", ""), ",", ".")), 0))</f>
        <v>0.08</v>
      </c>
      <c r="AJ209" s="6">
        <f t="shared" si="16"/>
        <v>1894.1056000000001</v>
      </c>
      <c r="AK209" s="6">
        <f t="shared" si="17"/>
        <v>25570.425599999999</v>
      </c>
      <c r="AL209" s="6">
        <f>IFERROR(VALUE(SUBSTITUTE(SUBSTITUTE(SUBSTITUTE('Sales_RAW(BEFORE)'!AJ215,"$",""),"USD",""),",",".")),0)</f>
        <v>0</v>
      </c>
      <c r="AM209" s="3" t="str">
        <f>SUBSTITUTE(SUBSTITUTE(PROPER('Sales_RAW(BEFORE)'!AK215), "Fed Ex", "FedEx"),"Fedex","FedEx")</f>
        <v>Ups</v>
      </c>
      <c r="AN209" s="3" t="s">
        <v>3539</v>
      </c>
      <c r="AO209" s="3" t="str">
        <f>SUBSTITUTE('Sales_RAW(BEFORE)'!AM215,"kg","")</f>
        <v>23.39</v>
      </c>
      <c r="AP209" s="3" t="str">
        <f>_xlfn.LET(
  _xlpm.raw, UPPER(TRIM('Sales_RAW(BEFORE)'!AN215)),
  _xlpm.clean, RIGHT(_xlpm.raw, 1),
  IF(OR(_xlpm.raw="", _xlpm.raw="null"), "N/A", _xlpm.clean)
)</f>
        <v>B</v>
      </c>
      <c r="AQ209" s="3">
        <v>360</v>
      </c>
      <c r="AR209" s="3" t="str" cm="1">
        <f t="array" ref="AR209">_xlfn.LET(
  _xlpm.raw, LOWER(TRIM('Sales_RAW(BEFORE)'!AP215)),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209" s="3"/>
      <c r="AT209" s="3"/>
      <c r="AU209" s="3"/>
      <c r="AV209" s="8">
        <f>IF(IFERROR(VALUE(SUBSTITUTE(SUBSTITUTE(TRIM('Sales_RAW(BEFORE)'!AT215), "%", ""), ",", ".")), 0) &gt; 1, IFERROR(VALUE(SUBSTITUTE(SUBSTITUTE(TRIM('Sales_RAW(BEFORE)'!AT215), "%", ""), ",", ".")), 0) / 100, IFERROR(VALUE(SUBSTITUTE(SUBSTITUTE(TRIM('Sales_RAW(BEFORE)'!AT215), "%", ""), ",", ".")), 0))</f>
        <v>0.18</v>
      </c>
      <c r="AW209" s="6">
        <f>BA209*(_xlfn.XLOOKUP(N209,Employees!$A$2:$A$26,Employees!$E$2:$E$26,2))</f>
        <v>575.33457599999997</v>
      </c>
      <c r="AX209" s="3" t="str">
        <f>PROPER('Sales_RAW(BEFORE)'!AV215)</f>
        <v>Emma Smith</v>
      </c>
      <c r="AY209" s="3" t="str">
        <f t="shared" si="18"/>
        <v>Emma Smith</v>
      </c>
      <c r="AZ209" s="3"/>
      <c r="BA209" s="24">
        <f>AK209*(1-(_xlfn.XLOOKUP(G209, Exchange_Rates!$B$8:$F$8, Exchange_Rates!$B$9:$F$9, 0)+J209))</f>
        <v>19177.819199999998</v>
      </c>
      <c r="BB209" s="7" cm="1">
        <f t="array" ref="BB209">_xlfn.LET(
  _xlpm.raw_dt, SUBSTITUTE(TRIM(C209), ".", "/"),
  _xlpm.dt, IFERROR(DATEVALUE(_xlpm.raw_dt), C209),
  _xlpm.p_code, TRIM(E209),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47184</v>
      </c>
      <c r="BC209" s="25">
        <f t="shared" si="19"/>
        <v>3452.0074559999994</v>
      </c>
    </row>
    <row r="210" spans="1:55" ht="15.75" thickBot="1" x14ac:dyDescent="0.3">
      <c r="A210" s="3" t="s">
        <v>3541</v>
      </c>
      <c r="B210" s="10">
        <v>46039</v>
      </c>
      <c r="C210" s="4">
        <f>DATE(2026,1,25)</f>
        <v>46047</v>
      </c>
      <c r="D210" s="3" t="str">
        <f>"P-" &amp; TEXT(VALUE(SUBSTITUTE(SUBSTITUTE(SUBSTITUTE(UPPER(TRIM('Sales_RAW(BEFORE)'!D217)), "P", ""), "-", ""), "_", "")),"000")</f>
        <v>P-040</v>
      </c>
      <c r="E210" s="3" t="str">
        <f>VLOOKUP(D210,Product_List!$A$2:$B$61,2,FALSE)</f>
        <v>Monitor Plus 40</v>
      </c>
      <c r="F210" s="3" t="str">
        <f>_xlfn.XLOOKUP(E210,Product_List!$B$2:$B$61,Product_List!$E$2:$E$61,2)</f>
        <v>TechSupply Co</v>
      </c>
      <c r="G210" s="3" t="str">
        <f>VLOOKUP(E210,Product_List!$B$2:$C$61,2,FALSE)</f>
        <v>Software</v>
      </c>
      <c r="H210" s="3" t="str">
        <f>SUBSTITUTE(SUBSTITUTE('Sales_RAW(BEFORE)'!G217,"kom",""),".","")</f>
        <v xml:space="preserve">19 </v>
      </c>
      <c r="I210" s="6">
        <f>VLOOKUP(E210,Product_List!$B$2:$D$61,3,FALSE)</f>
        <v>98.06</v>
      </c>
      <c r="J210" s="5">
        <f>IF(IFERROR(VALUE(SUBSTITUTE(SUBSTITUTE(TRIM('Sales_RAW(BEFORE)'!I217), "%", ""), ",", ".")), 0) &gt; 1, IFERROR(VALUE(SUBSTITUTE(SUBSTITUTE(TRIM('Sales_RAW(BEFORE)'!I217), "%", ""), ",", ".")), 0) / 100, IFERROR(VALUE(SUBSTITUTE(SUBSTITUTE(TRIM('Sales_RAW(BEFORE)'!I217), "%", ""), ",", ".")), 0))</f>
        <v>0.1</v>
      </c>
      <c r="K210" s="6">
        <f t="shared" si="15"/>
        <v>1863.14</v>
      </c>
      <c r="L210" s="6" t="str" cm="1">
        <f t="array" ref="L210">_xlfn.LET(
  _xlpm.valuta, UPPER(TRIM('Sales_RAW(BEFORE)'!K217)),
  _xlfn.IFS(
    _xlpm.valuta = "", "",
    OR(_xlpm.valuta = "USD", _xlpm.valuta = "$"), "$",
    OR(_xlpm.valuta = "EUR", _xlpm.valuta = "€"), "€",
    TRUE, _xlpm.valuta
  )
)</f>
        <v>$</v>
      </c>
      <c r="M210" s="3" t="str">
        <f>"E" &amp; TEXT(VALUE(SUBSTITUTE(SUBSTITUTE(SUBSTITUTE(UPPER(TRIM('Sales_RAW(BEFORE)'!L217)), "EMP", ""), "E", ""), "-", "")),"000")</f>
        <v>E006</v>
      </c>
      <c r="N210" s="3" t="str">
        <f>_xlfn.XLOOKUP(M210,Employees!$D$2:$D$26,Employees!$A$2:$A$26)</f>
        <v>Emily Davis</v>
      </c>
      <c r="O210" s="3" t="str">
        <f>_xlfn.XLOOKUP(N210,Employees!$A$2:$A$26,Employees!$C$2:$C$26,2)</f>
        <v>Retail</v>
      </c>
      <c r="P210" s="3" t="str">
        <f>PROPER('Sales_RAW(BEFORE)'!N217)</f>
        <v>South</v>
      </c>
      <c r="Q210" s="3" t="str">
        <f>VLOOKUP(N210,Employees!$A$2:$B$26,2,FALSE)</f>
        <v>Houston</v>
      </c>
      <c r="R210" s="3" t="str">
        <f>PROPER('Sales_RAW(BEFORE)'!P217)</f>
        <v xml:space="preserve"> Initech Inc</v>
      </c>
      <c r="S210" s="3" t="str">
        <f>SUBSTITUTE(SUBSTITUTE('Sales_RAW(BEFORE)'!Q217,"EIN",""),":","")</f>
        <v xml:space="preserve"> 120819971</v>
      </c>
      <c r="T210" s="3" t="s">
        <v>2253</v>
      </c>
      <c r="U210" s="3" t="s">
        <v>3548</v>
      </c>
      <c r="V210" s="3" t="s">
        <v>3549</v>
      </c>
      <c r="W210" s="3" t="s">
        <v>3550</v>
      </c>
      <c r="X210" s="3" t="s">
        <v>173</v>
      </c>
      <c r="Y210" s="3" t="str">
        <f>PROPER('Sales_RAW(BEFORE)'!W217)</f>
        <v>Wire Transfer</v>
      </c>
      <c r="Z210" s="3" t="str">
        <f>PROPER('Sales_RAW(BEFORE)'!X217)</f>
        <v>Cancelled</v>
      </c>
      <c r="AA210" s="3" t="str" cm="1">
        <f t="array" ref="AA210">_xlfn.LET(
  _xlpm.val, TRIM(LOWER('Sales_RAW(BEFORE)'!Y217)),
  _xlfn.IFS(
    OR(_xlpm.val="yes", _xlpm.val="paid"), "Paid",
    OR(_xlpm.val="no", _xlpm.val="unpaid"), "Unpaid",
    OR(_xlpm.val="partial", _xlpm.val="partial paid"), "Partial",
    _xlpm.val="", "",
    TRUE, 'Sales_RAW(BEFORE)'!AY217
  )
)</f>
        <v>Paid</v>
      </c>
      <c r="AB210" s="3" t="s">
        <v>3551</v>
      </c>
      <c r="AC210" s="3" t="str">
        <f>PROPER('Sales_RAW(BEFORE)'!AA217)</f>
        <v>Online</v>
      </c>
      <c r="AD210" s="3" t="str">
        <f>SUBSTITUTE(SUBSTITUTE(SUBSTITUTE(SUBSTITUTE('Sales_RAW(BEFORE)'!AB217,"st",""),"q",""),"Q",""),"uarter","")</f>
        <v>3</v>
      </c>
      <c r="AE210" s="3" t="str">
        <f>TEXT(IFERROR(DATEVALUE('Sales_RAW(BEFORE)'!AC217 &amp; " 1"), IFERROR(DATE(2025, 'Sales_RAW(BEFORE)'!AC217, 1), 'Sales_RAW(BEFORE)'!AC217)), "mmmm")</f>
        <v>January</v>
      </c>
      <c r="AF210" s="3">
        <f>_xlfn.LET(
  _xlpm.raw, TRIM(SUBSTITUTE('Sales_RAW(BEFORE)'!AD217, "'", "")),
  _xlpm.num, IFERROR(VALUE(_xlpm.raw), 0),
  IF(_xlpm.num &lt; 100, 2000 + _xlpm.num, _xlpm.num)
)</f>
        <v>2026</v>
      </c>
      <c r="AG210" s="3" t="str">
        <f>PROPER('Sales_RAW(BEFORE)'!AE217)</f>
        <v>Immediate</v>
      </c>
      <c r="AH210" s="3" cm="1">
        <f t="array" ref="AH210">_xlfn.LET(
  _xlpm.val, LOWER(TRIM('Sales_RAW(BEFORE)'!AF217)),
  _xlfn.IFS(
    OR(_xlpm.val="", _xlpm.val="null", _xlpm.val="N/A", _xlpm.val="-", _xlpm.val="#N/A"), 0,
    ISNUMBER('Sales_RAW(BEFORE)'!AF217), 'Sales_RAW(BEFORE)'!AF217,
    TRUE, IFERROR(_xlfn.NUMBERVALUE(_xlpm.val), 0)
  )
)</f>
        <v>38</v>
      </c>
      <c r="AI210" s="5">
        <f>IF(IFERROR(VALUE(SUBSTITUTE(SUBSTITUTE(TRIM('Sales_RAW(BEFORE)'!AG217), "%", ""), ",", ".")), 0) &gt; 1, IFERROR(VALUE(SUBSTITUTE(SUBSTITUTE(TRIM('Sales_RAW(BEFORE)'!AG217), "%", ""), ",", ".")), 0) / 100, IFERROR(VALUE(SUBSTITUTE(SUBSTITUTE(TRIM('Sales_RAW(BEFORE)'!AG217), "%", ""), ",", ".")), 0))</f>
        <v>0.08</v>
      </c>
      <c r="AJ210" s="6">
        <f t="shared" si="16"/>
        <v>149.05120000000002</v>
      </c>
      <c r="AK210" s="6">
        <f t="shared" si="17"/>
        <v>2012.1912000000002</v>
      </c>
      <c r="AL210" s="6">
        <f>IFERROR(VALUE(SUBSTITUTE(SUBSTITUTE(SUBSTITUTE('Sales_RAW(BEFORE)'!AJ217,"$",""),"USD",""),",",".")),0)</f>
        <v>23.9</v>
      </c>
      <c r="AM210" s="3" t="str">
        <f>SUBSTITUTE(SUBSTITUTE(PROPER('Sales_RAW(BEFORE)'!AK217), "Fed Ex", "FedEx"),"Fedex","FedEx")</f>
        <v>FedEx</v>
      </c>
      <c r="AN210" s="3" t="s">
        <v>3552</v>
      </c>
      <c r="AO210" s="3" t="str">
        <f>SUBSTITUTE('Sales_RAW(BEFORE)'!AM217,"kg","")</f>
        <v>29,5</v>
      </c>
      <c r="AP210" s="3" t="str">
        <f>_xlfn.LET(
  _xlpm.raw, UPPER(TRIM('Sales_RAW(BEFORE)'!AN217)),
  _xlpm.clean, RIGHT(_xlpm.raw, 1),
  IF(OR(_xlpm.raw="", _xlpm.raw="null"), "N/A", _xlpm.clean)
)</f>
        <v>A</v>
      </c>
      <c r="AQ210" s="3">
        <v>268</v>
      </c>
      <c r="AR210" s="3" cm="1">
        <f t="array" ref="AR210">_xlfn.LET(
  _xlpm.raw, LOWER(TRIM('Sales_RAW(BEFORE)'!AP217)),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210" s="3"/>
      <c r="AT210" s="3"/>
      <c r="AU210" s="3"/>
      <c r="AV210" s="8">
        <f>IF(IFERROR(VALUE(SUBSTITUTE(SUBSTITUTE(TRIM('Sales_RAW(BEFORE)'!AT217), "%", ""), ",", ".")), 0) &gt; 1, IFERROR(VALUE(SUBSTITUTE(SUBSTITUTE(TRIM('Sales_RAW(BEFORE)'!AT217), "%", ""), ",", ".")), 0) / 100, IFERROR(VALUE(SUBSTITUTE(SUBSTITUTE(TRIM('Sales_RAW(BEFORE)'!AT217), "%", ""), ",", ".")), 0))</f>
        <v>0</v>
      </c>
      <c r="AW210" s="6">
        <f>BA210*(_xlfn.XLOOKUP(N210,Employees!$A$2:$A$26,Employees!$E$2:$E$26,2))</f>
        <v>75.457170000000005</v>
      </c>
      <c r="AX210" s="3" t="str">
        <f>PROPER('Sales_RAW(BEFORE)'!AV217)</f>
        <v>Chris Williams</v>
      </c>
      <c r="AY210" s="3" t="str">
        <f t="shared" si="18"/>
        <v>Chris Williams</v>
      </c>
      <c r="AZ210" s="3"/>
      <c r="BA210" s="24">
        <f>AK210*(1-(_xlfn.XLOOKUP(G210, Exchange_Rates!$B$8:$F$8, Exchange_Rates!$B$9:$F$9, 0)+J210))</f>
        <v>1509.1434000000002</v>
      </c>
      <c r="BB210" s="7" cm="1">
        <f t="array" ref="BB210">_xlfn.LET(
  _xlpm.raw_dt, SUBSTITUTE(TRIM(C210), ".", "/"),
  _xlpm.dt, IFERROR(DATEVALUE(_xlpm.raw_dt), C210),
  _xlpm.p_code, TRIM(E210),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46777</v>
      </c>
      <c r="BC210" s="25">
        <f t="shared" si="19"/>
        <v>0</v>
      </c>
    </row>
    <row r="211" spans="1:55" ht="15.75" thickBot="1" x14ac:dyDescent="0.3">
      <c r="A211" s="3" t="s">
        <v>807</v>
      </c>
      <c r="B211" s="10">
        <v>45679</v>
      </c>
      <c r="C211" s="4">
        <v>45718</v>
      </c>
      <c r="D211" s="3" t="str">
        <f>"P-" &amp; TEXT(VALUE(SUBSTITUTE(SUBSTITUTE(SUBSTITUTE(UPPER(TRIM('Sales_RAW(BEFORE)'!D218)), "P", ""), "-", ""), "_", "")),"000")</f>
        <v>P-021</v>
      </c>
      <c r="E211" s="3" t="str">
        <f>VLOOKUP(D211,Product_List!$A$2:$B$61,2,FALSE)</f>
        <v>Monitor Max 21</v>
      </c>
      <c r="F211" s="3" t="str">
        <f>_xlfn.XLOOKUP(E211,Product_List!$B$2:$B$61,Product_List!$E$2:$E$61,2)</f>
        <v>OfficeHub</v>
      </c>
      <c r="G211" s="3" t="str">
        <f>VLOOKUP(E211,Product_List!$B$2:$C$61,2,FALSE)</f>
        <v>Equipment</v>
      </c>
      <c r="H211" s="3" t="str">
        <f>SUBSTITUTE(SUBSTITUTE('Sales_RAW(BEFORE)'!G218,"kom",""),".","")</f>
        <v>30</v>
      </c>
      <c r="I211" s="6">
        <f>VLOOKUP(E211,Product_List!$B$2:$D$61,3,FALSE)</f>
        <v>1184.7</v>
      </c>
      <c r="J211" s="5">
        <f>IF(IFERROR(VALUE(SUBSTITUTE(SUBSTITUTE(TRIM('Sales_RAW(BEFORE)'!I218), "%", ""), ",", ".")), 0) &gt; 1, IFERROR(VALUE(SUBSTITUTE(SUBSTITUTE(TRIM('Sales_RAW(BEFORE)'!I218), "%", ""), ",", ".")), 0) / 100, IFERROR(VALUE(SUBSTITUTE(SUBSTITUTE(TRIM('Sales_RAW(BEFORE)'!I218), "%", ""), ",", ".")), 0))</f>
        <v>0.1</v>
      </c>
      <c r="K211" s="6">
        <f t="shared" si="15"/>
        <v>35541</v>
      </c>
      <c r="L211" s="6" t="str" cm="1">
        <f t="array" ref="L211">_xlfn.LET(
  _xlpm.valuta, UPPER(TRIM('Sales_RAW(BEFORE)'!K218)),
  _xlfn.IFS(
    _xlpm.valuta = "", "",
    OR(_xlpm.valuta = "USD", _xlpm.valuta = "$"), "$",
    OR(_xlpm.valuta = "EUR", _xlpm.valuta = "€"), "€",
    TRUE, _xlpm.valuta
  )
)</f>
        <v>$</v>
      </c>
      <c r="M211" s="3" t="str">
        <f>"E" &amp; TEXT(VALUE(SUBSTITUTE(SUBSTITUTE(SUBSTITUTE(UPPER(TRIM('Sales_RAW(BEFORE)'!L218)), "EMP", ""), "E", ""), "-", "")),"000")</f>
        <v>E012</v>
      </c>
      <c r="N211" s="3" t="str">
        <f>_xlfn.XLOOKUP(M211,Employees!$D$2:$D$26,Employees!$A$2:$A$26)</f>
        <v>John Smith</v>
      </c>
      <c r="O211" s="3" t="str">
        <f>_xlfn.XLOOKUP(N211,Employees!$A$2:$A$26,Employees!$C$2:$C$26,2)</f>
        <v>Sales</v>
      </c>
      <c r="P211" s="3" t="str">
        <f>PROPER('Sales_RAW(BEFORE)'!N218)</f>
        <v>North</v>
      </c>
      <c r="Q211" s="3" t="str">
        <f>VLOOKUP(N211,Employees!$A$2:$B$26,2,FALSE)</f>
        <v>Miami</v>
      </c>
      <c r="R211" s="3" t="str">
        <f>PROPER('Sales_RAW(BEFORE)'!P218)</f>
        <v>Acme Inc.</v>
      </c>
      <c r="S211" s="3" t="str">
        <f>SUBSTITUTE(SUBSTITUTE('Sales_RAW(BEFORE)'!Q218,"EIN",""),":","")</f>
        <v>499269182</v>
      </c>
      <c r="T211" s="3" t="s">
        <v>818</v>
      </c>
      <c r="U211" s="3" t="s">
        <v>819</v>
      </c>
      <c r="V211" s="3" t="s">
        <v>820</v>
      </c>
      <c r="W211" s="3" t="s">
        <v>821</v>
      </c>
      <c r="X211" s="3" t="s">
        <v>173</v>
      </c>
      <c r="Y211" s="3" t="str">
        <f>PROPER('Sales_RAW(BEFORE)'!W218)</f>
        <v>Wire</v>
      </c>
      <c r="Z211" s="3" t="str">
        <f>PROPER('Sales_RAW(BEFORE)'!X218)</f>
        <v>Delivered</v>
      </c>
      <c r="AA211" s="3" t="str" cm="1">
        <f t="array" ref="AA211">_xlfn.LET(
  _xlpm.val, TRIM(LOWER('Sales_RAW(BEFORE)'!Y218)),
  _xlfn.IFS(
    OR(_xlpm.val="yes", _xlpm.val="paid"), "Paid",
    OR(_xlpm.val="no", _xlpm.val="unpaid"), "Unpaid",
    OR(_xlpm.val="partial", _xlpm.val="partial paid"), "Partial",
    _xlpm.val="", "",
    TRUE, 'Sales_RAW(BEFORE)'!AY218
  )
)</f>
        <v>Unpaid</v>
      </c>
      <c r="AB211" s="3" t="s">
        <v>822</v>
      </c>
      <c r="AC211" s="3" t="str">
        <f>PROPER('Sales_RAW(BEFORE)'!AA218)</f>
        <v>Store</v>
      </c>
      <c r="AD211" s="3" t="str">
        <f>SUBSTITUTE(SUBSTITUTE(SUBSTITUTE(SUBSTITUTE('Sales_RAW(BEFORE)'!AB218,"st",""),"q",""),"Q",""),"uarter","")</f>
        <v>3</v>
      </c>
      <c r="AE211" s="3" t="str">
        <f>TEXT(IFERROR(DATEVALUE('Sales_RAW(BEFORE)'!AC218 &amp; " 1"), IFERROR(DATE(2025, 'Sales_RAW(BEFORE)'!AC218, 1), 'Sales_RAW(BEFORE)'!AC218)), "mmmm")</f>
        <v>January</v>
      </c>
      <c r="AF211" s="3">
        <f>_xlfn.LET(
  _xlpm.raw, TRIM(SUBSTITUTE('Sales_RAW(BEFORE)'!AD218, "'", "")),
  _xlpm.num, IFERROR(VALUE(_xlpm.raw), 0),
  IF(_xlpm.num &lt; 100, 2000 + _xlpm.num, _xlpm.num)
)</f>
        <v>2025</v>
      </c>
      <c r="AG211" s="3" t="str">
        <f>PROPER('Sales_RAW(BEFORE)'!AE218)</f>
        <v>Immediate</v>
      </c>
      <c r="AH211" s="3" cm="1">
        <f t="array" ref="AH211">_xlfn.LET(
  _xlpm.val, LOWER(TRIM('Sales_RAW(BEFORE)'!AF218)),
  _xlfn.IFS(
    OR(_xlpm.val="", _xlpm.val="null", _xlpm.val="N/A", _xlpm.val="-", _xlpm.val="#N/A"), 0,
    ISNUMBER('Sales_RAW(BEFORE)'!AF218), 'Sales_RAW(BEFORE)'!AF218,
    TRUE, IFERROR(_xlfn.NUMBERVALUE(_xlpm.val), 0)
  )
)</f>
        <v>84</v>
      </c>
      <c r="AI211" s="5">
        <f>IF(IFERROR(VALUE(SUBSTITUTE(SUBSTITUTE(TRIM('Sales_RAW(BEFORE)'!AG218), "%", ""), ",", ".")), 0) &gt; 1, IFERROR(VALUE(SUBSTITUTE(SUBSTITUTE(TRIM('Sales_RAW(BEFORE)'!AG218), "%", ""), ",", ".")), 0) / 100, IFERROR(VALUE(SUBSTITUTE(SUBSTITUTE(TRIM('Sales_RAW(BEFORE)'!AG218), "%", ""), ",", ".")), 0))</f>
        <v>0.08</v>
      </c>
      <c r="AJ211" s="6">
        <f t="shared" si="16"/>
        <v>2843.28</v>
      </c>
      <c r="AK211" s="6">
        <f t="shared" si="17"/>
        <v>38384.28</v>
      </c>
      <c r="AL211" s="6">
        <f>IFERROR(VALUE(SUBSTITUTE(SUBSTITUTE(SUBSTITUTE('Sales_RAW(BEFORE)'!AJ218,"$",""),"USD",""),",",".")),0)</f>
        <v>21.04</v>
      </c>
      <c r="AM211" s="3" t="str">
        <f>SUBSTITUTE(SUBSTITUTE(PROPER('Sales_RAW(BEFORE)'!AK218), "Fed Ex", "FedEx"),"Fedex","FedEx")</f>
        <v>Ups</v>
      </c>
      <c r="AN211" s="3" t="s">
        <v>824</v>
      </c>
      <c r="AO211" s="3" t="str">
        <f>SUBSTITUTE('Sales_RAW(BEFORE)'!AM218,"kg","")</f>
        <v xml:space="preserve">25.4 </v>
      </c>
      <c r="AP211" s="3" t="str">
        <f>_xlfn.LET(
  _xlpm.raw, UPPER(TRIM('Sales_RAW(BEFORE)'!AN218)),
  _xlpm.clean, RIGHT(_xlpm.raw, 1),
  IF(OR(_xlpm.raw="", _xlpm.raw="null"), "N/A", _xlpm.clean)
)</f>
        <v>B</v>
      </c>
      <c r="AQ211" s="3">
        <v>197</v>
      </c>
      <c r="AR211" s="3" cm="1">
        <f t="array" ref="AR211">_xlfn.LET(
  _xlpm.raw, LOWER(TRIM('Sales_RAW(BEFORE)'!AP218)),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211" s="3"/>
      <c r="AT211" s="3"/>
      <c r="AU211" s="3"/>
      <c r="AV211" s="8">
        <f>IF(IFERROR(VALUE(SUBSTITUTE(SUBSTITUTE(TRIM('Sales_RAW(BEFORE)'!AT218), "%", ""), ",", ".")), 0) &gt; 1, IFERROR(VALUE(SUBSTITUTE(SUBSTITUTE(TRIM('Sales_RAW(BEFORE)'!AT218), "%", ""), ",", ".")), 0) / 100, IFERROR(VALUE(SUBSTITUTE(SUBSTITUTE(TRIM('Sales_RAW(BEFORE)'!AT218), "%", ""), ",", ".")), 0))</f>
        <v>0</v>
      </c>
      <c r="AW211" s="6">
        <f>BA211*(_xlfn.XLOOKUP(N211,Employees!$A$2:$A$26,Employees!$E$2:$E$26,2))</f>
        <v>614.14847999999995</v>
      </c>
      <c r="AX211" s="3" t="str">
        <f>PROPER('Sales_RAW(BEFORE)'!AV218)</f>
        <v>Laura Williams</v>
      </c>
      <c r="AY211" s="3" t="str">
        <f t="shared" si="18"/>
        <v>Laura Williams</v>
      </c>
      <c r="AZ211" s="3"/>
      <c r="BA211" s="24">
        <f>AK211*(1-(_xlfn.XLOOKUP(G211, Exchange_Rates!$B$8:$F$8, Exchange_Rates!$B$9:$F$9, 0)+J211))</f>
        <v>30707.423999999999</v>
      </c>
      <c r="BB211" s="7" cm="1">
        <f t="array" ref="BB211">_xlfn.LET(
  _xlpm.raw_dt, SUBSTITUTE(TRIM(C211), ".", "/"),
  _xlpm.dt, IFERROR(DATEVALUE(_xlpm.raw_dt), C211),
  _xlpm.p_code, TRIM(E211),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46448</v>
      </c>
      <c r="BC211" s="25">
        <f t="shared" si="19"/>
        <v>0</v>
      </c>
    </row>
    <row r="212" spans="1:55" ht="15.75" thickBot="1" x14ac:dyDescent="0.3">
      <c r="A212" s="3" t="s">
        <v>3555</v>
      </c>
      <c r="B212" s="10">
        <v>45857</v>
      </c>
      <c r="C212" s="4">
        <v>45863</v>
      </c>
      <c r="D212" s="3" t="str">
        <f>"P-" &amp; TEXT(VALUE(SUBSTITUTE(SUBSTITUTE(SUBSTITUTE(UPPER(TRIM('Sales_RAW(BEFORE)'!D219)), "P", ""), "-", ""), "_", "")),"000")</f>
        <v>P-017</v>
      </c>
      <c r="E212" s="3" t="str">
        <f>VLOOKUP(D212,Product_List!$A$2:$B$61,2,FALSE)</f>
        <v>Chair Max 17</v>
      </c>
      <c r="F212" s="3" t="str">
        <f>_xlfn.XLOOKUP(E212,Product_List!$B$2:$B$61,Product_List!$E$2:$E$61,2)</f>
        <v>BestParts</v>
      </c>
      <c r="G212" s="3" t="str">
        <f>VLOOKUP(E212,Product_List!$B$2:$C$61,2,FALSE)</f>
        <v>Software</v>
      </c>
      <c r="H212" s="3" t="str">
        <f>SUBSTITUTE(SUBSTITUTE('Sales_RAW(BEFORE)'!G219,"kom",""),".","")</f>
        <v xml:space="preserve">34 </v>
      </c>
      <c r="I212" s="6">
        <f>VLOOKUP(E212,Product_List!$B$2:$D$61,3,FALSE)</f>
        <v>1313.33</v>
      </c>
      <c r="J212" s="5">
        <f>IF(IFERROR(VALUE(SUBSTITUTE(SUBSTITUTE(TRIM('Sales_RAW(BEFORE)'!I219), "%", ""), ",", ".")), 0) &gt; 1, IFERROR(VALUE(SUBSTITUTE(SUBSTITUTE(TRIM('Sales_RAW(BEFORE)'!I219), "%", ""), ",", ".")), 0) / 100, IFERROR(VALUE(SUBSTITUTE(SUBSTITUTE(TRIM('Sales_RAW(BEFORE)'!I219), "%", ""), ",", ".")), 0))</f>
        <v>0</v>
      </c>
      <c r="K212" s="6">
        <f t="shared" si="15"/>
        <v>44653.22</v>
      </c>
      <c r="L212" s="6" t="str" cm="1">
        <f t="array" ref="L212">_xlfn.LET(
  _xlpm.valuta, UPPER(TRIM('Sales_RAW(BEFORE)'!K219)),
  _xlfn.IFS(
    _xlpm.valuta = "", "",
    OR(_xlpm.valuta = "USD", _xlpm.valuta = "$"), "$",
    OR(_xlpm.valuta = "EUR", _xlpm.valuta = "€"), "€",
    TRUE, _xlpm.valuta
  )
)</f>
        <v>$</v>
      </c>
      <c r="M212" s="3" t="str">
        <f>"E" &amp; TEXT(VALUE(SUBSTITUTE(SUBSTITUTE(SUBSTITUTE(UPPER(TRIM('Sales_RAW(BEFORE)'!L219)), "EMP", ""), "E", ""), "-", "")),"000")</f>
        <v>E018</v>
      </c>
      <c r="N212" s="3" t="str">
        <f>_xlfn.XLOOKUP(M212,Employees!$D$2:$D$26,Employees!$A$2:$A$26)</f>
        <v>John Miller</v>
      </c>
      <c r="O212" s="3" t="str">
        <f>_xlfn.XLOOKUP(N212,Employees!$A$2:$A$26,Employees!$C$2:$C$26,2)</f>
        <v>Retail</v>
      </c>
      <c r="P212" s="3" t="str">
        <f>PROPER('Sales_RAW(BEFORE)'!N219)</f>
        <v>North</v>
      </c>
      <c r="Q212" s="3" t="str">
        <f>VLOOKUP(N212,Employees!$A$2:$B$26,2,FALSE)</f>
        <v>Houston</v>
      </c>
      <c r="R212" s="3" t="str">
        <f>PROPER('Sales_RAW(BEFORE)'!P219)</f>
        <v>Globex Inc.</v>
      </c>
      <c r="S212" s="3" t="str">
        <f>SUBSTITUTE(SUBSTITUTE('Sales_RAW(BEFORE)'!Q219,"EIN",""),":","")</f>
        <v>566056369</v>
      </c>
      <c r="T212" s="3" t="s">
        <v>464</v>
      </c>
      <c r="U212" s="3" t="s">
        <v>3562</v>
      </c>
      <c r="V212" s="3" t="s">
        <v>3563</v>
      </c>
      <c r="W212" s="3" t="s">
        <v>3564</v>
      </c>
      <c r="X212" s="3" t="s">
        <v>173</v>
      </c>
      <c r="Y212" s="3" t="str">
        <f>PROPER('Sales_RAW(BEFORE)'!W219)</f>
        <v>Cash</v>
      </c>
      <c r="Z212" s="3" t="str">
        <f>PROPER('Sales_RAW(BEFORE)'!X219)</f>
        <v>Delivered</v>
      </c>
      <c r="AA212" s="3" t="str" cm="1">
        <f t="array" ref="AA212">_xlfn.LET(
  _xlpm.val, TRIM(LOWER('Sales_RAW(BEFORE)'!Y219)),
  _xlfn.IFS(
    OR(_xlpm.val="yes", _xlpm.val="paid"), "Paid",
    OR(_xlpm.val="no", _xlpm.val="unpaid"), "Unpaid",
    OR(_xlpm.val="partial", _xlpm.val="partial paid"), "Partial",
    _xlpm.val="", "",
    TRUE, 'Sales_RAW(BEFORE)'!AY219
  )
)</f>
        <v>Paid</v>
      </c>
      <c r="AB212" s="3" t="s">
        <v>3565</v>
      </c>
      <c r="AC212" s="3" t="str">
        <f>PROPER('Sales_RAW(BEFORE)'!AA219)</f>
        <v>Store</v>
      </c>
      <c r="AD212" s="3" t="str">
        <f>SUBSTITUTE(SUBSTITUTE(SUBSTITUTE(SUBSTITUTE('Sales_RAW(BEFORE)'!AB219,"st",""),"q",""),"Q",""),"uarter","")</f>
        <v>1</v>
      </c>
      <c r="AE212" s="3" t="str">
        <f>TEXT(IFERROR(DATEVALUE('Sales_RAW(BEFORE)'!AC219 &amp; " 1"), IFERROR(DATE(2025, 'Sales_RAW(BEFORE)'!AC219, 1), 'Sales_RAW(BEFORE)'!AC219)), "mmmm")</f>
        <v>July</v>
      </c>
      <c r="AF212" s="3">
        <f>_xlfn.LET(
  _xlpm.raw, TRIM(SUBSTITUTE('Sales_RAW(BEFORE)'!AD219, "'", "")),
  _xlpm.num, IFERROR(VALUE(_xlpm.raw), 0),
  IF(_xlpm.num &lt; 100, 2000 + _xlpm.num, _xlpm.num)
)</f>
        <v>2025</v>
      </c>
      <c r="AG212" s="3" t="str">
        <f>PROPER('Sales_RAW(BEFORE)'!AE219)</f>
        <v>15</v>
      </c>
      <c r="AH212" s="3" cm="1">
        <f t="array" ref="AH212">_xlfn.LET(
  _xlpm.val, LOWER(TRIM('Sales_RAW(BEFORE)'!AF219)),
  _xlfn.IFS(
    OR(_xlpm.val="", _xlpm.val="null", _xlpm.val="N/A", _xlpm.val="-", _xlpm.val="#N/A"), 0,
    ISNUMBER('Sales_RAW(BEFORE)'!AF219), 'Sales_RAW(BEFORE)'!AF219,
    TRUE, IFERROR(_xlfn.NUMBERVALUE(_xlpm.val), 0)
  )
)</f>
        <v>0</v>
      </c>
      <c r="AI212" s="5">
        <f>IF(IFERROR(VALUE(SUBSTITUTE(SUBSTITUTE(TRIM('Sales_RAW(BEFORE)'!AG219), "%", ""), ",", ".")), 0) &gt; 1, IFERROR(VALUE(SUBSTITUTE(SUBSTITUTE(TRIM('Sales_RAW(BEFORE)'!AG219), "%", ""), ",", ".")), 0) / 100, IFERROR(VALUE(SUBSTITUTE(SUBSTITUTE(TRIM('Sales_RAW(BEFORE)'!AG219), "%", ""), ",", ".")), 0))</f>
        <v>0.08</v>
      </c>
      <c r="AJ212" s="6">
        <f t="shared" si="16"/>
        <v>3572.2576000000004</v>
      </c>
      <c r="AK212" s="6">
        <f t="shared" si="17"/>
        <v>48225.477599999998</v>
      </c>
      <c r="AL212" s="6">
        <f>IFERROR(VALUE(SUBSTITUTE(SUBSTITUTE(SUBSTITUTE('Sales_RAW(BEFORE)'!AJ219,"$",""),"USD",""),",",".")),0)</f>
        <v>18.399999999999999</v>
      </c>
      <c r="AM212" s="3" t="str">
        <f>SUBSTITUTE(SUBSTITUTE(PROPER('Sales_RAW(BEFORE)'!AK219), "Fed Ex", "FedEx"),"Fedex","FedEx")</f>
        <v>Dhl</v>
      </c>
      <c r="AN212" s="3" t="s">
        <v>3566</v>
      </c>
      <c r="AO212" s="3" t="str">
        <f>SUBSTITUTE('Sales_RAW(BEFORE)'!AM219,"kg","")</f>
        <v>1.1</v>
      </c>
      <c r="AP212" s="3" t="str">
        <f>_xlfn.LET(
  _xlpm.raw, UPPER(TRIM('Sales_RAW(BEFORE)'!AN219)),
  _xlpm.clean, RIGHT(_xlpm.raw, 1),
  IF(OR(_xlpm.raw="", _xlpm.raw="null"), "N/A", _xlpm.clean)
)</f>
        <v>B</v>
      </c>
      <c r="AQ212" s="3">
        <v>325</v>
      </c>
      <c r="AR212" s="3" t="str" cm="1">
        <f t="array" ref="AR212">_xlfn.LET(
  _xlpm.raw, LOWER(TRIM('Sales_RAW(BEFORE)'!AP219)),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212" s="3"/>
      <c r="AT212" s="3"/>
      <c r="AU212" s="3"/>
      <c r="AV212" s="8">
        <f>IF(IFERROR(VALUE(SUBSTITUTE(SUBSTITUTE(TRIM('Sales_RAW(BEFORE)'!AT219), "%", ""), ",", ".")), 0) &gt; 1, IFERROR(VALUE(SUBSTITUTE(SUBSTITUTE(TRIM('Sales_RAW(BEFORE)'!AT219), "%", ""), ",", ".")), 0) / 100, IFERROR(VALUE(SUBSTITUTE(SUBSTITUTE(TRIM('Sales_RAW(BEFORE)'!AT219), "%", ""), ",", ".")), 0))</f>
        <v>0.3</v>
      </c>
      <c r="AW212" s="6">
        <f>BA212*(_xlfn.XLOOKUP(N212,Employees!$A$2:$A$26,Employees!$E$2:$E$26,2))</f>
        <v>819.83311919999994</v>
      </c>
      <c r="AX212" s="3" t="str">
        <f>PROPER('Sales_RAW(BEFORE)'!AV219)</f>
        <v>Sophia Miller</v>
      </c>
      <c r="AY212" s="3" t="str">
        <f t="shared" si="18"/>
        <v>Sophia Miller</v>
      </c>
      <c r="AZ212" s="3"/>
      <c r="BA212" s="24">
        <f>AK212*(1-(_xlfn.XLOOKUP(G212, Exchange_Rates!$B$8:$F$8, Exchange_Rates!$B$9:$F$9, 0)+J212))</f>
        <v>40991.655959999996</v>
      </c>
      <c r="BB212" s="7" cm="1">
        <f t="array" ref="BB212">_xlfn.LET(
  _xlpm.raw_dt, SUBSTITUTE(TRIM(C212), ".", "/"),
  _xlpm.dt, IFERROR(DATEVALUE(_xlpm.raw_dt), C212),
  _xlpm.p_code, TRIM(E212),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46593</v>
      </c>
      <c r="BC212" s="25">
        <f t="shared" si="19"/>
        <v>12297.496787999999</v>
      </c>
    </row>
    <row r="213" spans="1:55" ht="15.75" thickBot="1" x14ac:dyDescent="0.3">
      <c r="A213" s="3" t="s">
        <v>3568</v>
      </c>
      <c r="B213" s="10">
        <v>46016</v>
      </c>
      <c r="C213" s="4">
        <v>46021</v>
      </c>
      <c r="D213" s="3" t="str">
        <f>"P-" &amp; TEXT(VALUE(SUBSTITUTE(SUBSTITUTE(SUBSTITUTE(UPPER(TRIM('Sales_RAW(BEFORE)'!D220)), "P", ""), "-", ""), "_", "")),"000")</f>
        <v>P-029</v>
      </c>
      <c r="E213" s="3" t="str">
        <f>VLOOKUP(D213,Product_List!$A$2:$B$61,2,FALSE)</f>
        <v>Keyboard Plus 29</v>
      </c>
      <c r="F213" s="3" t="str">
        <f>_xlfn.XLOOKUP(E213,Product_List!$B$2:$B$61,Product_List!$E$2:$E$61,2)</f>
        <v>OfficeHub</v>
      </c>
      <c r="G213" s="3" t="str">
        <f>VLOOKUP(E213,Product_List!$B$2:$C$61,2,FALSE)</f>
        <v>Software</v>
      </c>
      <c r="H213" s="3" t="str">
        <f>SUBSTITUTE(SUBSTITUTE('Sales_RAW(BEFORE)'!G220,"kom",""),".","")</f>
        <v xml:space="preserve">25 </v>
      </c>
      <c r="I213" s="6">
        <f>VLOOKUP(E213,Product_List!$B$2:$D$61,3,FALSE)</f>
        <v>1375.64</v>
      </c>
      <c r="J213" s="5">
        <f>IF(IFERROR(VALUE(SUBSTITUTE(SUBSTITUTE(TRIM('Sales_RAW(BEFORE)'!I220), "%", ""), ",", ".")), 0) &gt; 1, IFERROR(VALUE(SUBSTITUTE(SUBSTITUTE(TRIM('Sales_RAW(BEFORE)'!I220), "%", ""), ",", ".")), 0) / 100, IFERROR(VALUE(SUBSTITUTE(SUBSTITUTE(TRIM('Sales_RAW(BEFORE)'!I220), "%", ""), ",", ".")), 0))</f>
        <v>0</v>
      </c>
      <c r="K213" s="6">
        <f t="shared" si="15"/>
        <v>34391</v>
      </c>
      <c r="L213" s="6" t="str" cm="1">
        <f t="array" ref="L213">_xlfn.LET(
  _xlpm.valuta, UPPER(TRIM('Sales_RAW(BEFORE)'!K220)),
  _xlfn.IFS(
    _xlpm.valuta = "", "",
    OR(_xlpm.valuta = "USD", _xlpm.valuta = "$"), "$",
    OR(_xlpm.valuta = "EUR", _xlpm.valuta = "€"), "€",
    TRUE, _xlpm.valuta
  )
)</f>
        <v>$</v>
      </c>
      <c r="M213" s="3" t="str">
        <f>"E" &amp; TEXT(VALUE(SUBSTITUTE(SUBSTITUTE(SUBSTITUTE(UPPER(TRIM('Sales_RAW(BEFORE)'!L220)), "EMP", ""), "E", ""), "-", "")),"000")</f>
        <v>E021</v>
      </c>
      <c r="N213" s="3" t="str">
        <f>_xlfn.XLOOKUP(M213,Employees!$D$2:$D$26,Employees!$A$2:$A$26)</f>
        <v>Chris Williams</v>
      </c>
      <c r="O213" s="3" t="str">
        <f>_xlfn.XLOOKUP(N213,Employees!$A$2:$A$26,Employees!$C$2:$C$26,2)</f>
        <v>Sales</v>
      </c>
      <c r="P213" s="3" t="str">
        <f>PROPER('Sales_RAW(BEFORE)'!N220)</f>
        <v>South</v>
      </c>
      <c r="Q213" s="3" t="str">
        <f>VLOOKUP(N213,Employees!$A$2:$B$26,2,FALSE)</f>
        <v>Boston</v>
      </c>
      <c r="R213" s="3" t="str">
        <f>PROPER('Sales_RAW(BEFORE)'!P220)</f>
        <v>Acme Inc.</v>
      </c>
      <c r="S213" s="3" t="str">
        <f>SUBSTITUTE(SUBSTITUTE('Sales_RAW(BEFORE)'!Q220,"EIN",""),":","")</f>
        <v xml:space="preserve"> 255206760</v>
      </c>
      <c r="T213" s="3" t="s">
        <v>1722</v>
      </c>
      <c r="U213" s="3" t="s">
        <v>3575</v>
      </c>
      <c r="V213" s="3" t="s">
        <v>3576</v>
      </c>
      <c r="W213" s="3" t="s">
        <v>3577</v>
      </c>
      <c r="X213" s="3" t="s">
        <v>173</v>
      </c>
      <c r="Y213" s="3" t="str">
        <f>PROPER('Sales_RAW(BEFORE)'!W220)</f>
        <v>Wire</v>
      </c>
      <c r="Z213" s="3" t="str">
        <f>PROPER('Sales_RAW(BEFORE)'!X220)</f>
        <v>Delivered</v>
      </c>
      <c r="AA213" s="3" t="str" cm="1">
        <f t="array" ref="AA213">_xlfn.LET(
  _xlpm.val, TRIM(LOWER('Sales_RAW(BEFORE)'!Y220)),
  _xlfn.IFS(
    OR(_xlpm.val="yes", _xlpm.val="paid"), "Paid",
    OR(_xlpm.val="no", _xlpm.val="unpaid"), "Unpaid",
    OR(_xlpm.val="partial", _xlpm.val="partial paid"), "Partial",
    _xlpm.val="", "",
    TRUE, 'Sales_RAW(BEFORE)'!AY220
  )
)</f>
        <v>Paid</v>
      </c>
      <c r="AB213" s="3" t="s">
        <v>3578</v>
      </c>
      <c r="AC213" s="3" t="str">
        <f>PROPER('Sales_RAW(BEFORE)'!AA220)</f>
        <v>Store</v>
      </c>
      <c r="AD213" s="3" t="str">
        <f>SUBSTITUTE(SUBSTITUTE(SUBSTITUTE(SUBSTITUTE('Sales_RAW(BEFORE)'!AB220,"st",""),"q",""),"Q",""),"uarter","")</f>
        <v>4</v>
      </c>
      <c r="AE213" s="3" t="str">
        <f>TEXT(IFERROR(DATEVALUE('Sales_RAW(BEFORE)'!AC220 &amp; " 1"), IFERROR(DATE(2025, 'Sales_RAW(BEFORE)'!AC220, 1), 'Sales_RAW(BEFORE)'!AC220)), "mmmm")</f>
        <v>December</v>
      </c>
      <c r="AF213" s="3">
        <f>_xlfn.LET(
  _xlpm.raw, TRIM(SUBSTITUTE('Sales_RAW(BEFORE)'!AD220, "'", "")),
  _xlpm.num, IFERROR(VALUE(_xlpm.raw), 0),
  IF(_xlpm.num &lt; 100, 2000 + _xlpm.num, _xlpm.num)
)</f>
        <v>2025</v>
      </c>
      <c r="AG213" s="3" t="str">
        <f>PROPER('Sales_RAW(BEFORE)'!AE220)</f>
        <v>Immediate</v>
      </c>
      <c r="AH213" s="3" cm="1">
        <f t="array" ref="AH213">_xlfn.LET(
  _xlpm.val, LOWER(TRIM('Sales_RAW(BEFORE)'!AF220)),
  _xlfn.IFS(
    OR(_xlpm.val="", _xlpm.val="null", _xlpm.val="N/A", _xlpm.val="-", _xlpm.val="#N/A"), 0,
    ISNUMBER('Sales_RAW(BEFORE)'!AF220), 'Sales_RAW(BEFORE)'!AF220,
    TRUE, IFERROR(_xlfn.NUMBERVALUE(_xlpm.val), 0)
  )
)</f>
        <v>63</v>
      </c>
      <c r="AI213" s="5">
        <f>IF(IFERROR(VALUE(SUBSTITUTE(SUBSTITUTE(TRIM('Sales_RAW(BEFORE)'!AG220), "%", ""), ",", ".")), 0) &gt; 1, IFERROR(VALUE(SUBSTITUTE(SUBSTITUTE(TRIM('Sales_RAW(BEFORE)'!AG220), "%", ""), ",", ".")), 0) / 100, IFERROR(VALUE(SUBSTITUTE(SUBSTITUTE(TRIM('Sales_RAW(BEFORE)'!AG220), "%", ""), ",", ".")), 0))</f>
        <v>0.08</v>
      </c>
      <c r="AJ213" s="6">
        <f t="shared" si="16"/>
        <v>2751.28</v>
      </c>
      <c r="AK213" s="6">
        <f t="shared" si="17"/>
        <v>37142.28</v>
      </c>
      <c r="AL213" s="6">
        <f>IFERROR(VALUE(SUBSTITUTE(SUBSTITUTE(SUBSTITUTE('Sales_RAW(BEFORE)'!AJ220,"$",""),"USD",""),",",".")),0)</f>
        <v>7.74</v>
      </c>
      <c r="AM213" s="3" t="str">
        <f>SUBSTITUTE(SUBSTITUTE(PROPER('Sales_RAW(BEFORE)'!AK220), "Fed Ex", "FedEx"),"Fedex","FedEx")</f>
        <v>FedEx</v>
      </c>
      <c r="AN213" s="3" t="s">
        <v>3579</v>
      </c>
      <c r="AO213" s="3" t="str">
        <f>SUBSTITUTE('Sales_RAW(BEFORE)'!AM220,"kg","")</f>
        <v xml:space="preserve">11.3 </v>
      </c>
      <c r="AP213" s="3" t="str">
        <f>_xlfn.LET(
  _xlpm.raw, UPPER(TRIM('Sales_RAW(BEFORE)'!AN220)),
  _xlpm.clean, RIGHT(_xlpm.raw, 1),
  IF(OR(_xlpm.raw="", _xlpm.raw="null"), "N/A", _xlpm.clean)
)</f>
        <v>C</v>
      </c>
      <c r="AQ213" s="3">
        <v>405</v>
      </c>
      <c r="AR213" s="3" cm="1">
        <f t="array" ref="AR213">_xlfn.LET(
  _xlpm.raw, LOWER(TRIM('Sales_RAW(BEFORE)'!AP220)),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213" s="3"/>
      <c r="AT213" s="3"/>
      <c r="AU213" s="3"/>
      <c r="AV213" s="8">
        <f>IF(IFERROR(VALUE(SUBSTITUTE(SUBSTITUTE(TRIM('Sales_RAW(BEFORE)'!AT220), "%", ""), ",", ".")), 0) &gt; 1, IFERROR(VALUE(SUBSTITUTE(SUBSTITUTE(TRIM('Sales_RAW(BEFORE)'!AT220), "%", ""), ",", ".")), 0) / 100, IFERROR(VALUE(SUBSTITUTE(SUBSTITUTE(TRIM('Sales_RAW(BEFORE)'!AT220), "%", ""), ",", ".")), 0))</f>
        <v>0.25</v>
      </c>
      <c r="AW213" s="6">
        <f>BA213*(_xlfn.XLOOKUP(N213,Employees!$A$2:$A$26,Employees!$E$2:$E$26,2))</f>
        <v>947.12813999999992</v>
      </c>
      <c r="AX213" s="3" t="str">
        <f>PROPER('Sales_RAW(BEFORE)'!AV220)</f>
        <v>Sarah Miller</v>
      </c>
      <c r="AY213" s="3" t="str">
        <f t="shared" si="18"/>
        <v>Sarah Miller</v>
      </c>
      <c r="AZ213" s="3"/>
      <c r="BA213" s="24">
        <f>AK213*(1-(_xlfn.XLOOKUP(G213, Exchange_Rates!$B$8:$F$8, Exchange_Rates!$B$9:$F$9, 0)+J213))</f>
        <v>31570.937999999998</v>
      </c>
      <c r="BB213" s="7" cm="1">
        <f t="array" ref="BB213">_xlfn.LET(
  _xlpm.raw_dt, SUBSTITUTE(TRIM(C213), ".", "/"),
  _xlpm.dt, IFERROR(DATEVALUE(_xlpm.raw_dt), C213),
  _xlpm.p_code, TRIM(E213),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46751</v>
      </c>
      <c r="BC213" s="25">
        <f t="shared" si="19"/>
        <v>7892.7344999999996</v>
      </c>
    </row>
    <row r="214" spans="1:55" ht="15.75" thickBot="1" x14ac:dyDescent="0.3">
      <c r="A214" s="3" t="s">
        <v>3581</v>
      </c>
      <c r="B214" s="10">
        <v>46186</v>
      </c>
      <c r="C214" s="4">
        <v>46188</v>
      </c>
      <c r="D214" s="3" t="str">
        <f>"P-" &amp; TEXT(VALUE(SUBSTITUTE(SUBSTITUTE(SUBSTITUTE(UPPER(TRIM('Sales_RAW(BEFORE)'!D221)), "P", ""), "-", ""), "_", "")),"000")</f>
        <v>P-022</v>
      </c>
      <c r="E214" s="3" t="str">
        <f>VLOOKUP(D214,Product_List!$A$2:$B$61,2,FALSE)</f>
        <v>Desk Basic 22</v>
      </c>
      <c r="F214" s="3" t="str">
        <f>_xlfn.XLOOKUP(E214,Product_List!$B$2:$B$61,Product_List!$E$2:$E$61,2)</f>
        <v>BestParts</v>
      </c>
      <c r="G214" s="3" t="str">
        <f>VLOOKUP(E214,Product_List!$B$2:$C$61,2,FALSE)</f>
        <v>Furniture</v>
      </c>
      <c r="H214" s="3" t="str">
        <f>SUBSTITUTE(SUBSTITUTE('Sales_RAW(BEFORE)'!G221,"kom",""),".","")</f>
        <v xml:space="preserve">13 </v>
      </c>
      <c r="I214" s="6">
        <f>VLOOKUP(E214,Product_List!$B$2:$D$61,3,FALSE)</f>
        <v>893.58</v>
      </c>
      <c r="J214" s="5">
        <f>IF(IFERROR(VALUE(SUBSTITUTE(SUBSTITUTE(TRIM('Sales_RAW(BEFORE)'!I221), "%", ""), ",", ".")), 0) &gt; 1, IFERROR(VALUE(SUBSTITUTE(SUBSTITUTE(TRIM('Sales_RAW(BEFORE)'!I221), "%", ""), ",", ".")), 0) / 100, IFERROR(VALUE(SUBSTITUTE(SUBSTITUTE(TRIM('Sales_RAW(BEFORE)'!I221), "%", ""), ",", ".")), 0))</f>
        <v>0</v>
      </c>
      <c r="K214" s="6">
        <f t="shared" si="15"/>
        <v>11616.54</v>
      </c>
      <c r="L214" s="6" t="str" cm="1">
        <f t="array" ref="L214">_xlfn.LET(
  _xlpm.valuta, UPPER(TRIM('Sales_RAW(BEFORE)'!K221)),
  _xlfn.IFS(
    _xlpm.valuta = "", "",
    OR(_xlpm.valuta = "USD", _xlpm.valuta = "$"), "$",
    OR(_xlpm.valuta = "EUR", _xlpm.valuta = "€"), "€",
    TRUE, _xlpm.valuta
  )
)</f>
        <v>$</v>
      </c>
      <c r="M214" s="3" t="str">
        <f>"E" &amp; TEXT(VALUE(SUBSTITUTE(SUBSTITUTE(SUBSTITUTE(UPPER(TRIM('Sales_RAW(BEFORE)'!L221)), "EMP", ""), "E", ""), "-", "")),"000")</f>
        <v>E002</v>
      </c>
      <c r="N214" s="3" t="str">
        <f>_xlfn.XLOOKUP(M214,Employees!$D$2:$D$26,Employees!$A$2:$A$26)</f>
        <v>Sarah Wilson</v>
      </c>
      <c r="O214" s="3" t="str">
        <f>_xlfn.XLOOKUP(N214,Employees!$A$2:$A$26,Employees!$C$2:$C$26,2)</f>
        <v>Online</v>
      </c>
      <c r="P214" s="3" t="str">
        <f>PROPER('Sales_RAW(BEFORE)'!N221)</f>
        <v>West</v>
      </c>
      <c r="Q214" s="3" t="str">
        <f>VLOOKUP(N214,Employees!$A$2:$B$26,2,FALSE)</f>
        <v>Los Angeles</v>
      </c>
      <c r="R214" s="3" t="str">
        <f>PROPER('Sales_RAW(BEFORE)'!P221)</f>
        <v>Stark Inc</v>
      </c>
      <c r="S214" s="3" t="str">
        <f>SUBSTITUTE(SUBSTITUTE('Sales_RAW(BEFORE)'!Q221,"EIN",""),":","")</f>
        <v>544808695</v>
      </c>
      <c r="T214" s="3" t="s">
        <v>646</v>
      </c>
      <c r="U214" s="3" t="s">
        <v>3589</v>
      </c>
      <c r="V214" s="3" t="s">
        <v>3590</v>
      </c>
      <c r="W214" s="3" t="s">
        <v>3591</v>
      </c>
      <c r="X214" s="3" t="s">
        <v>173</v>
      </c>
      <c r="Y214" s="3" t="str">
        <f>PROPER('Sales_RAW(BEFORE)'!W221)</f>
        <v>Paypal</v>
      </c>
      <c r="Z214" s="3" t="str">
        <f>PROPER('Sales_RAW(BEFORE)'!X221)</f>
        <v>Processing</v>
      </c>
      <c r="AA214" s="3" t="str" cm="1">
        <f t="array" ref="AA214">_xlfn.LET(
  _xlpm.val, TRIM(LOWER('Sales_RAW(BEFORE)'!Y221)),
  _xlfn.IFS(
    OR(_xlpm.val="yes", _xlpm.val="paid"), "Paid",
    OR(_xlpm.val="no", _xlpm.val="unpaid"), "Unpaid",
    OR(_xlpm.val="partial", _xlpm.val="partial paid"), "Partial",
    _xlpm.val="", "",
    TRUE, 'Sales_RAW(BEFORE)'!AY221
  )
)</f>
        <v>Paid</v>
      </c>
      <c r="AB214" s="3" t="s">
        <v>3592</v>
      </c>
      <c r="AC214" s="3" t="str">
        <f>PROPER('Sales_RAW(BEFORE)'!AA221)</f>
        <v>Online</v>
      </c>
      <c r="AD214" s="3" t="str">
        <f>SUBSTITUTE(SUBSTITUTE(SUBSTITUTE(SUBSTITUTE('Sales_RAW(BEFORE)'!AB221,"st",""),"q",""),"Q",""),"uarter","")</f>
        <v>1</v>
      </c>
      <c r="AE214" s="3" t="str">
        <f>TEXT(IFERROR(DATEVALUE('Sales_RAW(BEFORE)'!AC221 &amp; " 1"), IFERROR(DATE(2025, 'Sales_RAW(BEFORE)'!AC221, 1), 'Sales_RAW(BEFORE)'!AC221)), "mmmm")</f>
        <v>June</v>
      </c>
      <c r="AF214" s="3">
        <f>_xlfn.LET(
  _xlpm.raw, TRIM(SUBSTITUTE('Sales_RAW(BEFORE)'!AD221, "'", "")),
  _xlpm.num, IFERROR(VALUE(_xlpm.raw), 0),
  IF(_xlpm.num &lt; 100, 2000 + _xlpm.num, _xlpm.num)
)</f>
        <v>2026</v>
      </c>
      <c r="AG214" s="3" t="str">
        <f>PROPER('Sales_RAW(BEFORE)'!AE221)</f>
        <v>Net 30</v>
      </c>
      <c r="AH214" s="3" cm="1">
        <f t="array" ref="AH214">_xlfn.LET(
  _xlpm.val, LOWER(TRIM('Sales_RAW(BEFORE)'!AF221)),
  _xlfn.IFS(
    OR(_xlpm.val="", _xlpm.val="null", _xlpm.val="N/A", _xlpm.val="-", _xlpm.val="#N/A"), 0,
    ISNUMBER('Sales_RAW(BEFORE)'!AF221), 'Sales_RAW(BEFORE)'!AF221,
    TRUE, IFERROR(_xlfn.NUMBERVALUE(_xlpm.val), 0)
  )
)</f>
        <v>32</v>
      </c>
      <c r="AI214" s="5">
        <f>IF(IFERROR(VALUE(SUBSTITUTE(SUBSTITUTE(TRIM('Sales_RAW(BEFORE)'!AG221), "%", ""), ",", ".")), 0) &gt; 1, IFERROR(VALUE(SUBSTITUTE(SUBSTITUTE(TRIM('Sales_RAW(BEFORE)'!AG221), "%", ""), ",", ".")), 0) / 100, IFERROR(VALUE(SUBSTITUTE(SUBSTITUTE(TRIM('Sales_RAW(BEFORE)'!AG221), "%", ""), ",", ".")), 0))</f>
        <v>0.08</v>
      </c>
      <c r="AJ214" s="6">
        <f t="shared" si="16"/>
        <v>929.32320000000004</v>
      </c>
      <c r="AK214" s="6">
        <f t="shared" si="17"/>
        <v>12545.863200000002</v>
      </c>
      <c r="AL214" s="6">
        <f>IFERROR(VALUE(SUBSTITUTE(SUBSTITUTE(SUBSTITUTE('Sales_RAW(BEFORE)'!AJ221,"$",""),"USD",""),",",".")),0)</f>
        <v>29.48</v>
      </c>
      <c r="AM214" s="3" t="str">
        <f>SUBSTITUTE(SUBSTITUTE(PROPER('Sales_RAW(BEFORE)'!AK221), "Fed Ex", "FedEx"),"Fedex","FedEx")</f>
        <v>FedEx</v>
      </c>
      <c r="AN214" s="3" t="s">
        <v>3594</v>
      </c>
      <c r="AO214" s="3" t="str">
        <f>SUBSTITUTE('Sales_RAW(BEFORE)'!AM221,"kg","")</f>
        <v xml:space="preserve">4.9 </v>
      </c>
      <c r="AP214" s="3" t="str">
        <f>_xlfn.LET(
  _xlpm.raw, UPPER(TRIM('Sales_RAW(BEFORE)'!AN221)),
  _xlpm.clean, RIGHT(_xlpm.raw, 1),
  IF(OR(_xlpm.raw="", _xlpm.raw="null"), "N/A", _xlpm.clean)
)</f>
        <v>A</v>
      </c>
      <c r="AQ214" s="3">
        <v>241</v>
      </c>
      <c r="AR214" s="3" cm="1">
        <f t="array" ref="AR214">_xlfn.LET(
  _xlpm.raw, LOWER(TRIM('Sales_RAW(BEFORE)'!AP221)),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214" s="3"/>
      <c r="AT214" s="3"/>
      <c r="AU214" s="3"/>
      <c r="AV214" s="8">
        <f>IF(IFERROR(VALUE(SUBSTITUTE(SUBSTITUTE(TRIM('Sales_RAW(BEFORE)'!AT221), "%", ""), ",", ".")), 0) &gt; 1, IFERROR(VALUE(SUBSTITUTE(SUBSTITUTE(TRIM('Sales_RAW(BEFORE)'!AT221), "%", ""), ",", ".")), 0) / 100, IFERROR(VALUE(SUBSTITUTE(SUBSTITUTE(TRIM('Sales_RAW(BEFORE)'!AT221), "%", ""), ",", ".")), 0))</f>
        <v>0.3</v>
      </c>
      <c r="AW214" s="6">
        <f>BA214*(_xlfn.XLOOKUP(N214,Employees!$A$2:$A$26,Employees!$E$2:$E$26,2))</f>
        <v>338.7383064</v>
      </c>
      <c r="AX214" s="3" t="str">
        <f>PROPER('Sales_RAW(BEFORE)'!AV221)</f>
        <v>Ryan Wilson</v>
      </c>
      <c r="AY214" s="3" t="str">
        <f t="shared" si="18"/>
        <v>Ryan Wilson</v>
      </c>
      <c r="AZ214" s="3"/>
      <c r="BA214" s="24">
        <f>AK214*(1-(_xlfn.XLOOKUP(G214, Exchange_Rates!$B$8:$F$8, Exchange_Rates!$B$9:$F$9, 0)+J214))</f>
        <v>11291.276880000001</v>
      </c>
      <c r="BB214" s="7" cm="1">
        <f t="array" ref="BB214">_xlfn.LET(
  _xlpm.raw_dt, SUBSTITUTE(TRIM(C214), ".", "/"),
  _xlpm.dt, IFERROR(DATEVALUE(_xlpm.raw_dt), C214),
  _xlpm.p_code, TRIM(E214),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46553</v>
      </c>
      <c r="BC214" s="25">
        <f t="shared" si="19"/>
        <v>3387.3830640000001</v>
      </c>
    </row>
    <row r="215" spans="1:55" ht="15.75" thickBot="1" x14ac:dyDescent="0.3">
      <c r="A215" s="3" t="s">
        <v>3596</v>
      </c>
      <c r="B215" s="10">
        <v>45946</v>
      </c>
      <c r="C215" s="4">
        <v>45949</v>
      </c>
      <c r="D215" s="3" t="str">
        <f>"P-" &amp; TEXT(VALUE(SUBSTITUTE(SUBSTITUTE(SUBSTITUTE(UPPER(TRIM('Sales_RAW(BEFORE)'!D222)), "P", ""), "-", ""), "_", "")),"000")</f>
        <v>P-052</v>
      </c>
      <c r="E215" s="3" t="str">
        <f>VLOOKUP(D215,Product_List!$A$2:$B$61,2,FALSE)</f>
        <v>Laptop Max 52</v>
      </c>
      <c r="F215" s="3" t="str">
        <f>_xlfn.XLOOKUP(E215,Product_List!$B$2:$B$61,Product_List!$E$2:$E$61,2)</f>
        <v>TechSupply Co</v>
      </c>
      <c r="G215" s="3" t="str">
        <f>VLOOKUP(E215,Product_List!$B$2:$C$61,2,FALSE)</f>
        <v>Furniture</v>
      </c>
      <c r="H215" s="3" t="str">
        <f>SUBSTITUTE(SUBSTITUTE('Sales_RAW(BEFORE)'!G222,"kom",""),".","")</f>
        <v>34</v>
      </c>
      <c r="I215" s="6">
        <f>VLOOKUP(E215,Product_List!$B$2:$D$61,3,FALSE)</f>
        <v>1467.86</v>
      </c>
      <c r="J215" s="5">
        <f>IF(IFERROR(VALUE(SUBSTITUTE(SUBSTITUTE(TRIM('Sales_RAW(BEFORE)'!I222), "%", ""), ",", ".")), 0) &gt; 1, IFERROR(VALUE(SUBSTITUTE(SUBSTITUTE(TRIM('Sales_RAW(BEFORE)'!I222), "%", ""), ",", ".")), 0) / 100, IFERROR(VALUE(SUBSTITUTE(SUBSTITUTE(TRIM('Sales_RAW(BEFORE)'!I222), "%", ""), ",", ".")), 0))</f>
        <v>0</v>
      </c>
      <c r="K215" s="6">
        <f t="shared" si="15"/>
        <v>49907.24</v>
      </c>
      <c r="L215" s="6" t="str" cm="1">
        <f t="array" ref="L215">_xlfn.LET(
  _xlpm.valuta, UPPER(TRIM('Sales_RAW(BEFORE)'!K222)),
  _xlfn.IFS(
    _xlpm.valuta = "", "",
    OR(_xlpm.valuta = "USD", _xlpm.valuta = "$"), "$",
    OR(_xlpm.valuta = "EUR", _xlpm.valuta = "€"), "€",
    TRUE, _xlpm.valuta
  )
)</f>
        <v>$</v>
      </c>
      <c r="M215" s="3" t="str">
        <f>"E" &amp; TEXT(VALUE(SUBSTITUTE(SUBSTITUTE(SUBSTITUTE(UPPER(TRIM('Sales_RAW(BEFORE)'!L222)), "EMP", ""), "E", ""), "-", "")),"000")</f>
        <v>E020</v>
      </c>
      <c r="N215" s="3" t="str">
        <f>_xlfn.XLOOKUP(M215,Employees!$D$2:$D$26,Employees!$A$2:$A$26)</f>
        <v>Robert Taylor</v>
      </c>
      <c r="O215" s="3" t="str">
        <f>_xlfn.XLOOKUP(N215,Employees!$A$2:$A$26,Employees!$C$2:$C$26,2)</f>
        <v>Retail</v>
      </c>
      <c r="P215" s="3" t="str">
        <f>PROPER('Sales_RAW(BEFORE)'!N222)</f>
        <v>North</v>
      </c>
      <c r="Q215" s="3" t="str">
        <f>VLOOKUP(N215,Employees!$A$2:$B$26,2,FALSE)</f>
        <v>New York</v>
      </c>
      <c r="R215" s="3" t="str">
        <f>PROPER('Sales_RAW(BEFORE)'!P222)</f>
        <v xml:space="preserve"> Initech Inc.   </v>
      </c>
      <c r="S215" s="3" t="str">
        <f>SUBSTITUTE(SUBSTITUTE('Sales_RAW(BEFORE)'!Q222,"EIN",""),":","")</f>
        <v>881090263</v>
      </c>
      <c r="T215" s="3" t="s">
        <v>1271</v>
      </c>
      <c r="U215" s="3" t="s">
        <v>3603</v>
      </c>
      <c r="V215" s="3" t="s">
        <v>3604</v>
      </c>
      <c r="W215" s="3" t="s">
        <v>3605</v>
      </c>
      <c r="X215" s="3" t="s">
        <v>173</v>
      </c>
      <c r="Y215" s="3" t="str">
        <f>PROPER('Sales_RAW(BEFORE)'!W222)</f>
        <v>Cash</v>
      </c>
      <c r="Z215" s="3" t="str">
        <f>PROPER('Sales_RAW(BEFORE)'!X222)</f>
        <v>Processing</v>
      </c>
      <c r="AA215" s="3" t="str" cm="1">
        <f t="array" ref="AA215">_xlfn.LET(
  _xlpm.val, TRIM(LOWER('Sales_RAW(BEFORE)'!Y222)),
  _xlfn.IFS(
    OR(_xlpm.val="yes", _xlpm.val="paid"), "Paid",
    OR(_xlpm.val="no", _xlpm.val="unpaid"), "Unpaid",
    OR(_xlpm.val="partial", _xlpm.val="partial paid"), "Partial",
    _xlpm.val="", "",
    TRUE, 'Sales_RAW(BEFORE)'!AY222
  )
)</f>
        <v>Unpaid</v>
      </c>
      <c r="AB215" s="3" t="s">
        <v>3606</v>
      </c>
      <c r="AC215" s="3" t="str">
        <f>PROPER('Sales_RAW(BEFORE)'!AA222)</f>
        <v>Store</v>
      </c>
      <c r="AD215" s="3" t="str">
        <f>SUBSTITUTE(SUBSTITUTE(SUBSTITUTE(SUBSTITUTE('Sales_RAW(BEFORE)'!AB222,"st",""),"q",""),"Q",""),"uarter","")</f>
        <v xml:space="preserve">1 </v>
      </c>
      <c r="AE215" s="3" t="str">
        <f>TEXT(IFERROR(DATEVALUE('Sales_RAW(BEFORE)'!AC222 &amp; " 1"), IFERROR(DATE(2025, 'Sales_RAW(BEFORE)'!AC222, 1), 'Sales_RAW(BEFORE)'!AC222)), "mmmm")</f>
        <v>October</v>
      </c>
      <c r="AF215" s="3">
        <f>_xlfn.LET(
  _xlpm.raw, TRIM(SUBSTITUTE('Sales_RAW(BEFORE)'!AD222, "'", "")),
  _xlpm.num, IFERROR(VALUE(_xlpm.raw), 0),
  IF(_xlpm.num &lt; 100, 2000 + _xlpm.num, _xlpm.num)
)</f>
        <v>2025</v>
      </c>
      <c r="AG215" s="3" t="str">
        <f>PROPER('Sales_RAW(BEFORE)'!AE222)</f>
        <v>Immediate</v>
      </c>
      <c r="AH215" s="3" cm="1">
        <f t="array" ref="AH215">_xlfn.LET(
  _xlpm.val, LOWER(TRIM('Sales_RAW(BEFORE)'!AF222)),
  _xlfn.IFS(
    OR(_xlpm.val="", _xlpm.val="null", _xlpm.val="N/A", _xlpm.val="-", _xlpm.val="#N/A"), 0,
    ISNUMBER('Sales_RAW(BEFORE)'!AF222), 'Sales_RAW(BEFORE)'!AF222,
    TRUE, IFERROR(_xlfn.NUMBERVALUE(_xlpm.val), 0)
  )
)</f>
        <v>84</v>
      </c>
      <c r="AI215" s="5">
        <f>IF(IFERROR(VALUE(SUBSTITUTE(SUBSTITUTE(TRIM('Sales_RAW(BEFORE)'!AG222), "%", ""), ",", ".")), 0) &gt; 1, IFERROR(VALUE(SUBSTITUTE(SUBSTITUTE(TRIM('Sales_RAW(BEFORE)'!AG222), "%", ""), ",", ".")), 0) / 100, IFERROR(VALUE(SUBSTITUTE(SUBSTITUTE(TRIM('Sales_RAW(BEFORE)'!AG222), "%", ""), ",", ".")), 0))</f>
        <v>0.08</v>
      </c>
      <c r="AJ215" s="6">
        <f t="shared" si="16"/>
        <v>3992.5792000000001</v>
      </c>
      <c r="AK215" s="6">
        <f t="shared" si="17"/>
        <v>53899.819199999998</v>
      </c>
      <c r="AL215" s="6">
        <f>IFERROR(VALUE(SUBSTITUTE(SUBSTITUTE(SUBSTITUTE('Sales_RAW(BEFORE)'!AJ222,"$",""),"USD",""),",",".")),0)</f>
        <v>3.85</v>
      </c>
      <c r="AM215" s="3" t="str">
        <f>SUBSTITUTE(SUBSTITUTE(PROPER('Sales_RAW(BEFORE)'!AK222), "Fed Ex", "FedEx"),"Fedex","FedEx")</f>
        <v>Ups</v>
      </c>
      <c r="AN215" s="3" t="s">
        <v>3608</v>
      </c>
      <c r="AO215" s="3" t="str">
        <f>SUBSTITUTE('Sales_RAW(BEFORE)'!AM222,"kg","")</f>
        <v>1,73</v>
      </c>
      <c r="AP215" s="3" t="str">
        <f>_xlfn.LET(
  _xlpm.raw, UPPER(TRIM('Sales_RAW(BEFORE)'!AN222)),
  _xlpm.clean, RIGHT(_xlpm.raw, 1),
  IF(OR(_xlpm.raw="", _xlpm.raw="null"), "N/A", _xlpm.clean)
)</f>
        <v>B</v>
      </c>
      <c r="AQ215" s="3">
        <v>433</v>
      </c>
      <c r="AR215" s="3" cm="1">
        <f t="array" ref="AR215">_xlfn.LET(
  _xlpm.raw, LOWER(TRIM('Sales_RAW(BEFORE)'!AP222)),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215" s="3"/>
      <c r="AT215" s="3"/>
      <c r="AU215" s="3"/>
      <c r="AV215" s="8">
        <f>IF(IFERROR(VALUE(SUBSTITUTE(SUBSTITUTE(TRIM('Sales_RAW(BEFORE)'!AT222), "%", ""), ",", ".")), 0) &gt; 1, IFERROR(VALUE(SUBSTITUTE(SUBSTITUTE(TRIM('Sales_RAW(BEFORE)'!AT222), "%", ""), ",", ".")), 0) / 100, IFERROR(VALUE(SUBSTITUTE(SUBSTITUTE(TRIM('Sales_RAW(BEFORE)'!AT222), "%", ""), ",", ".")), 0))</f>
        <v>0.15</v>
      </c>
      <c r="AW215" s="6">
        <f>BA215*(_xlfn.XLOOKUP(N215,Employees!$A$2:$A$26,Employees!$E$2:$E$26,2))</f>
        <v>1455.2951183999999</v>
      </c>
      <c r="AX215" s="3" t="str">
        <f>PROPER('Sales_RAW(BEFORE)'!AV222)</f>
        <v>James Williams</v>
      </c>
      <c r="AY215" s="3" t="str">
        <f t="shared" si="18"/>
        <v>James Williams</v>
      </c>
      <c r="AZ215" s="3"/>
      <c r="BA215" s="24">
        <f>AK215*(1-(_xlfn.XLOOKUP(G215, Exchange_Rates!$B$8:$F$8, Exchange_Rates!$B$9:$F$9, 0)+J215))</f>
        <v>48509.83728</v>
      </c>
      <c r="BB215" s="7" cm="1">
        <f t="array" ref="BB215">_xlfn.LET(
  _xlpm.raw_dt, SUBSTITUTE(TRIM(C215), ".", "/"),
  _xlpm.dt, IFERROR(DATEVALUE(_xlpm.raw_dt), C215),
  _xlpm.p_code, TRIM(E215),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47045</v>
      </c>
      <c r="BC215" s="25">
        <f t="shared" si="19"/>
        <v>7276.4755919999998</v>
      </c>
    </row>
    <row r="216" spans="1:55" ht="15.75" thickBot="1" x14ac:dyDescent="0.3">
      <c r="A216" s="3" t="s">
        <v>3611</v>
      </c>
      <c r="B216" s="10">
        <f>DATE(2025,9,28)</f>
        <v>45928</v>
      </c>
      <c r="C216" s="4">
        <v>45971</v>
      </c>
      <c r="D216" s="3" t="str">
        <f>"P-" &amp; TEXT(VALUE(SUBSTITUTE(SUBSTITUTE(SUBSTITUTE(UPPER(TRIM('Sales_RAW(BEFORE)'!D223)), "P", ""), "-", ""), "_", "")),"000")</f>
        <v>P-048</v>
      </c>
      <c r="E216" s="3" t="str">
        <f>VLOOKUP(D216,Product_List!$A$2:$B$61,2,FALSE)</f>
        <v>License Plus 48</v>
      </c>
      <c r="F216" s="3" t="str">
        <f>_xlfn.XLOOKUP(E216,Product_List!$B$2:$B$61,Product_List!$E$2:$E$61,2)</f>
        <v>BestParts</v>
      </c>
      <c r="G216" s="3" t="str">
        <f>VLOOKUP(E216,Product_List!$B$2:$C$61,2,FALSE)</f>
        <v>Software</v>
      </c>
      <c r="H216" s="3" t="str">
        <f>SUBSTITUTE(SUBSTITUTE('Sales_RAW(BEFORE)'!G223,"kom",""),".","")</f>
        <v>40</v>
      </c>
      <c r="I216" s="6">
        <f>VLOOKUP(E216,Product_List!$B$2:$D$61,3,FALSE)</f>
        <v>471.22</v>
      </c>
      <c r="J216" s="5">
        <f>IF(IFERROR(VALUE(SUBSTITUTE(SUBSTITUTE(TRIM('Sales_RAW(BEFORE)'!I223), "%", ""), ",", ".")), 0) &gt; 1, IFERROR(VALUE(SUBSTITUTE(SUBSTITUTE(TRIM('Sales_RAW(BEFORE)'!I223), "%", ""), ",", ".")), 0) / 100, IFERROR(VALUE(SUBSTITUTE(SUBSTITUTE(TRIM('Sales_RAW(BEFORE)'!I223), "%", ""), ",", ".")), 0))</f>
        <v>0.1</v>
      </c>
      <c r="K216" s="6">
        <f t="shared" si="15"/>
        <v>18848.800000000003</v>
      </c>
      <c r="L216" s="6" t="str" cm="1">
        <f t="array" ref="L216">_xlfn.LET(
  _xlpm.valuta, UPPER(TRIM('Sales_RAW(BEFORE)'!K223)),
  _xlfn.IFS(
    _xlpm.valuta = "", "",
    OR(_xlpm.valuta = "USD", _xlpm.valuta = "$"), "$",
    OR(_xlpm.valuta = "EUR", _xlpm.valuta = "€"), "€",
    TRUE, _xlpm.valuta
  )
)</f>
        <v>$</v>
      </c>
      <c r="M216" s="3" t="str">
        <f>"E" &amp; TEXT(VALUE(SUBSTITUTE(SUBSTITUTE(SUBSTITUTE(UPPER(TRIM('Sales_RAW(BEFORE)'!L223)), "EMP", ""), "E", ""), "-", "")),"000")</f>
        <v>E011</v>
      </c>
      <c r="N216" s="3" t="str">
        <f>_xlfn.XLOOKUP(M216,Employees!$D$2:$D$26,Employees!$A$2:$A$26)</f>
        <v>Michael Taylor</v>
      </c>
      <c r="O216" s="3" t="str">
        <f>_xlfn.XLOOKUP(N216,Employees!$A$2:$A$26,Employees!$C$2:$C$26,2)</f>
        <v>Wholesale</v>
      </c>
      <c r="P216" s="3" t="str">
        <f>PROPER('Sales_RAW(BEFORE)'!N223)</f>
        <v>North</v>
      </c>
      <c r="Q216" s="3" t="str">
        <f>VLOOKUP(N216,Employees!$A$2:$B$26,2,FALSE)</f>
        <v>Boston</v>
      </c>
      <c r="R216" s="3" t="str">
        <f>PROPER('Sales_RAW(BEFORE)'!P223)</f>
        <v>Wayne Inc.</v>
      </c>
      <c r="S216" s="3" t="str">
        <f>SUBSTITUTE(SUBSTITUTE('Sales_RAW(BEFORE)'!Q223,"EIN",""),":","")</f>
        <v xml:space="preserve"> 304939709</v>
      </c>
      <c r="T216" s="3" t="s">
        <v>1502</v>
      </c>
      <c r="U216" s="3" t="s">
        <v>3615</v>
      </c>
      <c r="V216" s="3" t="s">
        <v>3616</v>
      </c>
      <c r="W216" s="3" t="s">
        <v>3617</v>
      </c>
      <c r="X216" s="3" t="s">
        <v>173</v>
      </c>
      <c r="Y216" s="3" t="str">
        <f>PROPER('Sales_RAW(BEFORE)'!W223)</f>
        <v>Credit Card</v>
      </c>
      <c r="Z216" s="3" t="str">
        <f>PROPER('Sales_RAW(BEFORE)'!X223)</f>
        <v>Pending</v>
      </c>
      <c r="AA216" s="3" t="str" cm="1">
        <f t="array" ref="AA216">_xlfn.LET(
  _xlpm.val, TRIM(LOWER('Sales_RAW(BEFORE)'!Y223)),
  _xlfn.IFS(
    OR(_xlpm.val="yes", _xlpm.val="paid"), "Paid",
    OR(_xlpm.val="no", _xlpm.val="unpaid"), "Unpaid",
    OR(_xlpm.val="partial", _xlpm.val="partial paid"), "Partial",
    _xlpm.val="", "",
    TRUE, 'Sales_RAW(BEFORE)'!AY223
  )
)</f>
        <v>Unpaid</v>
      </c>
      <c r="AB216" s="3" t="s">
        <v>3618</v>
      </c>
      <c r="AC216" s="3" t="str">
        <f>PROPER('Sales_RAW(BEFORE)'!AA223)</f>
        <v>Store</v>
      </c>
      <c r="AD216" s="3" t="str">
        <f>SUBSTITUTE(SUBSTITUTE(SUBSTITUTE(SUBSTITUTE('Sales_RAW(BEFORE)'!AB223,"st",""),"q",""),"Q",""),"uarter","")</f>
        <v>1</v>
      </c>
      <c r="AE216" s="3" t="str">
        <f>TEXT(IFERROR(DATEVALUE('Sales_RAW(BEFORE)'!AC223 &amp; " 1"), IFERROR(DATE(2025, 'Sales_RAW(BEFORE)'!AC223, 1), 'Sales_RAW(BEFORE)'!AC223)), "mmmm")</f>
        <v>September</v>
      </c>
      <c r="AF216" s="3">
        <f>_xlfn.LET(
  _xlpm.raw, TRIM(SUBSTITUTE('Sales_RAW(BEFORE)'!AD223, "'", "")),
  _xlpm.num, IFERROR(VALUE(_xlpm.raw), 0),
  IF(_xlpm.num &lt; 100, 2000 + _xlpm.num, _xlpm.num)
)</f>
        <v>2025</v>
      </c>
      <c r="AG216" s="3" t="str">
        <f>PROPER('Sales_RAW(BEFORE)'!AE223)</f>
        <v>Net 60</v>
      </c>
      <c r="AH216" s="3" cm="1">
        <f t="array" ref="AH216">_xlfn.LET(
  _xlpm.val, LOWER(TRIM('Sales_RAW(BEFORE)'!AF223)),
  _xlfn.IFS(
    OR(_xlpm.val="", _xlpm.val="null", _xlpm.val="N/A", _xlpm.val="-", _xlpm.val="#N/A"), 0,
    ISNUMBER('Sales_RAW(BEFORE)'!AF223), 'Sales_RAW(BEFORE)'!AF223,
    TRUE, IFERROR(_xlfn.NUMBERVALUE(_xlpm.val), 0)
  )
)</f>
        <v>73</v>
      </c>
      <c r="AI216" s="5">
        <f>IF(IFERROR(VALUE(SUBSTITUTE(SUBSTITUTE(TRIM('Sales_RAW(BEFORE)'!AG223), "%", ""), ",", ".")), 0) &gt; 1, IFERROR(VALUE(SUBSTITUTE(SUBSTITUTE(TRIM('Sales_RAW(BEFORE)'!AG223), "%", ""), ",", ".")), 0) / 100, IFERROR(VALUE(SUBSTITUTE(SUBSTITUTE(TRIM('Sales_RAW(BEFORE)'!AG223), "%", ""), ",", ".")), 0))</f>
        <v>0.08</v>
      </c>
      <c r="AJ216" s="6">
        <f t="shared" si="16"/>
        <v>1507.9040000000002</v>
      </c>
      <c r="AK216" s="6">
        <f t="shared" si="17"/>
        <v>20356.704000000002</v>
      </c>
      <c r="AL216" s="6">
        <f>IFERROR(VALUE(SUBSTITUTE(SUBSTITUTE(SUBSTITUTE('Sales_RAW(BEFORE)'!AJ223,"$",""),"USD",""),",",".")),0)</f>
        <v>9.1199999999999992</v>
      </c>
      <c r="AM216" s="3" t="str">
        <f>SUBSTITUTE(SUBSTITUTE(PROPER('Sales_RAW(BEFORE)'!AK223), "Fed Ex", "FedEx"),"Fedex","FedEx")</f>
        <v>Dhl</v>
      </c>
      <c r="AN216" s="3" t="s">
        <v>3620</v>
      </c>
      <c r="AO216" s="3" t="str">
        <f>SUBSTITUTE('Sales_RAW(BEFORE)'!AM223,"kg","")</f>
        <v>17,26</v>
      </c>
      <c r="AP216" s="3" t="str">
        <f>_xlfn.LET(
  _xlpm.raw, UPPER(TRIM('Sales_RAW(BEFORE)'!AN223)),
  _xlpm.clean, RIGHT(_xlpm.raw, 1),
  IF(OR(_xlpm.raw="", _xlpm.raw="null"), "N/A", _xlpm.clean)
)</f>
        <v>B</v>
      </c>
      <c r="AQ216" s="3">
        <v>43</v>
      </c>
      <c r="AR216" s="3" cm="1">
        <f t="array" ref="AR216">_xlfn.LET(
  _xlpm.raw, LOWER(TRIM('Sales_RAW(BEFORE)'!AP223)),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216" s="3"/>
      <c r="AT216" s="3"/>
      <c r="AU216" s="3"/>
      <c r="AV216" s="8">
        <f>IF(IFERROR(VALUE(SUBSTITUTE(SUBSTITUTE(TRIM('Sales_RAW(BEFORE)'!AT223), "%", ""), ",", ".")), 0) &gt; 1, IFERROR(VALUE(SUBSTITUTE(SUBSTITUTE(TRIM('Sales_RAW(BEFORE)'!AT223), "%", ""), ",", ".")), 0) / 100, IFERROR(VALUE(SUBSTITUTE(SUBSTITUTE(TRIM('Sales_RAW(BEFORE)'!AT223), "%", ""), ",", ".")), 0))</f>
        <v>0.25</v>
      </c>
      <c r="AW216" s="6">
        <f>BA216*(_xlfn.XLOOKUP(N216,Employees!$A$2:$A$26,Employees!$E$2:$E$26,2))</f>
        <v>305.35056000000003</v>
      </c>
      <c r="AX216" s="3" t="str">
        <f>PROPER('Sales_RAW(BEFORE)'!AV223)</f>
        <v>Daniel Taylor</v>
      </c>
      <c r="AY216" s="3" t="str">
        <f t="shared" si="18"/>
        <v>Daniel Taylor</v>
      </c>
      <c r="AZ216" s="3"/>
      <c r="BA216" s="24">
        <f>AK216*(1-(_xlfn.XLOOKUP(G216, Exchange_Rates!$B$8:$F$8, Exchange_Rates!$B$9:$F$9, 0)+J216))</f>
        <v>15267.528000000002</v>
      </c>
      <c r="BB216" s="7" cm="1">
        <f t="array" ref="BB216">_xlfn.LET(
  _xlpm.raw_dt, SUBSTITUTE(TRIM(C216), ".", "/"),
  _xlpm.dt, IFERROR(DATEVALUE(_xlpm.raw_dt), C216),
  _xlpm.p_code, TRIM(E216),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46336</v>
      </c>
      <c r="BC216" s="25">
        <f t="shared" si="19"/>
        <v>3816.8820000000005</v>
      </c>
    </row>
    <row r="217" spans="1:55" ht="15.75" thickBot="1" x14ac:dyDescent="0.3">
      <c r="A217" s="3" t="s">
        <v>3622</v>
      </c>
      <c r="B217" s="10">
        <v>46061</v>
      </c>
      <c r="C217" s="4">
        <v>46070</v>
      </c>
      <c r="D217" s="3" t="str">
        <f>"P-" &amp; TEXT(VALUE(SUBSTITUTE(SUBSTITUTE(SUBSTITUTE(UPPER(TRIM('Sales_RAW(BEFORE)'!D224)), "P", ""), "-", ""), "_", "")),"000")</f>
        <v>P-059</v>
      </c>
      <c r="E217" s="3" t="str">
        <f>VLOOKUP(D217,Product_List!$A$2:$B$61,2,FALSE)</f>
        <v>Keyboard Max 59</v>
      </c>
      <c r="F217" s="3" t="str">
        <f>_xlfn.XLOOKUP(E217,Product_List!$B$2:$B$61,Product_List!$E$2:$E$61,2)</f>
        <v>OfficeHub</v>
      </c>
      <c r="G217" s="3" t="str">
        <f>VLOOKUP(E217,Product_List!$B$2:$C$61,2,FALSE)</f>
        <v>Furniture</v>
      </c>
      <c r="H217" s="3" t="str">
        <f>SUBSTITUTE(SUBSTITUTE('Sales_RAW(BEFORE)'!G224,"kom",""),".","")</f>
        <v xml:space="preserve">1 </v>
      </c>
      <c r="I217" s="6">
        <f>VLOOKUP(E217,Product_List!$B$2:$D$61,3,FALSE)</f>
        <v>673.61</v>
      </c>
      <c r="J217" s="5">
        <f>IF(IFERROR(VALUE(SUBSTITUTE(SUBSTITUTE(TRIM('Sales_RAW(BEFORE)'!I224), "%", ""), ",", ".")), 0) &gt; 1, IFERROR(VALUE(SUBSTITUTE(SUBSTITUTE(TRIM('Sales_RAW(BEFORE)'!I224), "%", ""), ",", ".")), 0) / 100, IFERROR(VALUE(SUBSTITUTE(SUBSTITUTE(TRIM('Sales_RAW(BEFORE)'!I224), "%", ""), ",", ".")), 0))</f>
        <v>0</v>
      </c>
      <c r="K217" s="6">
        <f t="shared" si="15"/>
        <v>673.61</v>
      </c>
      <c r="L217" s="6" t="str" cm="1">
        <f t="array" ref="L217">_xlfn.LET(
  _xlpm.valuta, UPPER(TRIM('Sales_RAW(BEFORE)'!K224)),
  _xlfn.IFS(
    _xlpm.valuta = "", "",
    OR(_xlpm.valuta = "USD", _xlpm.valuta = "$"), "$",
    OR(_xlpm.valuta = "EUR", _xlpm.valuta = "€"), "€",
    TRUE, _xlpm.valuta
  )
)</f>
        <v>$</v>
      </c>
      <c r="M217" s="3" t="str">
        <f>"E" &amp; TEXT(VALUE(SUBSTITUTE(SUBSTITUTE(SUBSTITUTE(UPPER(TRIM('Sales_RAW(BEFORE)'!L224)), "EMP", ""), "E", ""), "-", "")),"000")</f>
        <v>E025</v>
      </c>
      <c r="N217" s="3" t="str">
        <f>_xlfn.XLOOKUP(M217,Employees!$D$2:$D$26,Employees!$A$2:$A$26)</f>
        <v>Chris Johnson</v>
      </c>
      <c r="O217" s="3" t="str">
        <f>_xlfn.XLOOKUP(N217,Employees!$A$2:$A$26,Employees!$C$2:$C$26,2)</f>
        <v>Sales</v>
      </c>
      <c r="P217" s="3" t="str">
        <f>PROPER('Sales_RAW(BEFORE)'!N224)</f>
        <v>East</v>
      </c>
      <c r="Q217" s="3" t="str">
        <f>VLOOKUP(N217,Employees!$A$2:$B$26,2,FALSE)</f>
        <v>Boston</v>
      </c>
      <c r="R217" s="3" t="str">
        <f>PROPER('Sales_RAW(BEFORE)'!P224)</f>
        <v>Initech Llc</v>
      </c>
      <c r="S217" s="3" t="str">
        <f>SUBSTITUTE(SUBSTITUTE('Sales_RAW(BEFORE)'!Q224,"EIN",""),":","")</f>
        <v>816916203</v>
      </c>
      <c r="T217" s="3" t="s">
        <v>1292</v>
      </c>
      <c r="U217" s="3" t="s">
        <v>3628</v>
      </c>
      <c r="V217" s="3" t="s">
        <v>3629</v>
      </c>
      <c r="W217" s="3" t="s">
        <v>3630</v>
      </c>
      <c r="X217" s="3" t="s">
        <v>173</v>
      </c>
      <c r="Y217" s="3" t="str">
        <f>PROPER('Sales_RAW(BEFORE)'!W224)</f>
        <v>Wire Transfer</v>
      </c>
      <c r="Z217" s="3" t="str">
        <f>PROPER('Sales_RAW(BEFORE)'!X224)</f>
        <v>Pending</v>
      </c>
      <c r="AA217" s="3" t="str" cm="1">
        <f t="array" ref="AA217">_xlfn.LET(
  _xlpm.val, TRIM(LOWER('Sales_RAW(BEFORE)'!Y224)),
  _xlfn.IFS(
    OR(_xlpm.val="yes", _xlpm.val="paid"), "Paid",
    OR(_xlpm.val="no", _xlpm.val="unpaid"), "Unpaid",
    OR(_xlpm.val="partial", _xlpm.val="partial paid"), "Partial",
    _xlpm.val="", "",
    TRUE, 'Sales_RAW(BEFORE)'!AY224
  )
)</f>
        <v>Paid</v>
      </c>
      <c r="AB217" s="3" t="s">
        <v>3631</v>
      </c>
      <c r="AC217" s="3" t="str">
        <f>PROPER('Sales_RAW(BEFORE)'!AA224)</f>
        <v>Web</v>
      </c>
      <c r="AD217" s="3" t="str">
        <f>SUBSTITUTE(SUBSTITUTE(SUBSTITUTE(SUBSTITUTE('Sales_RAW(BEFORE)'!AB224,"st",""),"q",""),"Q",""),"uarter","")</f>
        <v>1</v>
      </c>
      <c r="AE217" s="3" t="str">
        <f>TEXT(IFERROR(DATEVALUE('Sales_RAW(BEFORE)'!AC224 &amp; " 1"), IFERROR(DATE(2025, 'Sales_RAW(BEFORE)'!AC224, 1), 'Sales_RAW(BEFORE)'!AC224)), "mmmm")</f>
        <v>February</v>
      </c>
      <c r="AF217" s="3">
        <f>_xlfn.LET(
  _xlpm.raw, TRIM(SUBSTITUTE('Sales_RAW(BEFORE)'!AD224, "'", "")),
  _xlpm.num, IFERROR(VALUE(_xlpm.raw), 0),
  IF(_xlpm.num &lt; 100, 2000 + _xlpm.num, _xlpm.num)
)</f>
        <v>2026</v>
      </c>
      <c r="AG217" s="3" t="str">
        <f>PROPER('Sales_RAW(BEFORE)'!AE224)</f>
        <v>15</v>
      </c>
      <c r="AH217" s="3" cm="1">
        <f t="array" ref="AH217">_xlfn.LET(
  _xlpm.val, LOWER(TRIM('Sales_RAW(BEFORE)'!AF224)),
  _xlfn.IFS(
    OR(_xlpm.val="", _xlpm.val="null", _xlpm.val="N/A", _xlpm.val="-", _xlpm.val="#N/A"), 0,
    ISNUMBER('Sales_RAW(BEFORE)'!AF224), 'Sales_RAW(BEFORE)'!AF224,
    TRUE, IFERROR(_xlfn.NUMBERVALUE(_xlpm.val), 0)
  )
)</f>
        <v>88</v>
      </c>
      <c r="AI217" s="5">
        <f>IF(IFERROR(VALUE(SUBSTITUTE(SUBSTITUTE(TRIM('Sales_RAW(BEFORE)'!AG224), "%", ""), ",", ".")), 0) &gt; 1, IFERROR(VALUE(SUBSTITUTE(SUBSTITUTE(TRIM('Sales_RAW(BEFORE)'!AG224), "%", ""), ",", ".")), 0) / 100, IFERROR(VALUE(SUBSTITUTE(SUBSTITUTE(TRIM('Sales_RAW(BEFORE)'!AG224), "%", ""), ",", ".")), 0))</f>
        <v>0.08</v>
      </c>
      <c r="AJ217" s="6">
        <f t="shared" si="16"/>
        <v>53.888800000000003</v>
      </c>
      <c r="AK217" s="6">
        <f t="shared" si="17"/>
        <v>727.49880000000007</v>
      </c>
      <c r="AL217" s="6">
        <f>IFERROR(VALUE(SUBSTITUTE(SUBSTITUTE(SUBSTITUTE('Sales_RAW(BEFORE)'!AJ224,"$",""),"USD",""),",",".")),0)</f>
        <v>17.690000000000001</v>
      </c>
      <c r="AM217" s="3" t="str">
        <f>SUBSTITUTE(SUBSTITUTE(PROPER('Sales_RAW(BEFORE)'!AK224), "Fed Ex", "FedEx"),"Fedex","FedEx")</f>
        <v>FedEx</v>
      </c>
      <c r="AN217" s="3" t="s">
        <v>3632</v>
      </c>
      <c r="AO217" s="3" t="str">
        <f>SUBSTITUTE('Sales_RAW(BEFORE)'!AM224,"kg","")</f>
        <v xml:space="preserve">15.8 </v>
      </c>
      <c r="AP217" s="3" t="str">
        <f>_xlfn.LET(
  _xlpm.raw, UPPER(TRIM('Sales_RAW(BEFORE)'!AN224)),
  _xlpm.clean, RIGHT(_xlpm.raw, 1),
  IF(OR(_xlpm.raw="", _xlpm.raw="null"), "N/A", _xlpm.clean)
)</f>
        <v>B</v>
      </c>
      <c r="AQ217" s="3">
        <v>461</v>
      </c>
      <c r="AR217" s="3" cm="1">
        <f t="array" ref="AR217">_xlfn.LET(
  _xlpm.raw, LOWER(TRIM('Sales_RAW(BEFORE)'!AP224)),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217" s="3"/>
      <c r="AT217" s="3"/>
      <c r="AU217" s="3"/>
      <c r="AV217" s="8">
        <f>IF(IFERROR(VALUE(SUBSTITUTE(SUBSTITUTE(TRIM('Sales_RAW(BEFORE)'!AT224), "%", ""), ",", ".")), 0) &gt; 1, IFERROR(VALUE(SUBSTITUTE(SUBSTITUTE(TRIM('Sales_RAW(BEFORE)'!AT224), "%", ""), ",", ".")), 0) / 100, IFERROR(VALUE(SUBSTITUTE(SUBSTITUTE(TRIM('Sales_RAW(BEFORE)'!AT224), "%", ""), ",", ".")), 0))</f>
        <v>0.18</v>
      </c>
      <c r="AW217" s="6">
        <f>BA217*(_xlfn.XLOOKUP(N217,Employees!$A$2:$A$26,Employees!$E$2:$E$26,2))</f>
        <v>32.737446000000006</v>
      </c>
      <c r="AX217" s="3" t="str">
        <f>PROPER('Sales_RAW(BEFORE)'!AV224)</f>
        <v>Ryan Johnson</v>
      </c>
      <c r="AY217" s="3" t="str">
        <f t="shared" si="18"/>
        <v>Ryan Johnson</v>
      </c>
      <c r="AZ217" s="3"/>
      <c r="BA217" s="24">
        <f>AK217*(1-(_xlfn.XLOOKUP(G217, Exchange_Rates!$B$8:$F$8, Exchange_Rates!$B$9:$F$9, 0)+J217))</f>
        <v>654.74892000000011</v>
      </c>
      <c r="BB217" s="7" cm="1">
        <f t="array" ref="BB217">_xlfn.LET(
  _xlpm.raw_dt, SUBSTITUTE(TRIM(C217), ".", "/"),
  _xlpm.dt, IFERROR(DATEVALUE(_xlpm.raw_dt), C217),
  _xlpm.p_code, TRIM(E217),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46800</v>
      </c>
      <c r="BC217" s="25">
        <f t="shared" si="19"/>
        <v>117.85480560000002</v>
      </c>
    </row>
    <row r="218" spans="1:55" ht="15.75" thickBot="1" x14ac:dyDescent="0.3">
      <c r="A218" s="3" t="s">
        <v>966</v>
      </c>
      <c r="B218" s="10">
        <v>46144</v>
      </c>
      <c r="C218" s="4">
        <f>DATE(2026,5,11)</f>
        <v>46153</v>
      </c>
      <c r="D218" s="3" t="str">
        <f>"P-" &amp; TEXT(VALUE(SUBSTITUTE(SUBSTITUTE(SUBSTITUTE(UPPER(TRIM('Sales_RAW(BEFORE)'!D225)), "P", ""), "-", ""), "_", "")),"000")</f>
        <v>P-051</v>
      </c>
      <c r="E218" s="3" t="str">
        <f>VLOOKUP(D218,Product_List!$A$2:$B$61,2,FALSE)</f>
        <v>Cable Basic 51</v>
      </c>
      <c r="F218" s="3" t="str">
        <f>_xlfn.XLOOKUP(E218,Product_List!$B$2:$B$61,Product_List!$E$2:$E$61,2)</f>
        <v>TechSupply Co</v>
      </c>
      <c r="G218" s="3" t="str">
        <f>VLOOKUP(E218,Product_List!$B$2:$C$61,2,FALSE)</f>
        <v>Office</v>
      </c>
      <c r="H218" s="3" t="str">
        <f>SUBSTITUTE(SUBSTITUTE('Sales_RAW(BEFORE)'!G225,"kom",""),".","")</f>
        <v>3</v>
      </c>
      <c r="I218" s="6">
        <f>VLOOKUP(E218,Product_List!$B$2:$D$61,3,FALSE)</f>
        <v>1036.6500000000001</v>
      </c>
      <c r="J218" s="5">
        <f>IF(IFERROR(VALUE(SUBSTITUTE(SUBSTITUTE(TRIM('Sales_RAW(BEFORE)'!I225), "%", ""), ",", ".")), 0) &gt; 1, IFERROR(VALUE(SUBSTITUTE(SUBSTITUTE(TRIM('Sales_RAW(BEFORE)'!I225), "%", ""), ",", ".")), 0) / 100, IFERROR(VALUE(SUBSTITUTE(SUBSTITUTE(TRIM('Sales_RAW(BEFORE)'!I225), "%", ""), ",", ".")), 0))</f>
        <v>0.05</v>
      </c>
      <c r="K218" s="6">
        <f t="shared" si="15"/>
        <v>3109.9500000000003</v>
      </c>
      <c r="L218" s="6" t="str" cm="1">
        <f t="array" ref="L218">_xlfn.LET(
  _xlpm.valuta, UPPER(TRIM('Sales_RAW(BEFORE)'!K225)),
  _xlfn.IFS(
    _xlpm.valuta = "", "",
    OR(_xlpm.valuta = "USD", _xlpm.valuta = "$"), "$",
    OR(_xlpm.valuta = "EUR", _xlpm.valuta = "€"), "€",
    TRUE, _xlpm.valuta
  )
)</f>
        <v>$</v>
      </c>
      <c r="M218" s="3" t="str">
        <f>"E" &amp; TEXT(VALUE(SUBSTITUTE(SUBSTITUTE(SUBSTITUTE(UPPER(TRIM('Sales_RAW(BEFORE)'!L225)), "EMP", ""), "E", ""), "-", "")),"000")</f>
        <v>E008</v>
      </c>
      <c r="N218" s="3" t="str">
        <f>_xlfn.XLOOKUP(M218,Employees!$D$2:$D$26,Employees!$A$2:$A$26)</f>
        <v>Michael Williams</v>
      </c>
      <c r="O218" s="3" t="str">
        <f>_xlfn.XLOOKUP(N218,Employees!$A$2:$A$26,Employees!$C$2:$C$26,2)</f>
        <v>Wholesale</v>
      </c>
      <c r="P218" s="3" t="str">
        <f>PROPER('Sales_RAW(BEFORE)'!N225)</f>
        <v>South</v>
      </c>
      <c r="Q218" s="3" t="str">
        <f>VLOOKUP(N218,Employees!$A$2:$B$26,2,FALSE)</f>
        <v>New York</v>
      </c>
      <c r="R218" s="3" t="str">
        <f>PROPER('Sales_RAW(BEFORE)'!P225)</f>
        <v xml:space="preserve">Globex Llc   </v>
      </c>
      <c r="S218" s="3" t="str">
        <f>SUBSTITUTE(SUBSTITUTE('Sales_RAW(BEFORE)'!Q225,"EIN",""),":","")</f>
        <v xml:space="preserve"> 676954297</v>
      </c>
      <c r="T218" s="3" t="s">
        <v>976</v>
      </c>
      <c r="U218" s="3" t="s">
        <v>977</v>
      </c>
      <c r="V218" s="3" t="s">
        <v>978</v>
      </c>
      <c r="W218" s="3" t="s">
        <v>979</v>
      </c>
      <c r="X218" s="3" t="s">
        <v>173</v>
      </c>
      <c r="Y218" s="3" t="str">
        <f>PROPER('Sales_RAW(BEFORE)'!W225)</f>
        <v>Wire</v>
      </c>
      <c r="Z218" s="3" t="str">
        <f>PROPER('Sales_RAW(BEFORE)'!X225)</f>
        <v>Delivered</v>
      </c>
      <c r="AA218" s="3" t="str" cm="1">
        <f t="array" ref="AA218">_xlfn.LET(
  _xlpm.val, TRIM(LOWER('Sales_RAW(BEFORE)'!Y225)),
  _xlfn.IFS(
    OR(_xlpm.val="yes", _xlpm.val="paid"), "Paid",
    OR(_xlpm.val="no", _xlpm.val="unpaid"), "Unpaid",
    OR(_xlpm.val="partial", _xlpm.val="partial paid"), "Partial",
    _xlpm.val="", "",
    TRUE, 'Sales_RAW(BEFORE)'!AY225
  )
)</f>
        <v>Partial</v>
      </c>
      <c r="AB218" s="3" t="s">
        <v>980</v>
      </c>
      <c r="AC218" s="3" t="str">
        <f>PROPER('Sales_RAW(BEFORE)'!AA225)</f>
        <v>Online</v>
      </c>
      <c r="AD218" s="3" t="str">
        <f>SUBSTITUTE(SUBSTITUTE(SUBSTITUTE(SUBSTITUTE('Sales_RAW(BEFORE)'!AB225,"st",""),"q",""),"Q",""),"uarter","")</f>
        <v>4</v>
      </c>
      <c r="AE218" s="3" t="str">
        <f>TEXT(IFERROR(DATEVALUE('Sales_RAW(BEFORE)'!AC225 &amp; " 1"), IFERROR(DATE(2025, 'Sales_RAW(BEFORE)'!AC225, 1), 'Sales_RAW(BEFORE)'!AC225)), "mmmm")</f>
        <v>May</v>
      </c>
      <c r="AF218" s="3">
        <f>_xlfn.LET(
  _xlpm.raw, TRIM(SUBSTITUTE('Sales_RAW(BEFORE)'!AD225, "'", "")),
  _xlpm.num, IFERROR(VALUE(_xlpm.raw), 0),
  IF(_xlpm.num &lt; 100, 2000 + _xlpm.num, _xlpm.num)
)</f>
        <v>2026</v>
      </c>
      <c r="AG218" s="3" t="str">
        <f>PROPER('Sales_RAW(BEFORE)'!AE225)</f>
        <v>Net 60</v>
      </c>
      <c r="AH218" s="3" cm="1">
        <f t="array" ref="AH218">_xlfn.LET(
  _xlpm.val, LOWER(TRIM('Sales_RAW(BEFORE)'!AF225)),
  _xlfn.IFS(
    OR(_xlpm.val="", _xlpm.val="null", _xlpm.val="N/A", _xlpm.val="-", _xlpm.val="#N/A"), 0,
    ISNUMBER('Sales_RAW(BEFORE)'!AF225), 'Sales_RAW(BEFORE)'!AF225,
    TRUE, IFERROR(_xlfn.NUMBERVALUE(_xlpm.val), 0)
  )
)</f>
        <v>43</v>
      </c>
      <c r="AI218" s="5">
        <f>IF(IFERROR(VALUE(SUBSTITUTE(SUBSTITUTE(TRIM('Sales_RAW(BEFORE)'!AG225), "%", ""), ",", ".")), 0) &gt; 1, IFERROR(VALUE(SUBSTITUTE(SUBSTITUTE(TRIM('Sales_RAW(BEFORE)'!AG225), "%", ""), ",", ".")), 0) / 100, IFERROR(VALUE(SUBSTITUTE(SUBSTITUTE(TRIM('Sales_RAW(BEFORE)'!AG225), "%", ""), ",", ".")), 0))</f>
        <v>0.08</v>
      </c>
      <c r="AJ218" s="6">
        <f t="shared" si="16"/>
        <v>248.79600000000002</v>
      </c>
      <c r="AK218" s="6">
        <f t="shared" si="17"/>
        <v>3358.7460000000001</v>
      </c>
      <c r="AL218" s="6">
        <f>IFERROR(VALUE(SUBSTITUTE(SUBSTITUTE(SUBSTITUTE('Sales_RAW(BEFORE)'!AJ225,"$",""),"USD",""),",",".")),0)</f>
        <v>5.85</v>
      </c>
      <c r="AM218" s="3" t="str">
        <f>SUBSTITUTE(SUBSTITUTE(PROPER('Sales_RAW(BEFORE)'!AK225), "Fed Ex", "FedEx"),"Fedex","FedEx")</f>
        <v>FedEx</v>
      </c>
      <c r="AN218" s="3" t="s">
        <v>982</v>
      </c>
      <c r="AO218" s="3" t="str">
        <f>SUBSTITUTE('Sales_RAW(BEFORE)'!AM225,"kg","")</f>
        <v>16.22</v>
      </c>
      <c r="AP218" s="3" t="str">
        <f>_xlfn.LET(
  _xlpm.raw, UPPER(TRIM('Sales_RAW(BEFORE)'!AN225)),
  _xlpm.clean, RIGHT(_xlpm.raw, 1),
  IF(OR(_xlpm.raw="", _xlpm.raw="null"), "N/A", _xlpm.clean)
)</f>
        <v>B</v>
      </c>
      <c r="AQ218" s="3">
        <v>300</v>
      </c>
      <c r="AR218" s="3" cm="1">
        <f t="array" ref="AR218">_xlfn.LET(
  _xlpm.raw, LOWER(TRIM('Sales_RAW(BEFORE)'!AP225)),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218" s="3"/>
      <c r="AT218" s="3"/>
      <c r="AU218" s="3"/>
      <c r="AV218" s="8">
        <f>IF(IFERROR(VALUE(SUBSTITUTE(SUBSTITUTE(TRIM('Sales_RAW(BEFORE)'!AT225), "%", ""), ",", ".")), 0) &gt; 1, IFERROR(VALUE(SUBSTITUTE(SUBSTITUTE(TRIM('Sales_RAW(BEFORE)'!AT225), "%", ""), ",", ".")), 0) / 100, IFERROR(VALUE(SUBSTITUTE(SUBSTITUTE(TRIM('Sales_RAW(BEFORE)'!AT225), "%", ""), ",", ".")), 0))</f>
        <v>0.3</v>
      </c>
      <c r="AW218" s="6">
        <f>BA218*(_xlfn.XLOOKUP(N218,Employees!$A$2:$A$26,Employees!$E$2:$E$26,2))</f>
        <v>142.74670499999999</v>
      </c>
      <c r="AX218" s="3" t="str">
        <f>PROPER('Sales_RAW(BEFORE)'!AV225)</f>
        <v>Sarah Johnson</v>
      </c>
      <c r="AY218" s="3" t="str">
        <f t="shared" si="18"/>
        <v>Sarah Johnson</v>
      </c>
      <c r="AZ218" s="3"/>
      <c r="BA218" s="24">
        <f>AK218*(1-(_xlfn.XLOOKUP(G218, Exchange_Rates!$B$8:$F$8, Exchange_Rates!$B$9:$F$9, 0)+J218))</f>
        <v>2854.9340999999999</v>
      </c>
      <c r="BB218" s="7" cm="1">
        <f t="array" ref="BB218">_xlfn.LET(
  _xlpm.raw_dt, SUBSTITUTE(TRIM(C218), ".", "/"),
  _xlpm.dt, IFERROR(DATEVALUE(_xlpm.raw_dt), C218),
  _xlpm.p_code, TRIM(E218),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46884</v>
      </c>
      <c r="BC218" s="25">
        <f t="shared" si="19"/>
        <v>856.48023000000001</v>
      </c>
    </row>
    <row r="219" spans="1:55" ht="15.75" thickBot="1" x14ac:dyDescent="0.3">
      <c r="A219" s="3" t="s">
        <v>3636</v>
      </c>
      <c r="B219" s="10">
        <v>46041</v>
      </c>
      <c r="C219" s="4">
        <v>46055</v>
      </c>
      <c r="D219" s="3" t="str">
        <f>"P-" &amp; TEXT(VALUE(SUBSTITUTE(SUBSTITUTE(SUBSTITUTE(UPPER(TRIM('Sales_RAW(BEFORE)'!D226)), "P", ""), "-", ""), "_", "")),"000")</f>
        <v>P-060</v>
      </c>
      <c r="E219" s="3" t="str">
        <f>VLOOKUP(D219,Product_List!$A$2:$B$61,2,FALSE)</f>
        <v>Desk Basic 60</v>
      </c>
      <c r="F219" s="3" t="str">
        <f>_xlfn.XLOOKUP(E219,Product_List!$B$2:$B$61,Product_List!$E$2:$E$61,2)</f>
        <v>Global Distrib</v>
      </c>
      <c r="G219" s="3" t="str">
        <f>VLOOKUP(E219,Product_List!$B$2:$C$61,2,FALSE)</f>
        <v>Electronics</v>
      </c>
      <c r="H219" s="3" t="str">
        <f>SUBSTITUTE(SUBSTITUTE('Sales_RAW(BEFORE)'!G226,"kom",""),".","")</f>
        <v>23</v>
      </c>
      <c r="I219" s="6">
        <f>VLOOKUP(E219,Product_List!$B$2:$D$61,3,FALSE)</f>
        <v>334.59</v>
      </c>
      <c r="J219" s="5">
        <f>IF(IFERROR(VALUE(SUBSTITUTE(SUBSTITUTE(TRIM('Sales_RAW(BEFORE)'!I226), "%", ""), ",", ".")), 0) &gt; 1, IFERROR(VALUE(SUBSTITUTE(SUBSTITUTE(TRIM('Sales_RAW(BEFORE)'!I226), "%", ""), ",", ".")), 0) / 100, IFERROR(VALUE(SUBSTITUTE(SUBSTITUTE(TRIM('Sales_RAW(BEFORE)'!I226), "%", ""), ",", ".")), 0))</f>
        <v>0</v>
      </c>
      <c r="K219" s="6">
        <f t="shared" si="15"/>
        <v>7695.57</v>
      </c>
      <c r="L219" s="6" t="str" cm="1">
        <f t="array" ref="L219">_xlfn.LET(
  _xlpm.valuta, UPPER(TRIM('Sales_RAW(BEFORE)'!K226)),
  _xlfn.IFS(
    _xlpm.valuta = "", "",
    OR(_xlpm.valuta = "USD", _xlpm.valuta = "$"), "$",
    OR(_xlpm.valuta = "EUR", _xlpm.valuta = "€"), "€",
    TRUE, _xlpm.valuta
  )
)</f>
        <v>$</v>
      </c>
      <c r="M219" s="3" t="str">
        <f>"E" &amp; TEXT(VALUE(SUBSTITUTE(SUBSTITUTE(SUBSTITUTE(UPPER(TRIM('Sales_RAW(BEFORE)'!L226)), "EMP", ""), "E", ""), "-", "")),"000")</f>
        <v>E012</v>
      </c>
      <c r="N219" s="3" t="str">
        <f>_xlfn.XLOOKUP(M219,Employees!$D$2:$D$26,Employees!$A$2:$A$26)</f>
        <v>John Smith</v>
      </c>
      <c r="O219" s="3" t="str">
        <f>_xlfn.XLOOKUP(N219,Employees!$A$2:$A$26,Employees!$C$2:$C$26,2)</f>
        <v>Sales</v>
      </c>
      <c r="P219" s="3" t="str">
        <f>PROPER('Sales_RAW(BEFORE)'!N226)</f>
        <v>West</v>
      </c>
      <c r="Q219" s="3" t="str">
        <f>VLOOKUP(N219,Employees!$A$2:$B$26,2,FALSE)</f>
        <v>Miami</v>
      </c>
      <c r="R219" s="3" t="str">
        <f>PROPER('Sales_RAW(BEFORE)'!P226)</f>
        <v>Acme Inc</v>
      </c>
      <c r="S219" s="3" t="str">
        <f>SUBSTITUTE(SUBSTITUTE('Sales_RAW(BEFORE)'!Q226,"EIN",""),":","")</f>
        <v xml:space="preserve"> 388567450</v>
      </c>
      <c r="T219" s="3" t="s">
        <v>564</v>
      </c>
      <c r="U219" s="3" t="s">
        <v>3638</v>
      </c>
      <c r="V219" s="3" t="s">
        <v>3639</v>
      </c>
      <c r="W219" s="3" t="s">
        <v>3640</v>
      </c>
      <c r="X219" s="3" t="s">
        <v>173</v>
      </c>
      <c r="Y219" s="3" t="str">
        <f>PROPER('Sales_RAW(BEFORE)'!W226)</f>
        <v>Wire</v>
      </c>
      <c r="Z219" s="3" t="str">
        <f>PROPER('Sales_RAW(BEFORE)'!X226)</f>
        <v>Processing</v>
      </c>
      <c r="AA219" s="3" t="str" cm="1">
        <f t="array" ref="AA219">_xlfn.LET(
  _xlpm.val, TRIM(LOWER('Sales_RAW(BEFORE)'!Y226)),
  _xlfn.IFS(
    OR(_xlpm.val="yes", _xlpm.val="paid"), "Paid",
    OR(_xlpm.val="no", _xlpm.val="unpaid"), "Unpaid",
    OR(_xlpm.val="partial", _xlpm.val="partial paid"), "Partial",
    _xlpm.val="", "",
    TRUE, 'Sales_RAW(BEFORE)'!AY226
  )
)</f>
        <v>Paid</v>
      </c>
      <c r="AB219" s="3" t="s">
        <v>3641</v>
      </c>
      <c r="AC219" s="3" t="str">
        <f>PROPER('Sales_RAW(BEFORE)'!AA226)</f>
        <v>Phone</v>
      </c>
      <c r="AD219" s="3" t="str">
        <f>SUBSTITUTE(SUBSTITUTE(SUBSTITUTE(SUBSTITUTE('Sales_RAW(BEFORE)'!AB226,"st",""),"q",""),"Q",""),"uarter","")</f>
        <v>2</v>
      </c>
      <c r="AE219" s="3" t="str">
        <f>TEXT(IFERROR(DATEVALUE('Sales_RAW(BEFORE)'!AC226 &amp; " 1"), IFERROR(DATE(2025, 'Sales_RAW(BEFORE)'!AC226, 1), 'Sales_RAW(BEFORE)'!AC226)), "mmmm")</f>
        <v>January</v>
      </c>
      <c r="AF219" s="3">
        <f>_xlfn.LET(
  _xlpm.raw, TRIM(SUBSTITUTE('Sales_RAW(BEFORE)'!AD226, "'", "")),
  _xlpm.num, IFERROR(VALUE(_xlpm.raw), 0),
  IF(_xlpm.num &lt; 100, 2000 + _xlpm.num, _xlpm.num)
)</f>
        <v>2026</v>
      </c>
      <c r="AG219" s="3" t="str">
        <f>PROPER('Sales_RAW(BEFORE)'!AE226)</f>
        <v>Net 30</v>
      </c>
      <c r="AH219" s="3" cm="1">
        <f t="array" ref="AH219">_xlfn.LET(
  _xlpm.val, LOWER(TRIM('Sales_RAW(BEFORE)'!AF226)),
  _xlfn.IFS(
    OR(_xlpm.val="", _xlpm.val="null", _xlpm.val="N/A", _xlpm.val="-", _xlpm.val="#N/A"), 0,
    ISNUMBER('Sales_RAW(BEFORE)'!AF226), 'Sales_RAW(BEFORE)'!AF226,
    TRUE, IFERROR(_xlfn.NUMBERVALUE(_xlpm.val), 0)
  )
)</f>
        <v>0</v>
      </c>
      <c r="AI219" s="5">
        <f>IF(IFERROR(VALUE(SUBSTITUTE(SUBSTITUTE(TRIM('Sales_RAW(BEFORE)'!AG226), "%", ""), ",", ".")), 0) &gt; 1, IFERROR(VALUE(SUBSTITUTE(SUBSTITUTE(TRIM('Sales_RAW(BEFORE)'!AG226), "%", ""), ",", ".")), 0) / 100, IFERROR(VALUE(SUBSTITUTE(SUBSTITUTE(TRIM('Sales_RAW(BEFORE)'!AG226), "%", ""), ",", ".")), 0))</f>
        <v>0.08</v>
      </c>
      <c r="AJ219" s="6">
        <f t="shared" si="16"/>
        <v>615.64559999999994</v>
      </c>
      <c r="AK219" s="6">
        <f t="shared" si="17"/>
        <v>8311.2155999999995</v>
      </c>
      <c r="AL219" s="6">
        <f>IFERROR(VALUE(SUBSTITUTE(SUBSTITUTE(SUBSTITUTE('Sales_RAW(BEFORE)'!AJ226,"$",""),"USD",""),",",".")),0)</f>
        <v>1.36</v>
      </c>
      <c r="AM219" s="3" t="str">
        <f>SUBSTITUTE(SUBSTITUTE(PROPER('Sales_RAW(BEFORE)'!AK226), "Fed Ex", "FedEx"),"Fedex","FedEx")</f>
        <v>FedEx</v>
      </c>
      <c r="AN219" s="3" t="s">
        <v>3643</v>
      </c>
      <c r="AO219" s="3" t="str">
        <f>SUBSTITUTE('Sales_RAW(BEFORE)'!AM226,"kg","")</f>
        <v xml:space="preserve">23.8 </v>
      </c>
      <c r="AP219" s="3" t="str">
        <f>_xlfn.LET(
  _xlpm.raw, UPPER(TRIM('Sales_RAW(BEFORE)'!AN226)),
  _xlpm.clean, RIGHT(_xlpm.raw, 1),
  IF(OR(_xlpm.raw="", _xlpm.raw="null"), "N/A", _xlpm.clean)
)</f>
        <v>A</v>
      </c>
      <c r="AQ219" s="3">
        <v>113</v>
      </c>
      <c r="AR219" s="3" cm="1">
        <f t="array" ref="AR219">_xlfn.LET(
  _xlpm.raw, LOWER(TRIM('Sales_RAW(BEFORE)'!AP226)),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219" s="3"/>
      <c r="AT219" s="3"/>
      <c r="AU219" s="3"/>
      <c r="AV219" s="8">
        <f>IF(IFERROR(VALUE(SUBSTITUTE(SUBSTITUTE(TRIM('Sales_RAW(BEFORE)'!AT226), "%", ""), ",", ".")), 0) &gt; 1, IFERROR(VALUE(SUBSTITUTE(SUBSTITUTE(TRIM('Sales_RAW(BEFORE)'!AT226), "%", ""), ",", ".")), 0) / 100, IFERROR(VALUE(SUBSTITUTE(SUBSTITUTE(TRIM('Sales_RAW(BEFORE)'!AT226), "%", ""), ",", ".")), 0))</f>
        <v>0.25</v>
      </c>
      <c r="AW219" s="6">
        <f>BA219*(_xlfn.XLOOKUP(N219,Employees!$A$2:$A$26,Employees!$E$2:$E$26,2))</f>
        <v>149.6018808</v>
      </c>
      <c r="AX219" s="3" t="str">
        <f>PROPER('Sales_RAW(BEFORE)'!AV226)</f>
        <v xml:space="preserve">Emily Jones  </v>
      </c>
      <c r="AY219" s="3" t="str">
        <f t="shared" si="18"/>
        <v xml:space="preserve">Emily Jones  </v>
      </c>
      <c r="AZ219" s="3"/>
      <c r="BA219" s="24">
        <f>AK219*(1-(_xlfn.XLOOKUP(G219, Exchange_Rates!$B$8:$F$8, Exchange_Rates!$B$9:$F$9, 0)+J219))</f>
        <v>7480.0940399999999</v>
      </c>
      <c r="BB219" s="7" cm="1">
        <f t="array" ref="BB219">_xlfn.LET(
  _xlpm.raw_dt, SUBSTITUTE(TRIM(C219), ".", "/"),
  _xlpm.dt, IFERROR(DATEVALUE(_xlpm.raw_dt), C219),
  _xlpm.p_code, TRIM(E219),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47151</v>
      </c>
      <c r="BC219" s="25">
        <f t="shared" si="19"/>
        <v>1870.02351</v>
      </c>
    </row>
    <row r="220" spans="1:55" ht="15.75" thickBot="1" x14ac:dyDescent="0.3">
      <c r="A220" s="3" t="s">
        <v>3647</v>
      </c>
      <c r="B220" s="10">
        <v>45895</v>
      </c>
      <c r="C220" s="4">
        <f>DATE(2025,9,2)</f>
        <v>45902</v>
      </c>
      <c r="D220" s="3" t="str">
        <f>"P-" &amp; TEXT(VALUE(SUBSTITUTE(SUBSTITUTE(SUBSTITUTE(UPPER(TRIM('Sales_RAW(BEFORE)'!D227)), "P", ""), "-", ""), "_", "")),"000")</f>
        <v>P-035</v>
      </c>
      <c r="E220" s="3" t="str">
        <f>VLOOKUP(D220,Product_List!$A$2:$B$61,2,FALSE)</f>
        <v>Headphones X 35</v>
      </c>
      <c r="F220" s="3" t="str">
        <f>_xlfn.XLOOKUP(E220,Product_List!$B$2:$B$61,Product_List!$E$2:$E$61,2)</f>
        <v>BestParts</v>
      </c>
      <c r="G220" s="3" t="str">
        <f>VLOOKUP(E220,Product_List!$B$2:$C$61,2,FALSE)</f>
        <v>Furniture</v>
      </c>
      <c r="H220" s="3" t="str">
        <f>SUBSTITUTE(SUBSTITUTE('Sales_RAW(BEFORE)'!G227,"kom",""),".","")</f>
        <v xml:space="preserve">17 </v>
      </c>
      <c r="I220" s="6">
        <f>VLOOKUP(E220,Product_List!$B$2:$D$61,3,FALSE)</f>
        <v>426.49</v>
      </c>
      <c r="J220" s="5">
        <f>IF(IFERROR(VALUE(SUBSTITUTE(SUBSTITUTE(TRIM('Sales_RAW(BEFORE)'!I227), "%", ""), ",", ".")), 0) &gt; 1, IFERROR(VALUE(SUBSTITUTE(SUBSTITUTE(TRIM('Sales_RAW(BEFORE)'!I227), "%", ""), ",", ".")), 0) / 100, IFERROR(VALUE(SUBSTITUTE(SUBSTITUTE(TRIM('Sales_RAW(BEFORE)'!I227), "%", ""), ",", ".")), 0))</f>
        <v>0</v>
      </c>
      <c r="K220" s="6">
        <f t="shared" si="15"/>
        <v>7250.33</v>
      </c>
      <c r="L220" s="6" t="str" cm="1">
        <f t="array" ref="L220">_xlfn.LET(
  _xlpm.valuta, UPPER(TRIM('Sales_RAW(BEFORE)'!K227)),
  _xlfn.IFS(
    _xlpm.valuta = "", "",
    OR(_xlpm.valuta = "USD", _xlpm.valuta = "$"), "$",
    OR(_xlpm.valuta = "EUR", _xlpm.valuta = "€"), "€",
    TRUE, _xlpm.valuta
  )
)</f>
        <v>$</v>
      </c>
      <c r="M220" s="3" t="str">
        <f>"E" &amp; TEXT(VALUE(SUBSTITUTE(SUBSTITUTE(SUBSTITUTE(UPPER(TRIM('Sales_RAW(BEFORE)'!L227)), "EMP", ""), "E", ""), "-", "")),"000")</f>
        <v>E011</v>
      </c>
      <c r="N220" s="3" t="str">
        <f>_xlfn.XLOOKUP(M220,Employees!$D$2:$D$26,Employees!$A$2:$A$26)</f>
        <v>Michael Taylor</v>
      </c>
      <c r="O220" s="3" t="str">
        <f>_xlfn.XLOOKUP(N220,Employees!$A$2:$A$26,Employees!$C$2:$C$26,2)</f>
        <v>Wholesale</v>
      </c>
      <c r="P220" s="3" t="str">
        <f>PROPER('Sales_RAW(BEFORE)'!N227)</f>
        <v>North</v>
      </c>
      <c r="Q220" s="3" t="str">
        <f>VLOOKUP(N220,Employees!$A$2:$B$26,2,FALSE)</f>
        <v>Boston</v>
      </c>
      <c r="R220" s="3" t="str">
        <f>PROPER('Sales_RAW(BEFORE)'!P227)</f>
        <v xml:space="preserve">  Vortex Inc.</v>
      </c>
      <c r="S220" s="3" t="str">
        <f>SUBSTITUTE(SUBSTITUTE('Sales_RAW(BEFORE)'!Q227,"EIN",""),":","")</f>
        <v>710421594</v>
      </c>
      <c r="T220" s="3" t="s">
        <v>1395</v>
      </c>
      <c r="U220" s="3" t="s">
        <v>3656</v>
      </c>
      <c r="V220" s="3" t="s">
        <v>3657</v>
      </c>
      <c r="W220" s="3" t="s">
        <v>3658</v>
      </c>
      <c r="X220" s="3" t="s">
        <v>173</v>
      </c>
      <c r="Y220" s="3" t="str">
        <f>PROPER('Sales_RAW(BEFORE)'!W227)</f>
        <v>Wire Transfer</v>
      </c>
      <c r="Z220" s="3" t="str">
        <f>PROPER('Sales_RAW(BEFORE)'!X227)</f>
        <v>Delivered</v>
      </c>
      <c r="AA220" s="3" t="str" cm="1">
        <f t="array" ref="AA220">_xlfn.LET(
  _xlpm.val, TRIM(LOWER('Sales_RAW(BEFORE)'!Y227)),
  _xlfn.IFS(
    OR(_xlpm.val="yes", _xlpm.val="paid"), "Paid",
    OR(_xlpm.val="no", _xlpm.val="unpaid"), "Unpaid",
    OR(_xlpm.val="partial", _xlpm.val="partial paid"), "Partial",
    _xlpm.val="", "",
    TRUE, 'Sales_RAW(BEFORE)'!AY227
  )
)</f>
        <v>Paid</v>
      </c>
      <c r="AB220" s="3" t="s">
        <v>3659</v>
      </c>
      <c r="AC220" s="3" t="str">
        <f>PROPER('Sales_RAW(BEFORE)'!AA227)</f>
        <v>Store</v>
      </c>
      <c r="AD220" s="3" t="str">
        <f>SUBSTITUTE(SUBSTITUTE(SUBSTITUTE(SUBSTITUTE('Sales_RAW(BEFORE)'!AB227,"st",""),"q",""),"Q",""),"uarter","")</f>
        <v>4</v>
      </c>
      <c r="AE220" s="3" t="str">
        <f>TEXT(IFERROR(DATEVALUE('Sales_RAW(BEFORE)'!AC227 &amp; " 1"), IFERROR(DATE(2025, 'Sales_RAW(BEFORE)'!AC227, 1), 'Sales_RAW(BEFORE)'!AC227)), "mmmm")</f>
        <v>August</v>
      </c>
      <c r="AF220" s="3">
        <f>_xlfn.LET(
  _xlpm.raw, TRIM(SUBSTITUTE('Sales_RAW(BEFORE)'!AD227, "'", "")),
  _xlpm.num, IFERROR(VALUE(_xlpm.raw), 0),
  IF(_xlpm.num &lt; 100, 2000 + _xlpm.num, _xlpm.num)
)</f>
        <v>2025</v>
      </c>
      <c r="AG220" s="3" t="str">
        <f>PROPER('Sales_RAW(BEFORE)'!AE227)</f>
        <v>Immediate</v>
      </c>
      <c r="AH220" s="3" cm="1">
        <f t="array" ref="AH220">_xlfn.LET(
  _xlpm.val, LOWER(TRIM('Sales_RAW(BEFORE)'!AF227)),
  _xlfn.IFS(
    OR(_xlpm.val="", _xlpm.val="null", _xlpm.val="N/A", _xlpm.val="-", _xlpm.val="#N/A"), 0,
    ISNUMBER('Sales_RAW(BEFORE)'!AF227), 'Sales_RAW(BEFORE)'!AF227,
    TRUE, IFERROR(_xlfn.NUMBERVALUE(_xlpm.val), 0)
  )
)</f>
        <v>34</v>
      </c>
      <c r="AI220" s="5">
        <f>IF(IFERROR(VALUE(SUBSTITUTE(SUBSTITUTE(TRIM('Sales_RAW(BEFORE)'!AG227), "%", ""), ",", ".")), 0) &gt; 1, IFERROR(VALUE(SUBSTITUTE(SUBSTITUTE(TRIM('Sales_RAW(BEFORE)'!AG227), "%", ""), ",", ".")), 0) / 100, IFERROR(VALUE(SUBSTITUTE(SUBSTITUTE(TRIM('Sales_RAW(BEFORE)'!AG227), "%", ""), ",", ".")), 0))</f>
        <v>0.08</v>
      </c>
      <c r="AJ220" s="6">
        <f t="shared" si="16"/>
        <v>580.02639999999997</v>
      </c>
      <c r="AK220" s="6">
        <f t="shared" si="17"/>
        <v>7830.3563999999997</v>
      </c>
      <c r="AL220" s="6">
        <f>IFERROR(VALUE(SUBSTITUTE(SUBSTITUTE(SUBSTITUTE('Sales_RAW(BEFORE)'!AJ227,"$",""),"USD",""),",",".")),0)</f>
        <v>0</v>
      </c>
      <c r="AM220" s="3" t="str">
        <f>SUBSTITUTE(SUBSTITUTE(PROPER('Sales_RAW(BEFORE)'!AK227), "Fed Ex", "FedEx"),"Fedex","FedEx")</f>
        <v>Ups</v>
      </c>
      <c r="AN220" s="3" t="s">
        <v>3660</v>
      </c>
      <c r="AO220" s="3" t="str">
        <f>SUBSTITUTE('Sales_RAW(BEFORE)'!AM227,"kg","")</f>
        <v>14,81</v>
      </c>
      <c r="AP220" s="3" t="str">
        <f>_xlfn.LET(
  _xlpm.raw, UPPER(TRIM('Sales_RAW(BEFORE)'!AN227)),
  _xlpm.clean, RIGHT(_xlpm.raw, 1),
  IF(OR(_xlpm.raw="", _xlpm.raw="null"), "N/A", _xlpm.clean)
)</f>
        <v>B</v>
      </c>
      <c r="AQ220" s="3">
        <v>370</v>
      </c>
      <c r="AR220" s="3" cm="1">
        <f t="array" ref="AR220">_xlfn.LET(
  _xlpm.raw, LOWER(TRIM('Sales_RAW(BEFORE)'!AP227)),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220" s="3"/>
      <c r="AT220" s="3"/>
      <c r="AU220" s="3"/>
      <c r="AV220" s="8">
        <f>IF(IFERROR(VALUE(SUBSTITUTE(SUBSTITUTE(TRIM('Sales_RAW(BEFORE)'!AT227), "%", ""), ",", ".")), 0) &gt; 1, IFERROR(VALUE(SUBSTITUTE(SUBSTITUTE(TRIM('Sales_RAW(BEFORE)'!AT227), "%", ""), ",", ".")), 0) / 100, IFERROR(VALUE(SUBSTITUTE(SUBSTITUTE(TRIM('Sales_RAW(BEFORE)'!AT227), "%", ""), ",", ".")), 0))</f>
        <v>0.25</v>
      </c>
      <c r="AW220" s="6">
        <f>BA220*(_xlfn.XLOOKUP(N220,Employees!$A$2:$A$26,Employees!$E$2:$E$26,2))</f>
        <v>140.94641519999999</v>
      </c>
      <c r="AX220" s="3" t="str">
        <f>PROPER('Sales_RAW(BEFORE)'!AV227)</f>
        <v xml:space="preserve">Emily Taylor </v>
      </c>
      <c r="AY220" s="3" t="str">
        <f t="shared" si="18"/>
        <v xml:space="preserve">Emily Taylor </v>
      </c>
      <c r="AZ220" s="3"/>
      <c r="BA220" s="24">
        <f>AK220*(1-(_xlfn.XLOOKUP(G220, Exchange_Rates!$B$8:$F$8, Exchange_Rates!$B$9:$F$9, 0)+J220))</f>
        <v>7047.3207599999996</v>
      </c>
      <c r="BB220" s="7" cm="1">
        <f t="array" ref="BB220">_xlfn.LET(
  _xlpm.raw_dt, SUBSTITUTE(TRIM(C220), ".", "/"),
  _xlpm.dt, IFERROR(DATEVALUE(_xlpm.raw_dt), C220),
  _xlpm.p_code, TRIM(E220),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46632</v>
      </c>
      <c r="BC220" s="25">
        <f t="shared" si="19"/>
        <v>1761.8301899999999</v>
      </c>
    </row>
    <row r="221" spans="1:55" ht="15.75" thickBot="1" x14ac:dyDescent="0.3">
      <c r="A221" s="3" t="s">
        <v>3663</v>
      </c>
      <c r="B221" s="10">
        <v>46012</v>
      </c>
      <c r="C221" s="4" t="s">
        <v>91</v>
      </c>
      <c r="D221" s="3" t="str">
        <f>"P-" &amp; TEXT(VALUE(SUBSTITUTE(SUBSTITUTE(SUBSTITUTE(UPPER(TRIM('Sales_RAW(BEFORE)'!D228)), "P", ""), "-", ""), "_", "")),"000")</f>
        <v>P-007</v>
      </c>
      <c r="E221" s="3" t="str">
        <f>VLOOKUP(D221,Product_List!$A$2:$B$61,2,FALSE)</f>
        <v>Headphones Max 7</v>
      </c>
      <c r="F221" s="3" t="str">
        <f>_xlfn.XLOOKUP(E221,Product_List!$B$2:$B$61,Product_List!$E$2:$E$61,2)</f>
        <v>OfficeHub</v>
      </c>
      <c r="G221" s="3" t="str">
        <f>VLOOKUP(E221,Product_List!$B$2:$C$61,2,FALSE)</f>
        <v>Software</v>
      </c>
      <c r="H221" s="3" t="str">
        <f>SUBSTITUTE(SUBSTITUTE('Sales_RAW(BEFORE)'!G228,"kom",""),".","")</f>
        <v>2</v>
      </c>
      <c r="I221" s="6">
        <f>VLOOKUP(E221,Product_List!$B$2:$D$61,3,FALSE)</f>
        <v>79.14</v>
      </c>
      <c r="J221" s="5">
        <f>IF(IFERROR(VALUE(SUBSTITUTE(SUBSTITUTE(TRIM('Sales_RAW(BEFORE)'!I228), "%", ""), ",", ".")), 0) &gt; 1, IFERROR(VALUE(SUBSTITUTE(SUBSTITUTE(TRIM('Sales_RAW(BEFORE)'!I228), "%", ""), ",", ".")), 0) / 100, IFERROR(VALUE(SUBSTITUTE(SUBSTITUTE(TRIM('Sales_RAW(BEFORE)'!I228), "%", ""), ",", ".")), 0))</f>
        <v>0.05</v>
      </c>
      <c r="K221" s="6">
        <f t="shared" si="15"/>
        <v>158.28</v>
      </c>
      <c r="L221" s="6" t="str" cm="1">
        <f t="array" ref="L221">_xlfn.LET(
  _xlpm.valuta, UPPER(TRIM('Sales_RAW(BEFORE)'!K228)),
  _xlfn.IFS(
    _xlpm.valuta = "", "",
    OR(_xlpm.valuta = "USD", _xlpm.valuta = "$"), "$",
    OR(_xlpm.valuta = "EUR", _xlpm.valuta = "€"), "€",
    TRUE, _xlpm.valuta
  )
)</f>
        <v>$</v>
      </c>
      <c r="M221" s="3" t="str">
        <f>"E" &amp; TEXT(VALUE(SUBSTITUTE(SUBSTITUTE(SUBSTITUTE(UPPER(TRIM('Sales_RAW(BEFORE)'!L228)), "EMP", ""), "E", ""), "-", "")),"000")</f>
        <v>E025</v>
      </c>
      <c r="N221" s="3" t="str">
        <f>_xlfn.XLOOKUP(M221,Employees!$D$2:$D$26,Employees!$A$2:$A$26)</f>
        <v>Chris Johnson</v>
      </c>
      <c r="O221" s="3" t="str">
        <f>_xlfn.XLOOKUP(N221,Employees!$A$2:$A$26,Employees!$C$2:$C$26,2)</f>
        <v>Sales</v>
      </c>
      <c r="P221" s="3" t="str">
        <f>PROPER('Sales_RAW(BEFORE)'!N228)</f>
        <v>West</v>
      </c>
      <c r="Q221" s="3" t="str">
        <f>VLOOKUP(N221,Employees!$A$2:$B$26,2,FALSE)</f>
        <v>Boston</v>
      </c>
      <c r="R221" s="3" t="str">
        <f>PROPER('Sales_RAW(BEFORE)'!P228)</f>
        <v xml:space="preserve">  Wayne Ltd.</v>
      </c>
      <c r="S221" s="3" t="str">
        <f>SUBSTITUTE(SUBSTITUTE('Sales_RAW(BEFORE)'!Q228,"EIN",""),":","")</f>
        <v>383545965</v>
      </c>
      <c r="T221" s="3" t="s">
        <v>2253</v>
      </c>
      <c r="U221" s="3" t="s">
        <v>3671</v>
      </c>
      <c r="V221" s="3" t="s">
        <v>3672</v>
      </c>
      <c r="W221" s="3" t="s">
        <v>3673</v>
      </c>
      <c r="X221" s="3" t="s">
        <v>173</v>
      </c>
      <c r="Y221" s="3" t="str">
        <f>PROPER('Sales_RAW(BEFORE)'!W228)</f>
        <v>Credit Card</v>
      </c>
      <c r="Z221" s="3" t="str">
        <f>PROPER('Sales_RAW(BEFORE)'!X228)</f>
        <v>Cancelled</v>
      </c>
      <c r="AA221" s="3" t="str" cm="1">
        <f t="array" ref="AA221">_xlfn.LET(
  _xlpm.val, TRIM(LOWER('Sales_RAW(BEFORE)'!Y228)),
  _xlfn.IFS(
    OR(_xlpm.val="yes", _xlpm.val="paid"), "Paid",
    OR(_xlpm.val="no", _xlpm.val="unpaid"), "Unpaid",
    OR(_xlpm.val="partial", _xlpm.val="partial paid"), "Partial",
    _xlpm.val="", "",
    TRUE, 'Sales_RAW(BEFORE)'!AY228
  )
)</f>
        <v>Unpaid</v>
      </c>
      <c r="AB221" s="3" t="s">
        <v>3674</v>
      </c>
      <c r="AC221" s="3" t="str">
        <f>PROPER('Sales_RAW(BEFORE)'!AA228)</f>
        <v>Online</v>
      </c>
      <c r="AD221" s="3" t="str">
        <f>SUBSTITUTE(SUBSTITUTE(SUBSTITUTE(SUBSTITUTE('Sales_RAW(BEFORE)'!AB228,"st",""),"q",""),"Q",""),"uarter","")</f>
        <v xml:space="preserve">1 </v>
      </c>
      <c r="AE221" s="3" t="str">
        <f>TEXT(IFERROR(DATEVALUE('Sales_RAW(BEFORE)'!AC228 &amp; " 1"), IFERROR(DATE(2025, 'Sales_RAW(BEFORE)'!AC228, 1), 'Sales_RAW(BEFORE)'!AC228)), "mmmm")</f>
        <v>December</v>
      </c>
      <c r="AF221" s="3">
        <f>_xlfn.LET(
  _xlpm.raw, TRIM(SUBSTITUTE('Sales_RAW(BEFORE)'!AD228, "'", "")),
  _xlpm.num, IFERROR(VALUE(_xlpm.raw), 0),
  IF(_xlpm.num &lt; 100, 2000 + _xlpm.num, _xlpm.num)
)</f>
        <v>2025</v>
      </c>
      <c r="AG221" s="3" t="str">
        <f>PROPER('Sales_RAW(BEFORE)'!AE228)</f>
        <v>15</v>
      </c>
      <c r="AH221" s="3" cm="1">
        <f t="array" ref="AH221">_xlfn.LET(
  _xlpm.val, LOWER(TRIM('Sales_RAW(BEFORE)'!AF228)),
  _xlfn.IFS(
    OR(_xlpm.val="", _xlpm.val="null", _xlpm.val="N/A", _xlpm.val="-", _xlpm.val="#N/A"), 0,
    ISNUMBER('Sales_RAW(BEFORE)'!AF228), 'Sales_RAW(BEFORE)'!AF228,
    TRUE, IFERROR(_xlfn.NUMBERVALUE(_xlpm.val), 0)
  )
)</f>
        <v>21</v>
      </c>
      <c r="AI221" s="5">
        <f>IF(IFERROR(VALUE(SUBSTITUTE(SUBSTITUTE(TRIM('Sales_RAW(BEFORE)'!AG228), "%", ""), ",", ".")), 0) &gt; 1, IFERROR(VALUE(SUBSTITUTE(SUBSTITUTE(TRIM('Sales_RAW(BEFORE)'!AG228), "%", ""), ",", ".")), 0) / 100, IFERROR(VALUE(SUBSTITUTE(SUBSTITUTE(TRIM('Sales_RAW(BEFORE)'!AG228), "%", ""), ",", ".")), 0))</f>
        <v>0.08</v>
      </c>
      <c r="AJ221" s="6">
        <f t="shared" si="16"/>
        <v>12.6624</v>
      </c>
      <c r="AK221" s="6">
        <f t="shared" si="17"/>
        <v>170.94239999999999</v>
      </c>
      <c r="AL221" s="6">
        <f>IFERROR(VALUE(SUBSTITUTE(SUBSTITUTE(SUBSTITUTE('Sales_RAW(BEFORE)'!AJ228,"$",""),"USD",""),",",".")),0)</f>
        <v>29.2</v>
      </c>
      <c r="AM221" s="3" t="str">
        <f>SUBSTITUTE(SUBSTITUTE(PROPER('Sales_RAW(BEFORE)'!AK228), "Fed Ex", "FedEx"),"Fedex","FedEx")</f>
        <v>FedEx</v>
      </c>
      <c r="AN221" s="3" t="s">
        <v>3676</v>
      </c>
      <c r="AO221" s="3" t="str">
        <f>SUBSTITUTE('Sales_RAW(BEFORE)'!AM228,"kg","")</f>
        <v xml:space="preserve">16.4 </v>
      </c>
      <c r="AP221" s="3" t="str">
        <f>_xlfn.LET(
  _xlpm.raw, UPPER(TRIM('Sales_RAW(BEFORE)'!AN228)),
  _xlpm.clean, RIGHT(_xlpm.raw, 1),
  IF(OR(_xlpm.raw="", _xlpm.raw="null"), "N/A", _xlpm.clean)
)</f>
        <v>B</v>
      </c>
      <c r="AQ221" s="3">
        <v>251</v>
      </c>
      <c r="AR221" s="3" t="str" cm="1">
        <f t="array" ref="AR221">_xlfn.LET(
  _xlpm.raw, LOWER(TRIM('Sales_RAW(BEFORE)'!AP228)),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221" s="3"/>
      <c r="AT221" s="3"/>
      <c r="AU221" s="3"/>
      <c r="AV221" s="8">
        <f>IF(IFERROR(VALUE(SUBSTITUTE(SUBSTITUTE(TRIM('Sales_RAW(BEFORE)'!AT228), "%", ""), ",", ".")), 0) &gt; 1, IFERROR(VALUE(SUBSTITUTE(SUBSTITUTE(TRIM('Sales_RAW(BEFORE)'!AT228), "%", ""), ",", ".")), 0) / 100, IFERROR(VALUE(SUBSTITUTE(SUBSTITUTE(TRIM('Sales_RAW(BEFORE)'!AT228), "%", ""), ",", ".")), 0))</f>
        <v>0.3</v>
      </c>
      <c r="AW221" s="6">
        <f>BA221*(_xlfn.XLOOKUP(N221,Employees!$A$2:$A$26,Employees!$E$2:$E$26,2))</f>
        <v>6.8376960000000002</v>
      </c>
      <c r="AX221" s="3" t="str">
        <f>PROPER('Sales_RAW(BEFORE)'!AV228)</f>
        <v>Chris Johnson</v>
      </c>
      <c r="AY221" s="3" t="str">
        <f t="shared" si="18"/>
        <v>Chris Johnson</v>
      </c>
      <c r="AZ221" s="3"/>
      <c r="BA221" s="24">
        <f>AK221*(1-(_xlfn.XLOOKUP(G221, Exchange_Rates!$B$8:$F$8, Exchange_Rates!$B$9:$F$9, 0)+J221))</f>
        <v>136.75391999999999</v>
      </c>
      <c r="BB221" s="7" t="str" cm="1">
        <f t="array" ref="BB221">_xlfn.LET(
  _xlpm.raw_dt, SUBSTITUTE(TRIM(C221), ".", "/"),
  _xlpm.dt, IFERROR(DATEVALUE(_xlpm.raw_dt), C221),
  _xlpm.p_code, TRIM(E221),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Empty</v>
      </c>
      <c r="BC221" s="25">
        <f t="shared" si="19"/>
        <v>41.026176</v>
      </c>
    </row>
    <row r="222" spans="1:55" ht="15.75" thickBot="1" x14ac:dyDescent="0.3">
      <c r="A222" s="3" t="s">
        <v>3679</v>
      </c>
      <c r="B222" s="10">
        <v>45916</v>
      </c>
      <c r="C222" s="4">
        <f>DATE(2025,9,21)</f>
        <v>45921</v>
      </c>
      <c r="D222" s="3" t="str">
        <f>"P-" &amp; TEXT(VALUE(SUBSTITUTE(SUBSTITUTE(SUBSTITUTE(UPPER(TRIM('Sales_RAW(BEFORE)'!D229)), "P", ""), "-", ""), "_", "")),"000")</f>
        <v>P-048</v>
      </c>
      <c r="E222" s="3" t="str">
        <f>VLOOKUP(D222,Product_List!$A$2:$B$61,2,FALSE)</f>
        <v>License Plus 48</v>
      </c>
      <c r="F222" s="3" t="str">
        <f>_xlfn.XLOOKUP(E222,Product_List!$B$2:$B$61,Product_List!$E$2:$E$61,2)</f>
        <v>BestParts</v>
      </c>
      <c r="G222" s="3" t="str">
        <f>VLOOKUP(E222,Product_List!$B$2:$C$61,2,FALSE)</f>
        <v>Software</v>
      </c>
      <c r="H222" s="3" t="str">
        <f>SUBSTITUTE(SUBSTITUTE('Sales_RAW(BEFORE)'!G229,"kom",""),".","")</f>
        <v>18</v>
      </c>
      <c r="I222" s="6">
        <f>VLOOKUP(E222,Product_List!$B$2:$D$61,3,FALSE)</f>
        <v>471.22</v>
      </c>
      <c r="J222" s="5">
        <f>IF(IFERROR(VALUE(SUBSTITUTE(SUBSTITUTE(TRIM('Sales_RAW(BEFORE)'!I229), "%", ""), ",", ".")), 0) &gt; 1, IFERROR(VALUE(SUBSTITUTE(SUBSTITUTE(TRIM('Sales_RAW(BEFORE)'!I229), "%", ""), ",", ".")), 0) / 100, IFERROR(VALUE(SUBSTITUTE(SUBSTITUTE(TRIM('Sales_RAW(BEFORE)'!I229), "%", ""), ",", ".")), 0))</f>
        <v>0.1</v>
      </c>
      <c r="K222" s="6">
        <f t="shared" si="15"/>
        <v>8481.9600000000009</v>
      </c>
      <c r="L222" s="6" t="str" cm="1">
        <f t="array" ref="L222">_xlfn.LET(
  _xlpm.valuta, UPPER(TRIM('Sales_RAW(BEFORE)'!K229)),
  _xlfn.IFS(
    _xlpm.valuta = "", "",
    OR(_xlpm.valuta = "USD", _xlpm.valuta = "$"), "$",
    OR(_xlpm.valuta = "EUR", _xlpm.valuta = "€"), "€",
    TRUE, _xlpm.valuta
  )
)</f>
        <v>$</v>
      </c>
      <c r="M222" s="3" t="str">
        <f>"E" &amp; TEXT(VALUE(SUBSTITUTE(SUBSTITUTE(SUBSTITUTE(UPPER(TRIM('Sales_RAW(BEFORE)'!L229)), "EMP", ""), "E", ""), "-", "")),"000")</f>
        <v>E011</v>
      </c>
      <c r="N222" s="3" t="str">
        <f>_xlfn.XLOOKUP(M222,Employees!$D$2:$D$26,Employees!$A$2:$A$26)</f>
        <v>Michael Taylor</v>
      </c>
      <c r="O222" s="3" t="str">
        <f>_xlfn.XLOOKUP(N222,Employees!$A$2:$A$26,Employees!$C$2:$C$26,2)</f>
        <v>Wholesale</v>
      </c>
      <c r="P222" s="3" t="str">
        <f>PROPER('Sales_RAW(BEFORE)'!N229)</f>
        <v>North</v>
      </c>
      <c r="Q222" s="3" t="str">
        <f>VLOOKUP(N222,Employees!$A$2:$B$26,2,FALSE)</f>
        <v>Boston</v>
      </c>
      <c r="R222" s="3" t="str">
        <f>PROPER('Sales_RAW(BEFORE)'!P229)</f>
        <v>Initech Inc</v>
      </c>
      <c r="S222" s="3" t="str">
        <f>SUBSTITUTE(SUBSTITUTE('Sales_RAW(BEFORE)'!Q229,"EIN",""),":","")</f>
        <v>655361302</v>
      </c>
      <c r="T222" s="3" t="s">
        <v>702</v>
      </c>
      <c r="U222" s="3" t="s">
        <v>3684</v>
      </c>
      <c r="V222" s="3" t="s">
        <v>3685</v>
      </c>
      <c r="W222" s="3" t="s">
        <v>3686</v>
      </c>
      <c r="X222" s="3" t="s">
        <v>173</v>
      </c>
      <c r="Y222" s="3" t="str">
        <f>PROPER('Sales_RAW(BEFORE)'!W229)</f>
        <v>Credit Card</v>
      </c>
      <c r="Z222" s="3" t="str">
        <f>PROPER('Sales_RAW(BEFORE)'!X229)</f>
        <v>Pending</v>
      </c>
      <c r="AA222" s="3" t="str" cm="1">
        <f t="array" ref="AA222">_xlfn.LET(
  _xlpm.val, TRIM(LOWER('Sales_RAW(BEFORE)'!Y229)),
  _xlfn.IFS(
    OR(_xlpm.val="yes", _xlpm.val="paid"), "Paid",
    OR(_xlpm.val="no", _xlpm.val="unpaid"), "Unpaid",
    OR(_xlpm.val="partial", _xlpm.val="partial paid"), "Partial",
    _xlpm.val="", "",
    TRUE, 'Sales_RAW(BEFORE)'!AY229
  )
)</f>
        <v>Partial</v>
      </c>
      <c r="AB222" s="3" t="s">
        <v>3687</v>
      </c>
      <c r="AC222" s="3" t="str">
        <f>PROPER('Sales_RAW(BEFORE)'!AA229)</f>
        <v>Store</v>
      </c>
      <c r="AD222" s="3" t="str">
        <f>SUBSTITUTE(SUBSTITUTE(SUBSTITUTE(SUBSTITUTE('Sales_RAW(BEFORE)'!AB229,"st",""),"q",""),"Q",""),"uarter","")</f>
        <v>4</v>
      </c>
      <c r="AE222" s="3" t="str">
        <f>TEXT(IFERROR(DATEVALUE('Sales_RAW(BEFORE)'!AC229 &amp; " 1"), IFERROR(DATE(2025, 'Sales_RAW(BEFORE)'!AC229, 1), 'Sales_RAW(BEFORE)'!AC229)), "mmmm")</f>
        <v>September</v>
      </c>
      <c r="AF222" s="3">
        <f>_xlfn.LET(
  _xlpm.raw, TRIM(SUBSTITUTE('Sales_RAW(BEFORE)'!AD229, "'", "")),
  _xlpm.num, IFERROR(VALUE(_xlpm.raw), 0),
  IF(_xlpm.num &lt; 100, 2000 + _xlpm.num, _xlpm.num)
)</f>
        <v>2025</v>
      </c>
      <c r="AG222" s="3" t="str">
        <f>PROPER('Sales_RAW(BEFORE)'!AE229)</f>
        <v>15</v>
      </c>
      <c r="AH222" s="3" cm="1">
        <f t="array" ref="AH222">_xlfn.LET(
  _xlpm.val, LOWER(TRIM('Sales_RAW(BEFORE)'!AF229)),
  _xlfn.IFS(
    OR(_xlpm.val="", _xlpm.val="null", _xlpm.val="N/A", _xlpm.val="-", _xlpm.val="#N/A"), 0,
    ISNUMBER('Sales_RAW(BEFORE)'!AF229), 'Sales_RAW(BEFORE)'!AF229,
    TRUE, IFERROR(_xlfn.NUMBERVALUE(_xlpm.val), 0)
  )
)</f>
        <v>49</v>
      </c>
      <c r="AI222" s="5">
        <f>IF(IFERROR(VALUE(SUBSTITUTE(SUBSTITUTE(TRIM('Sales_RAW(BEFORE)'!AG229), "%", ""), ",", ".")), 0) &gt; 1, IFERROR(VALUE(SUBSTITUTE(SUBSTITUTE(TRIM('Sales_RAW(BEFORE)'!AG229), "%", ""), ",", ".")), 0) / 100, IFERROR(VALUE(SUBSTITUTE(SUBSTITUTE(TRIM('Sales_RAW(BEFORE)'!AG229), "%", ""), ",", ".")), 0))</f>
        <v>0.08</v>
      </c>
      <c r="AJ222" s="6">
        <f t="shared" si="16"/>
        <v>678.55680000000007</v>
      </c>
      <c r="AK222" s="6">
        <f t="shared" si="17"/>
        <v>9160.5168000000012</v>
      </c>
      <c r="AL222" s="6">
        <f>IFERROR(VALUE(SUBSTITUTE(SUBSTITUTE(SUBSTITUTE('Sales_RAW(BEFORE)'!AJ229,"$",""),"USD",""),",",".")),0)</f>
        <v>16.010000000000002</v>
      </c>
      <c r="AM222" s="3" t="str">
        <f>SUBSTITUTE(SUBSTITUTE(PROPER('Sales_RAW(BEFORE)'!AK229), "Fed Ex", "FedEx"),"Fedex","FedEx")</f>
        <v>Usps</v>
      </c>
      <c r="AN222" s="3" t="s">
        <v>3689</v>
      </c>
      <c r="AO222" s="3" t="str">
        <f>SUBSTITUTE('Sales_RAW(BEFORE)'!AM229,"kg","")</f>
        <v xml:space="preserve">29.6 </v>
      </c>
      <c r="AP222" s="3" t="str">
        <f>_xlfn.LET(
  _xlpm.raw, UPPER(TRIM('Sales_RAW(BEFORE)'!AN229)),
  _xlpm.clean, RIGHT(_xlpm.raw, 1),
  IF(OR(_xlpm.raw="", _xlpm.raw="null"), "N/A", _xlpm.clean)
)</f>
        <v>A</v>
      </c>
      <c r="AQ222" s="3">
        <v>65</v>
      </c>
      <c r="AR222" s="3" cm="1">
        <f t="array" ref="AR222">_xlfn.LET(
  _xlpm.raw, LOWER(TRIM('Sales_RAW(BEFORE)'!AP229)),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222" s="3"/>
      <c r="AT222" s="3"/>
      <c r="AU222" s="3"/>
      <c r="AV222" s="8">
        <f>IF(IFERROR(VALUE(SUBSTITUTE(SUBSTITUTE(TRIM('Sales_RAW(BEFORE)'!AT229), "%", ""), ",", ".")), 0) &gt; 1, IFERROR(VALUE(SUBSTITUTE(SUBSTITUTE(TRIM('Sales_RAW(BEFORE)'!AT229), "%", ""), ",", ".")), 0) / 100, IFERROR(VALUE(SUBSTITUTE(SUBSTITUTE(TRIM('Sales_RAW(BEFORE)'!AT229), "%", ""), ",", ".")), 0))</f>
        <v>0.15</v>
      </c>
      <c r="AW222" s="6">
        <f>BA222*(_xlfn.XLOOKUP(N222,Employees!$A$2:$A$26,Employees!$E$2:$E$26,2))</f>
        <v>137.40775200000002</v>
      </c>
      <c r="AX222" s="3" t="str">
        <f>PROPER('Sales_RAW(BEFORE)'!AV229)</f>
        <v>Jessica Brown</v>
      </c>
      <c r="AY222" s="3" t="str">
        <f t="shared" si="18"/>
        <v>Jessica Brown</v>
      </c>
      <c r="AZ222" s="3"/>
      <c r="BA222" s="24">
        <f>AK222*(1-(_xlfn.XLOOKUP(G222, Exchange_Rates!$B$8:$F$8, Exchange_Rates!$B$9:$F$9, 0)+J222))</f>
        <v>6870.3876000000009</v>
      </c>
      <c r="BB222" s="7" cm="1">
        <f t="array" ref="BB222">_xlfn.LET(
  _xlpm.raw_dt, SUBSTITUTE(TRIM(C222), ".", "/"),
  _xlpm.dt, IFERROR(DATEVALUE(_xlpm.raw_dt), C222),
  _xlpm.p_code, TRIM(E222),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46286</v>
      </c>
      <c r="BC222" s="25">
        <f t="shared" si="19"/>
        <v>1030.5581400000001</v>
      </c>
    </row>
    <row r="223" spans="1:55" ht="15.75" thickBot="1" x14ac:dyDescent="0.3">
      <c r="A223" s="3" t="s">
        <v>3693</v>
      </c>
      <c r="B223" s="10">
        <v>45817</v>
      </c>
      <c r="C223" s="4">
        <v>45829</v>
      </c>
      <c r="D223" s="3" t="str">
        <f>"P-" &amp; TEXT(VALUE(SUBSTITUTE(SUBSTITUTE(SUBSTITUTE(UPPER(TRIM('Sales_RAW(BEFORE)'!D230)), "P", ""), "-", ""), "_", "")),"000")</f>
        <v>P-013</v>
      </c>
      <c r="E223" s="3" t="str">
        <f>VLOOKUP(D223,Product_List!$A$2:$B$61,2,FALSE)</f>
        <v>Monitor Max 13</v>
      </c>
      <c r="F223" s="3" t="str">
        <f>_xlfn.XLOOKUP(E223,Product_List!$B$2:$B$61,Product_List!$E$2:$E$61,2)</f>
        <v>OfficeHub</v>
      </c>
      <c r="G223" s="3" t="str">
        <f>VLOOKUP(E223,Product_List!$B$2:$C$61,2,FALSE)</f>
        <v>Electronics</v>
      </c>
      <c r="H223" s="3" t="str">
        <f>SUBSTITUTE(SUBSTITUTE('Sales_RAW(BEFORE)'!G230,"kom",""),".","")</f>
        <v xml:space="preserve">5 </v>
      </c>
      <c r="I223" s="6">
        <f>VLOOKUP(E223,Product_List!$B$2:$D$61,3,FALSE)</f>
        <v>930.42</v>
      </c>
      <c r="J223" s="5">
        <f>IF(IFERROR(VALUE(SUBSTITUTE(SUBSTITUTE(TRIM('Sales_RAW(BEFORE)'!I230), "%", ""), ",", ".")), 0) &gt; 1, IFERROR(VALUE(SUBSTITUTE(SUBSTITUTE(TRIM('Sales_RAW(BEFORE)'!I230), "%", ""), ",", ".")), 0) / 100, IFERROR(VALUE(SUBSTITUTE(SUBSTITUTE(TRIM('Sales_RAW(BEFORE)'!I230), "%", ""), ",", ".")), 0))</f>
        <v>0</v>
      </c>
      <c r="K223" s="6">
        <f t="shared" si="15"/>
        <v>4652.0999999999995</v>
      </c>
      <c r="L223" s="6" t="str" cm="1">
        <f t="array" ref="L223">_xlfn.LET(
  _xlpm.valuta, UPPER(TRIM('Sales_RAW(BEFORE)'!K230)),
  _xlfn.IFS(
    _xlpm.valuta = "", "",
    OR(_xlpm.valuta = "USD", _xlpm.valuta = "$"), "$",
    OR(_xlpm.valuta = "EUR", _xlpm.valuta = "€"), "€",
    TRUE, _xlpm.valuta
  )
)</f>
        <v>$</v>
      </c>
      <c r="M223" s="3" t="str">
        <f>"E" &amp; TEXT(VALUE(SUBSTITUTE(SUBSTITUTE(SUBSTITUTE(UPPER(TRIM('Sales_RAW(BEFORE)'!L230)), "EMP", ""), "E", ""), "-", "")),"000")</f>
        <v>E007</v>
      </c>
      <c r="N223" s="3" t="str">
        <f>_xlfn.XLOOKUP(M223,Employees!$D$2:$D$26,Employees!$A$2:$A$26)</f>
        <v>Emma Johnson</v>
      </c>
      <c r="O223" s="3" t="str">
        <f>_xlfn.XLOOKUP(N223,Employees!$A$2:$A$26,Employees!$C$2:$C$26,2)</f>
        <v>Wholesale</v>
      </c>
      <c r="P223" s="3" t="str">
        <f>PROPER('Sales_RAW(BEFORE)'!N230)</f>
        <v>East</v>
      </c>
      <c r="Q223" s="3" t="str">
        <f>VLOOKUP(N223,Employees!$A$2:$B$26,2,FALSE)</f>
        <v>Seattle</v>
      </c>
      <c r="R223" s="3" t="str">
        <f>PROPER('Sales_RAW(BEFORE)'!P230)</f>
        <v xml:space="preserve">Globex Inc  </v>
      </c>
      <c r="S223" s="3" t="str">
        <f>SUBSTITUTE(SUBSTITUTE('Sales_RAW(BEFORE)'!Q230,"EIN",""),":","")</f>
        <v xml:space="preserve"> 538356468</v>
      </c>
      <c r="T223" s="3" t="s">
        <v>169</v>
      </c>
      <c r="U223" s="3" t="s">
        <v>3703</v>
      </c>
      <c r="V223" s="3" t="s">
        <v>3704</v>
      </c>
      <c r="W223" s="3" t="s">
        <v>3705</v>
      </c>
      <c r="X223" s="3" t="s">
        <v>173</v>
      </c>
      <c r="Y223" s="3" t="str">
        <f>PROPER('Sales_RAW(BEFORE)'!W230)</f>
        <v>Credit Card</v>
      </c>
      <c r="Z223" s="3" t="str">
        <f>PROPER('Sales_RAW(BEFORE)'!X230)</f>
        <v>Pending</v>
      </c>
      <c r="AA223" s="3" t="str" cm="1">
        <f t="array" ref="AA223">_xlfn.LET(
  _xlpm.val, TRIM(LOWER('Sales_RAW(BEFORE)'!Y230)),
  _xlfn.IFS(
    OR(_xlpm.val="yes", _xlpm.val="paid"), "Paid",
    OR(_xlpm.val="no", _xlpm.val="unpaid"), "Unpaid",
    OR(_xlpm.val="partial", _xlpm.val="partial paid"), "Partial",
    _xlpm.val="", "",
    TRUE, 'Sales_RAW(BEFORE)'!AY230
  )
)</f>
        <v>Paid</v>
      </c>
      <c r="AB223" s="3" t="s">
        <v>3706</v>
      </c>
      <c r="AC223" s="3" t="str">
        <f>PROPER('Sales_RAW(BEFORE)'!AA230)</f>
        <v>Web</v>
      </c>
      <c r="AD223" s="3" t="str">
        <f>SUBSTITUTE(SUBSTITUTE(SUBSTITUTE(SUBSTITUTE('Sales_RAW(BEFORE)'!AB230,"st",""),"q",""),"Q",""),"uarter","")</f>
        <v>1</v>
      </c>
      <c r="AE223" s="3" t="str">
        <f>TEXT(IFERROR(DATEVALUE('Sales_RAW(BEFORE)'!AC230 &amp; " 1"), IFERROR(DATE(2025, 'Sales_RAW(BEFORE)'!AC230, 1), 'Sales_RAW(BEFORE)'!AC230)), "mmmm")</f>
        <v>June</v>
      </c>
      <c r="AF223" s="3">
        <f>_xlfn.LET(
  _xlpm.raw, TRIM(SUBSTITUTE('Sales_RAW(BEFORE)'!AD230, "'", "")),
  _xlpm.num, IFERROR(VALUE(_xlpm.raw), 0),
  IF(_xlpm.num &lt; 100, 2000 + _xlpm.num, _xlpm.num)
)</f>
        <v>2025</v>
      </c>
      <c r="AG223" s="3" t="str">
        <f>PROPER('Sales_RAW(BEFORE)'!AE230)</f>
        <v>Immediate</v>
      </c>
      <c r="AH223" s="3" cm="1">
        <f t="array" ref="AH223">_xlfn.LET(
  _xlpm.val, LOWER(TRIM('Sales_RAW(BEFORE)'!AF230)),
  _xlfn.IFS(
    OR(_xlpm.val="", _xlpm.val="null", _xlpm.val="N/A", _xlpm.val="-", _xlpm.val="#N/A"), 0,
    ISNUMBER('Sales_RAW(BEFORE)'!AF230), 'Sales_RAW(BEFORE)'!AF230,
    TRUE, IFERROR(_xlfn.NUMBERVALUE(_xlpm.val), 0)
  )
)</f>
        <v>25</v>
      </c>
      <c r="AI223" s="5">
        <f>IF(IFERROR(VALUE(SUBSTITUTE(SUBSTITUTE(TRIM('Sales_RAW(BEFORE)'!AG230), "%", ""), ",", ".")), 0) &gt; 1, IFERROR(VALUE(SUBSTITUTE(SUBSTITUTE(TRIM('Sales_RAW(BEFORE)'!AG230), "%", ""), ",", ".")), 0) / 100, IFERROR(VALUE(SUBSTITUTE(SUBSTITUTE(TRIM('Sales_RAW(BEFORE)'!AG230), "%", ""), ",", ".")), 0))</f>
        <v>0.08</v>
      </c>
      <c r="AJ223" s="6">
        <f t="shared" si="16"/>
        <v>372.16799999999995</v>
      </c>
      <c r="AK223" s="6">
        <f t="shared" si="17"/>
        <v>5024.2679999999991</v>
      </c>
      <c r="AL223" s="6">
        <f>IFERROR(VALUE(SUBSTITUTE(SUBSTITUTE(SUBSTITUTE('Sales_RAW(BEFORE)'!AJ230,"$",""),"USD",""),",",".")),0)</f>
        <v>46.62</v>
      </c>
      <c r="AM223" s="3" t="str">
        <f>SUBSTITUTE(SUBSTITUTE(PROPER('Sales_RAW(BEFORE)'!AK230), "Fed Ex", "FedEx"),"Fedex","FedEx")</f>
        <v>FedEx</v>
      </c>
      <c r="AN223" s="3" t="s">
        <v>3708</v>
      </c>
      <c r="AO223" s="3" t="str">
        <f>SUBSTITUTE('Sales_RAW(BEFORE)'!AM230,"kg","")</f>
        <v>21.77</v>
      </c>
      <c r="AP223" s="3" t="str">
        <f>_xlfn.LET(
  _xlpm.raw, UPPER(TRIM('Sales_RAW(BEFORE)'!AN230)),
  _xlpm.clean, RIGHT(_xlpm.raw, 1),
  IF(OR(_xlpm.raw="", _xlpm.raw="null"), "N/A", _xlpm.clean)
)</f>
        <v>C</v>
      </c>
      <c r="AQ223" s="3">
        <v>14</v>
      </c>
      <c r="AR223" s="3" cm="1">
        <f t="array" ref="AR223">_xlfn.LET(
  _xlpm.raw, LOWER(TRIM('Sales_RAW(BEFORE)'!AP230)),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223" s="3"/>
      <c r="AT223" s="3"/>
      <c r="AU223" s="3"/>
      <c r="AV223" s="8">
        <f>IF(IFERROR(VALUE(SUBSTITUTE(SUBSTITUTE(TRIM('Sales_RAW(BEFORE)'!AT230), "%", ""), ",", ".")), 0) &gt; 1, IFERROR(VALUE(SUBSTITUTE(SUBSTITUTE(TRIM('Sales_RAW(BEFORE)'!AT230), "%", ""), ",", ".")), 0) / 100, IFERROR(VALUE(SUBSTITUTE(SUBSTITUTE(TRIM('Sales_RAW(BEFORE)'!AT230), "%", ""), ",", ".")), 0))</f>
        <v>0.25</v>
      </c>
      <c r="AW223" s="6">
        <f>BA223*(_xlfn.XLOOKUP(N223,Employees!$A$2:$A$26,Employees!$E$2:$E$26,2))</f>
        <v>135.65523599999997</v>
      </c>
      <c r="AX223" s="3" t="str">
        <f>PROPER('Sales_RAW(BEFORE)'!AV230)</f>
        <v>Sarah Johnson</v>
      </c>
      <c r="AY223" s="3" t="str">
        <f t="shared" si="18"/>
        <v>Sarah Johnson</v>
      </c>
      <c r="AZ223" s="3"/>
      <c r="BA223" s="24">
        <f>AK223*(1-(_xlfn.XLOOKUP(G223, Exchange_Rates!$B$8:$F$8, Exchange_Rates!$B$9:$F$9, 0)+J223))</f>
        <v>4521.8411999999989</v>
      </c>
      <c r="BB223" s="7" cm="1">
        <f t="array" ref="BB223">_xlfn.LET(
  _xlpm.raw_dt, SUBSTITUTE(TRIM(C223), ".", "/"),
  _xlpm.dt, IFERROR(DATEVALUE(_xlpm.raw_dt), C223),
  _xlpm.p_code, TRIM(E223),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46925</v>
      </c>
      <c r="BC223" s="25">
        <f t="shared" si="19"/>
        <v>1130.4602999999997</v>
      </c>
    </row>
    <row r="224" spans="1:55" ht="15.75" thickBot="1" x14ac:dyDescent="0.3">
      <c r="A224" s="3" t="s">
        <v>3710</v>
      </c>
      <c r="B224" s="10">
        <v>45736</v>
      </c>
      <c r="C224" s="4">
        <v>45747</v>
      </c>
      <c r="D224" s="3" t="str">
        <f>"P-" &amp; TEXT(VALUE(SUBSTITUTE(SUBSTITUTE(SUBSTITUTE(UPPER(TRIM('Sales_RAW(BEFORE)'!D231)), "P", ""), "-", ""), "_", "")),"000")</f>
        <v>P-034</v>
      </c>
      <c r="E224" s="3" t="str">
        <f>VLOOKUP(D224,Product_List!$A$2:$B$61,2,FALSE)</f>
        <v>Mouse X 34</v>
      </c>
      <c r="F224" s="3" t="str">
        <f>_xlfn.XLOOKUP(E224,Product_List!$B$2:$B$61,Product_List!$E$2:$E$61,2)</f>
        <v>Global Distrib</v>
      </c>
      <c r="G224" s="3" t="str">
        <f>VLOOKUP(E224,Product_List!$B$2:$C$61,2,FALSE)</f>
        <v>Office</v>
      </c>
      <c r="H224" s="3" t="str">
        <f>SUBSTITUTE(SUBSTITUTE('Sales_RAW(BEFORE)'!G231,"kom",""),".","")</f>
        <v xml:space="preserve">19 </v>
      </c>
      <c r="I224" s="6">
        <f>VLOOKUP(E224,Product_List!$B$2:$D$61,3,FALSE)</f>
        <v>23.03</v>
      </c>
      <c r="J224" s="5">
        <f>IF(IFERROR(VALUE(SUBSTITUTE(SUBSTITUTE(TRIM('Sales_RAW(BEFORE)'!I231), "%", ""), ",", ".")), 0) &gt; 1, IFERROR(VALUE(SUBSTITUTE(SUBSTITUTE(TRIM('Sales_RAW(BEFORE)'!I231), "%", ""), ",", ".")), 0) / 100, IFERROR(VALUE(SUBSTITUTE(SUBSTITUTE(TRIM('Sales_RAW(BEFORE)'!I231), "%", ""), ",", ".")), 0))</f>
        <v>0.1</v>
      </c>
      <c r="K224" s="6">
        <f t="shared" si="15"/>
        <v>437.57000000000005</v>
      </c>
      <c r="L224" s="6" t="str" cm="1">
        <f t="array" ref="L224">_xlfn.LET(
  _xlpm.valuta, UPPER(TRIM('Sales_RAW(BEFORE)'!K231)),
  _xlfn.IFS(
    _xlpm.valuta = "", "",
    OR(_xlpm.valuta = "USD", _xlpm.valuta = "$"), "$",
    OR(_xlpm.valuta = "EUR", _xlpm.valuta = "€"), "€",
    TRUE, _xlpm.valuta
  )
)</f>
        <v>$</v>
      </c>
      <c r="M224" s="3" t="str">
        <f>"E" &amp; TEXT(VALUE(SUBSTITUTE(SUBSTITUTE(SUBSTITUTE(UPPER(TRIM('Sales_RAW(BEFORE)'!L231)), "EMP", ""), "E", ""), "-", "")),"000")</f>
        <v>E021</v>
      </c>
      <c r="N224" s="3" t="str">
        <f>_xlfn.XLOOKUP(M224,Employees!$D$2:$D$26,Employees!$A$2:$A$26)</f>
        <v>Chris Williams</v>
      </c>
      <c r="O224" s="3" t="str">
        <f>_xlfn.XLOOKUP(N224,Employees!$A$2:$A$26,Employees!$C$2:$C$26,2)</f>
        <v>Sales</v>
      </c>
      <c r="P224" s="3" t="str">
        <f>PROPER('Sales_RAW(BEFORE)'!N231)</f>
        <v>East</v>
      </c>
      <c r="Q224" s="3" t="str">
        <f>VLOOKUP(N224,Employees!$A$2:$B$26,2,FALSE)</f>
        <v>Boston</v>
      </c>
      <c r="R224" s="3" t="str">
        <f>PROPER('Sales_RAW(BEFORE)'!P231)</f>
        <v xml:space="preserve">Acme Inc  </v>
      </c>
      <c r="S224" s="3" t="str">
        <f>SUBSTITUTE(SUBSTITUTE('Sales_RAW(BEFORE)'!Q231,"EIN",""),":","")</f>
        <v xml:space="preserve"> 399145364</v>
      </c>
      <c r="T224" s="3" t="s">
        <v>2076</v>
      </c>
      <c r="U224" s="3" t="s">
        <v>3716</v>
      </c>
      <c r="V224" s="3" t="s">
        <v>3717</v>
      </c>
      <c r="W224" s="3" t="s">
        <v>3718</v>
      </c>
      <c r="X224" s="3" t="s">
        <v>173</v>
      </c>
      <c r="Y224" s="3" t="str">
        <f>PROPER('Sales_RAW(BEFORE)'!W231)</f>
        <v>Paypal</v>
      </c>
      <c r="Z224" s="3" t="str">
        <f>PROPER('Sales_RAW(BEFORE)'!X231)</f>
        <v>Delivered</v>
      </c>
      <c r="AA224" s="3" t="str" cm="1">
        <f t="array" ref="AA224">_xlfn.LET(
  _xlpm.val, TRIM(LOWER('Sales_RAW(BEFORE)'!Y231)),
  _xlfn.IFS(
    OR(_xlpm.val="yes", _xlpm.val="paid"), "Paid",
    OR(_xlpm.val="no", _xlpm.val="unpaid"), "Unpaid",
    OR(_xlpm.val="partial", _xlpm.val="partial paid"), "Partial",
    _xlpm.val="", "",
    TRUE, 'Sales_RAW(BEFORE)'!AY231
  )
)</f>
        <v>Paid</v>
      </c>
      <c r="AB224" s="3" t="s">
        <v>3719</v>
      </c>
      <c r="AC224" s="3" t="str">
        <f>PROPER('Sales_RAW(BEFORE)'!AA231)</f>
        <v>Online</v>
      </c>
      <c r="AD224" s="3" t="str">
        <f>SUBSTITUTE(SUBSTITUTE(SUBSTITUTE(SUBSTITUTE('Sales_RAW(BEFORE)'!AB231,"st",""),"q",""),"Q",""),"uarter","")</f>
        <v>4</v>
      </c>
      <c r="AE224" s="3" t="str">
        <f>TEXT(IFERROR(DATEVALUE('Sales_RAW(BEFORE)'!AC231 &amp; " 1"), IFERROR(DATE(2025, 'Sales_RAW(BEFORE)'!AC231, 1), 'Sales_RAW(BEFORE)'!AC231)), "mmmm")</f>
        <v>March</v>
      </c>
      <c r="AF224" s="3">
        <f>_xlfn.LET(
  _xlpm.raw, TRIM(SUBSTITUTE('Sales_RAW(BEFORE)'!AD231, "'", "")),
  _xlpm.num, IFERROR(VALUE(_xlpm.raw), 0),
  IF(_xlpm.num &lt; 100, 2000 + _xlpm.num, _xlpm.num)
)</f>
        <v>2025</v>
      </c>
      <c r="AG224" s="3" t="str">
        <f>PROPER('Sales_RAW(BEFORE)'!AE231)</f>
        <v>Net 30</v>
      </c>
      <c r="AH224" s="3" cm="1">
        <f t="array" ref="AH224">_xlfn.LET(
  _xlpm.val, LOWER(TRIM('Sales_RAW(BEFORE)'!AF231)),
  _xlfn.IFS(
    OR(_xlpm.val="", _xlpm.val="null", _xlpm.val="N/A", _xlpm.val="-", _xlpm.val="#N/A"), 0,
    ISNUMBER('Sales_RAW(BEFORE)'!AF231), 'Sales_RAW(BEFORE)'!AF231,
    TRUE, IFERROR(_xlfn.NUMBERVALUE(_xlpm.val), 0)
  )
)</f>
        <v>46</v>
      </c>
      <c r="AI224" s="5">
        <f>IF(IFERROR(VALUE(SUBSTITUTE(SUBSTITUTE(TRIM('Sales_RAW(BEFORE)'!AG231), "%", ""), ",", ".")), 0) &gt; 1, IFERROR(VALUE(SUBSTITUTE(SUBSTITUTE(TRIM('Sales_RAW(BEFORE)'!AG231), "%", ""), ",", ".")), 0) / 100, IFERROR(VALUE(SUBSTITUTE(SUBSTITUTE(TRIM('Sales_RAW(BEFORE)'!AG231), "%", ""), ",", ".")), 0))</f>
        <v>0.08</v>
      </c>
      <c r="AJ224" s="6">
        <f t="shared" si="16"/>
        <v>35.005600000000008</v>
      </c>
      <c r="AK224" s="6">
        <f t="shared" si="17"/>
        <v>472.57560000000007</v>
      </c>
      <c r="AL224" s="6">
        <f>IFERROR(VALUE(SUBSTITUTE(SUBSTITUTE(SUBSTITUTE('Sales_RAW(BEFORE)'!AJ231,"$",""),"USD",""),",",".")),0)</f>
        <v>35.14</v>
      </c>
      <c r="AM224" s="3" t="str">
        <f>SUBSTITUTE(SUBSTITUTE(PROPER('Sales_RAW(BEFORE)'!AK231), "Fed Ex", "FedEx"),"Fedex","FedEx")</f>
        <v>Dhl</v>
      </c>
      <c r="AN224" s="3" t="s">
        <v>3721</v>
      </c>
      <c r="AO224" s="3" t="str">
        <f>SUBSTITUTE('Sales_RAW(BEFORE)'!AM231,"kg","")</f>
        <v>23.15</v>
      </c>
      <c r="AP224" s="3" t="str">
        <f>_xlfn.LET(
  _xlpm.raw, UPPER(TRIM('Sales_RAW(BEFORE)'!AN231)),
  _xlpm.clean, RIGHT(_xlpm.raw, 1),
  IF(OR(_xlpm.raw="", _xlpm.raw="null"), "N/A", _xlpm.clean)
)</f>
        <v>B</v>
      </c>
      <c r="AQ224" s="3">
        <v>21</v>
      </c>
      <c r="AR224" s="3" cm="1">
        <f t="array" ref="AR224">_xlfn.LET(
  _xlpm.raw, LOWER(TRIM('Sales_RAW(BEFORE)'!AP231)),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224" s="3"/>
      <c r="AT224" s="3"/>
      <c r="AU224" s="3"/>
      <c r="AV224" s="8">
        <f>IF(IFERROR(VALUE(SUBSTITUTE(SUBSTITUTE(TRIM('Sales_RAW(BEFORE)'!AT231), "%", ""), ",", ".")), 0) &gt; 1, IFERROR(VALUE(SUBSTITUTE(SUBSTITUTE(TRIM('Sales_RAW(BEFORE)'!AT231), "%", ""), ",", ".")), 0) / 100, IFERROR(VALUE(SUBSTITUTE(SUBSTITUTE(TRIM('Sales_RAW(BEFORE)'!AT231), "%", ""), ",", ".")), 0))</f>
        <v>0.18</v>
      </c>
      <c r="AW224" s="6">
        <f>BA224*(_xlfn.XLOOKUP(N224,Employees!$A$2:$A$26,Employees!$E$2:$E$26,2))</f>
        <v>11.341814400000002</v>
      </c>
      <c r="AX224" s="3" t="str">
        <f>PROPER('Sales_RAW(BEFORE)'!AV231)</f>
        <v xml:space="preserve">  Michael Williams</v>
      </c>
      <c r="AY224" s="3" t="str">
        <f t="shared" si="18"/>
        <v xml:space="preserve">  Michael Williams</v>
      </c>
      <c r="AZ224" s="3"/>
      <c r="BA224" s="24">
        <f>AK224*(1-(_xlfn.XLOOKUP(G224, Exchange_Rates!$B$8:$F$8, Exchange_Rates!$B$9:$F$9, 0)+J224))</f>
        <v>378.0604800000001</v>
      </c>
      <c r="BB224" s="7" cm="1">
        <f t="array" ref="BB224">_xlfn.LET(
  _xlpm.raw_dt, SUBSTITUTE(TRIM(C224), ".", "/"),
  _xlpm.dt, IFERROR(DATEVALUE(_xlpm.raw_dt), C224),
  _xlpm.p_code, TRIM(E224),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46477</v>
      </c>
      <c r="BC224" s="25">
        <f t="shared" si="19"/>
        <v>68.05088640000001</v>
      </c>
    </row>
    <row r="225" spans="1:55" ht="15.75" thickBot="1" x14ac:dyDescent="0.3">
      <c r="A225" s="3" t="s">
        <v>3724</v>
      </c>
      <c r="B225" s="10">
        <f>DATE(2025,12,29)</f>
        <v>46020</v>
      </c>
      <c r="C225" s="4">
        <v>46025</v>
      </c>
      <c r="D225" s="3" t="str">
        <f>"P-" &amp; TEXT(VALUE(SUBSTITUTE(SUBSTITUTE(SUBSTITUTE(UPPER(TRIM('Sales_RAW(BEFORE)'!D232)), "P", ""), "-", ""), "_", "")),"000")</f>
        <v>P-013</v>
      </c>
      <c r="E225" s="3" t="str">
        <f>VLOOKUP(D225,Product_List!$A$2:$B$61,2,FALSE)</f>
        <v>Monitor Max 13</v>
      </c>
      <c r="F225" s="3" t="str">
        <f>_xlfn.XLOOKUP(E225,Product_List!$B$2:$B$61,Product_List!$E$2:$E$61,2)</f>
        <v>OfficeHub</v>
      </c>
      <c r="G225" s="3" t="str">
        <f>VLOOKUP(E225,Product_List!$B$2:$C$61,2,FALSE)</f>
        <v>Electronics</v>
      </c>
      <c r="H225" s="3" t="str">
        <f>SUBSTITUTE(SUBSTITUTE('Sales_RAW(BEFORE)'!G232,"kom",""),".","")</f>
        <v xml:space="preserve">1 </v>
      </c>
      <c r="I225" s="6">
        <f>VLOOKUP(E225,Product_List!$B$2:$D$61,3,FALSE)</f>
        <v>930.42</v>
      </c>
      <c r="J225" s="5">
        <f>IF(IFERROR(VALUE(SUBSTITUTE(SUBSTITUTE(TRIM('Sales_RAW(BEFORE)'!I232), "%", ""), ",", ".")), 0) &gt; 1, IFERROR(VALUE(SUBSTITUTE(SUBSTITUTE(TRIM('Sales_RAW(BEFORE)'!I232), "%", ""), ",", ".")), 0) / 100, IFERROR(VALUE(SUBSTITUTE(SUBSTITUTE(TRIM('Sales_RAW(BEFORE)'!I232), "%", ""), ",", ".")), 0))</f>
        <v>0.1</v>
      </c>
      <c r="K225" s="6">
        <f t="shared" si="15"/>
        <v>930.42</v>
      </c>
      <c r="L225" s="6" t="str" cm="1">
        <f t="array" ref="L225">_xlfn.LET(
  _xlpm.valuta, UPPER(TRIM('Sales_RAW(BEFORE)'!K232)),
  _xlfn.IFS(
    _xlpm.valuta = "", "",
    OR(_xlpm.valuta = "USD", _xlpm.valuta = "$"), "$",
    OR(_xlpm.valuta = "EUR", _xlpm.valuta = "€"), "€",
    TRUE, _xlpm.valuta
  )
)</f>
        <v>$</v>
      </c>
      <c r="M225" s="3" t="str">
        <f>"E" &amp; TEXT(VALUE(SUBSTITUTE(SUBSTITUTE(SUBSTITUTE(UPPER(TRIM('Sales_RAW(BEFORE)'!L232)), "EMP", ""), "E", ""), "-", "")),"000")</f>
        <v>E007</v>
      </c>
      <c r="N225" s="3" t="str">
        <f>_xlfn.XLOOKUP(M225,Employees!$D$2:$D$26,Employees!$A$2:$A$26)</f>
        <v>Emma Johnson</v>
      </c>
      <c r="O225" s="3" t="str">
        <f>_xlfn.XLOOKUP(N225,Employees!$A$2:$A$26,Employees!$C$2:$C$26,2)</f>
        <v>Wholesale</v>
      </c>
      <c r="P225" s="3" t="str">
        <f>PROPER('Sales_RAW(BEFORE)'!N232)</f>
        <v>West</v>
      </c>
      <c r="Q225" s="3" t="str">
        <f>VLOOKUP(N225,Employees!$A$2:$B$26,2,FALSE)</f>
        <v>Seattle</v>
      </c>
      <c r="R225" s="3" t="str">
        <f>PROPER('Sales_RAW(BEFORE)'!P232)</f>
        <v>Wayne Inc</v>
      </c>
      <c r="S225" s="3" t="str">
        <f>SUBSTITUTE(SUBSTITUTE('Sales_RAW(BEFORE)'!Q232,"EIN",""),":","")</f>
        <v>729792359</v>
      </c>
      <c r="T225" s="3" t="s">
        <v>1271</v>
      </c>
      <c r="U225" s="3" t="s">
        <v>3731</v>
      </c>
      <c r="V225" s="3" t="s">
        <v>3732</v>
      </c>
      <c r="W225" s="3" t="s">
        <v>3733</v>
      </c>
      <c r="X225" s="3" t="s">
        <v>173</v>
      </c>
      <c r="Y225" s="3" t="str">
        <f>PROPER('Sales_RAW(BEFORE)'!W232)</f>
        <v>Cash</v>
      </c>
      <c r="Z225" s="3" t="str">
        <f>PROPER('Sales_RAW(BEFORE)'!X232)</f>
        <v>Cancelled</v>
      </c>
      <c r="AA225" s="3" t="str" cm="1">
        <f t="array" ref="AA225">_xlfn.LET(
  _xlpm.val, TRIM(LOWER('Sales_RAW(BEFORE)'!Y232)),
  _xlfn.IFS(
    OR(_xlpm.val="yes", _xlpm.val="paid"), "Paid",
    OR(_xlpm.val="no", _xlpm.val="unpaid"), "Unpaid",
    OR(_xlpm.val="partial", _xlpm.val="partial paid"), "Partial",
    _xlpm.val="", "",
    TRUE, 'Sales_RAW(BEFORE)'!AY232
  )
)</f>
        <v>Partial</v>
      </c>
      <c r="AB225" s="3" t="s">
        <v>3734</v>
      </c>
      <c r="AC225" s="3" t="str">
        <f>PROPER('Sales_RAW(BEFORE)'!AA232)</f>
        <v>Store</v>
      </c>
      <c r="AD225" s="3" t="str">
        <f>SUBSTITUTE(SUBSTITUTE(SUBSTITUTE(SUBSTITUTE('Sales_RAW(BEFORE)'!AB232,"st",""),"q",""),"Q",""),"uarter","")</f>
        <v>3</v>
      </c>
      <c r="AE225" s="3" t="str">
        <f>TEXT(IFERROR(DATEVALUE('Sales_RAW(BEFORE)'!AC232 &amp; " 1"), IFERROR(DATE(2025, 'Sales_RAW(BEFORE)'!AC232, 1), 'Sales_RAW(BEFORE)'!AC232)), "mmmm")</f>
        <v>December</v>
      </c>
      <c r="AF225" s="3">
        <f>_xlfn.LET(
  _xlpm.raw, TRIM(SUBSTITUTE('Sales_RAW(BEFORE)'!AD232, "'", "")),
  _xlpm.num, IFERROR(VALUE(_xlpm.raw), 0),
  IF(_xlpm.num &lt; 100, 2000 + _xlpm.num, _xlpm.num)
)</f>
        <v>2025</v>
      </c>
      <c r="AG225" s="3" t="str">
        <f>PROPER('Sales_RAW(BEFORE)'!AE232)</f>
        <v>15</v>
      </c>
      <c r="AH225" s="3" cm="1">
        <f t="array" ref="AH225">_xlfn.LET(
  _xlpm.val, LOWER(TRIM('Sales_RAW(BEFORE)'!AF232)),
  _xlfn.IFS(
    OR(_xlpm.val="", _xlpm.val="null", _xlpm.val="N/A", _xlpm.val="-", _xlpm.val="#N/A"), 0,
    ISNUMBER('Sales_RAW(BEFORE)'!AF232), 'Sales_RAW(BEFORE)'!AF232,
    TRUE, IFERROR(_xlfn.NUMBERVALUE(_xlpm.val), 0)
  )
)</f>
        <v>38</v>
      </c>
      <c r="AI225" s="5">
        <f>IF(IFERROR(VALUE(SUBSTITUTE(SUBSTITUTE(TRIM('Sales_RAW(BEFORE)'!AG232), "%", ""), ",", ".")), 0) &gt; 1, IFERROR(VALUE(SUBSTITUTE(SUBSTITUTE(TRIM('Sales_RAW(BEFORE)'!AG232), "%", ""), ",", ".")), 0) / 100, IFERROR(VALUE(SUBSTITUTE(SUBSTITUTE(TRIM('Sales_RAW(BEFORE)'!AG232), "%", ""), ",", ".")), 0))</f>
        <v>0.08</v>
      </c>
      <c r="AJ225" s="6">
        <f t="shared" si="16"/>
        <v>74.433599999999998</v>
      </c>
      <c r="AK225" s="6">
        <f t="shared" si="17"/>
        <v>1004.8535999999999</v>
      </c>
      <c r="AL225" s="6">
        <f>IFERROR(VALUE(SUBSTITUTE(SUBSTITUTE(SUBSTITUTE('Sales_RAW(BEFORE)'!AJ232,"$",""),"USD",""),",",".")),0)</f>
        <v>14.09</v>
      </c>
      <c r="AM225" s="3" t="str">
        <f>SUBSTITUTE(SUBSTITUTE(PROPER('Sales_RAW(BEFORE)'!AK232), "Fed Ex", "FedEx"),"Fedex","FedEx")</f>
        <v>FedEx</v>
      </c>
      <c r="AN225" s="3" t="s">
        <v>3736</v>
      </c>
      <c r="AO225" s="3" t="str">
        <f>SUBSTITUTE('Sales_RAW(BEFORE)'!AM232,"kg","")</f>
        <v>20.95</v>
      </c>
      <c r="AP225" s="3" t="str">
        <f>_xlfn.LET(
  _xlpm.raw, UPPER(TRIM('Sales_RAW(BEFORE)'!AN232)),
  _xlpm.clean, RIGHT(_xlpm.raw, 1),
  IF(OR(_xlpm.raw="", _xlpm.raw="null"), "N/A", _xlpm.clean)
)</f>
        <v>C</v>
      </c>
      <c r="AQ225" s="3">
        <v>115</v>
      </c>
      <c r="AR225" s="3" cm="1">
        <f t="array" ref="AR225">_xlfn.LET(
  _xlpm.raw, LOWER(TRIM('Sales_RAW(BEFORE)'!AP232)),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225" s="3"/>
      <c r="AT225" s="3"/>
      <c r="AU225" s="3"/>
      <c r="AV225" s="8">
        <f>IF(IFERROR(VALUE(SUBSTITUTE(SUBSTITUTE(TRIM('Sales_RAW(BEFORE)'!AT232), "%", ""), ",", ".")), 0) &gt; 1, IFERROR(VALUE(SUBSTITUTE(SUBSTITUTE(TRIM('Sales_RAW(BEFORE)'!AT232), "%", ""), ",", ".")), 0) / 100, IFERROR(VALUE(SUBSTITUTE(SUBSTITUTE(TRIM('Sales_RAW(BEFORE)'!AT232), "%", ""), ",", ".")), 0))</f>
        <v>0.25</v>
      </c>
      <c r="AW225" s="6">
        <f>BA225*(_xlfn.XLOOKUP(N225,Employees!$A$2:$A$26,Employees!$E$2:$E$26,2))</f>
        <v>24.116486399999999</v>
      </c>
      <c r="AX225" s="3" t="str">
        <f>PROPER('Sales_RAW(BEFORE)'!AV232)</f>
        <v xml:space="preserve">  James Brown</v>
      </c>
      <c r="AY225" s="3" t="str">
        <f t="shared" si="18"/>
        <v xml:space="preserve">  James Brown</v>
      </c>
      <c r="AZ225" s="3"/>
      <c r="BA225" s="24">
        <f>AK225*(1-(_xlfn.XLOOKUP(G225, Exchange_Rates!$B$8:$F$8, Exchange_Rates!$B$9:$F$9, 0)+J225))</f>
        <v>803.88288</v>
      </c>
      <c r="BB225" s="7" cm="1">
        <f t="array" ref="BB225">_xlfn.LET(
  _xlpm.raw_dt, SUBSTITUTE(TRIM(C225), ".", "/"),
  _xlpm.dt, IFERROR(DATEVALUE(_xlpm.raw_dt), C225),
  _xlpm.p_code, TRIM(E225),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47121</v>
      </c>
      <c r="BC225" s="25">
        <f t="shared" si="19"/>
        <v>200.97072</v>
      </c>
    </row>
    <row r="226" spans="1:55" ht="15.75" thickBot="1" x14ac:dyDescent="0.3">
      <c r="A226" s="3" t="s">
        <v>3738</v>
      </c>
      <c r="B226" s="10">
        <v>45968</v>
      </c>
      <c r="C226" s="4">
        <v>45972</v>
      </c>
      <c r="D226" s="3" t="str">
        <f>"P-" &amp; TEXT(VALUE(SUBSTITUTE(SUBSTITUTE(SUBSTITUTE(UPPER(TRIM('Sales_RAW(BEFORE)'!D233)), "P", ""), "-", ""), "_", "")),"000")</f>
        <v>P-051</v>
      </c>
      <c r="E226" s="3" t="str">
        <f>VLOOKUP(D226,Product_List!$A$2:$B$61,2,FALSE)</f>
        <v>Cable Basic 51</v>
      </c>
      <c r="F226" s="3" t="str">
        <f>_xlfn.XLOOKUP(E226,Product_List!$B$2:$B$61,Product_List!$E$2:$E$61,2)</f>
        <v>TechSupply Co</v>
      </c>
      <c r="G226" s="3" t="str">
        <f>VLOOKUP(E226,Product_List!$B$2:$C$61,2,FALSE)</f>
        <v>Office</v>
      </c>
      <c r="H226" s="3" t="str">
        <f>SUBSTITUTE(SUBSTITUTE('Sales_RAW(BEFORE)'!G233,"kom",""),".","")</f>
        <v xml:space="preserve">15 </v>
      </c>
      <c r="I226" s="6">
        <f>VLOOKUP(E226,Product_List!$B$2:$D$61,3,FALSE)</f>
        <v>1036.6500000000001</v>
      </c>
      <c r="J226" s="5">
        <f>IF(IFERROR(VALUE(SUBSTITUTE(SUBSTITUTE(TRIM('Sales_RAW(BEFORE)'!I233), "%", ""), ",", ".")), 0) &gt; 1, IFERROR(VALUE(SUBSTITUTE(SUBSTITUTE(TRIM('Sales_RAW(BEFORE)'!I233), "%", ""), ",", ".")), 0) / 100, IFERROR(VALUE(SUBSTITUTE(SUBSTITUTE(TRIM('Sales_RAW(BEFORE)'!I233), "%", ""), ",", ".")), 0))</f>
        <v>0.1</v>
      </c>
      <c r="K226" s="6">
        <f t="shared" si="15"/>
        <v>15549.750000000002</v>
      </c>
      <c r="L226" s="6" t="str" cm="1">
        <f t="array" ref="L226">_xlfn.LET(
  _xlpm.valuta, UPPER(TRIM('Sales_RAW(BEFORE)'!K233)),
  _xlfn.IFS(
    _xlpm.valuta = "", "",
    OR(_xlpm.valuta = "USD", _xlpm.valuta = "$"), "$",
    OR(_xlpm.valuta = "EUR", _xlpm.valuta = "€"), "€",
    TRUE, _xlpm.valuta
  )
)</f>
        <v>$</v>
      </c>
      <c r="M226" s="3" t="str">
        <f>"E" &amp; TEXT(VALUE(SUBSTITUTE(SUBSTITUTE(SUBSTITUTE(UPPER(TRIM('Sales_RAW(BEFORE)'!L233)), "EMP", ""), "E", ""), "-", "")),"000")</f>
        <v>E010</v>
      </c>
      <c r="N226" s="3" t="str">
        <f>_xlfn.XLOOKUP(M226,Employees!$D$2:$D$26,Employees!$A$2:$A$26)</f>
        <v>Olivia Anderson</v>
      </c>
      <c r="O226" s="3" t="str">
        <f>_xlfn.XLOOKUP(N226,Employees!$A$2:$A$26,Employees!$C$2:$C$26,2)</f>
        <v>Online</v>
      </c>
      <c r="P226" s="3" t="str">
        <f>PROPER('Sales_RAW(BEFORE)'!N233)</f>
        <v>North</v>
      </c>
      <c r="Q226" s="3" t="str">
        <f>VLOOKUP(N226,Employees!$A$2:$B$26,2,FALSE)</f>
        <v>Houston</v>
      </c>
      <c r="R226" s="3" t="str">
        <f>PROPER('Sales_RAW(BEFORE)'!P233)</f>
        <v xml:space="preserve"> Initech Inc. </v>
      </c>
      <c r="S226" s="3" t="str">
        <f>SUBSTITUTE(SUBSTITUTE('Sales_RAW(BEFORE)'!Q233,"EIN",""),":","")</f>
        <v>893568717</v>
      </c>
      <c r="T226" s="3" t="s">
        <v>624</v>
      </c>
      <c r="U226" s="3" t="s">
        <v>3745</v>
      </c>
      <c r="V226" s="3" t="s">
        <v>3746</v>
      </c>
      <c r="W226" s="3" t="s">
        <v>3747</v>
      </c>
      <c r="X226" s="3" t="s">
        <v>173</v>
      </c>
      <c r="Y226" s="3" t="str">
        <f>PROPER('Sales_RAW(BEFORE)'!W233)</f>
        <v>Credit Card</v>
      </c>
      <c r="Z226" s="3" t="str">
        <f>PROPER('Sales_RAW(BEFORE)'!X233)</f>
        <v>Cancelled</v>
      </c>
      <c r="AA226" s="3" t="str" cm="1">
        <f t="array" ref="AA226">_xlfn.LET(
  _xlpm.val, TRIM(LOWER('Sales_RAW(BEFORE)'!Y233)),
  _xlfn.IFS(
    OR(_xlpm.val="yes", _xlpm.val="paid"), "Paid",
    OR(_xlpm.val="no", _xlpm.val="unpaid"), "Unpaid",
    OR(_xlpm.val="partial", _xlpm.val="partial paid"), "Partial",
    _xlpm.val="", "",
    TRUE, 'Sales_RAW(BEFORE)'!AY233
  )
)</f>
        <v>Unpaid</v>
      </c>
      <c r="AB226" s="3" t="s">
        <v>3748</v>
      </c>
      <c r="AC226" s="3" t="str">
        <f>PROPER('Sales_RAW(BEFORE)'!AA233)</f>
        <v>Online</v>
      </c>
      <c r="AD226" s="3" t="str">
        <f>SUBSTITUTE(SUBSTITUTE(SUBSTITUTE(SUBSTITUTE('Sales_RAW(BEFORE)'!AB233,"st",""),"q",""),"Q",""),"uarter","")</f>
        <v>1</v>
      </c>
      <c r="AE226" s="3" t="str">
        <f>TEXT(IFERROR(DATEVALUE('Sales_RAW(BEFORE)'!AC233 &amp; " 1"), IFERROR(DATE(2025, 'Sales_RAW(BEFORE)'!AC233, 1), 'Sales_RAW(BEFORE)'!AC233)), "mmmm")</f>
        <v>November</v>
      </c>
      <c r="AF226" s="3">
        <f>_xlfn.LET(
  _xlpm.raw, TRIM(SUBSTITUTE('Sales_RAW(BEFORE)'!AD233, "'", "")),
  _xlpm.num, IFERROR(VALUE(_xlpm.raw), 0),
  IF(_xlpm.num &lt; 100, 2000 + _xlpm.num, _xlpm.num)
)</f>
        <v>2025</v>
      </c>
      <c r="AG226" s="3" t="str">
        <f>PROPER('Sales_RAW(BEFORE)'!AE233)</f>
        <v>Net 60</v>
      </c>
      <c r="AH226" s="3" cm="1">
        <f t="array" ref="AH226">_xlfn.LET(
  _xlpm.val, LOWER(TRIM('Sales_RAW(BEFORE)'!AF233)),
  _xlfn.IFS(
    OR(_xlpm.val="", _xlpm.val="null", _xlpm.val="N/A", _xlpm.val="-", _xlpm.val="#N/A"), 0,
    ISNUMBER('Sales_RAW(BEFORE)'!AF233), 'Sales_RAW(BEFORE)'!AF233,
    TRUE, IFERROR(_xlfn.NUMBERVALUE(_xlpm.val), 0)
  )
)</f>
        <v>74</v>
      </c>
      <c r="AI226" s="5">
        <f>IF(IFERROR(VALUE(SUBSTITUTE(SUBSTITUTE(TRIM('Sales_RAW(BEFORE)'!AG233), "%", ""), ",", ".")), 0) &gt; 1, IFERROR(VALUE(SUBSTITUTE(SUBSTITUTE(TRIM('Sales_RAW(BEFORE)'!AG233), "%", ""), ",", ".")), 0) / 100, IFERROR(VALUE(SUBSTITUTE(SUBSTITUTE(TRIM('Sales_RAW(BEFORE)'!AG233), "%", ""), ",", ".")), 0))</f>
        <v>0.08</v>
      </c>
      <c r="AJ226" s="6">
        <f t="shared" si="16"/>
        <v>1243.9800000000002</v>
      </c>
      <c r="AK226" s="6">
        <f t="shared" si="17"/>
        <v>16793.730000000003</v>
      </c>
      <c r="AL226" s="6">
        <f>IFERROR(VALUE(SUBSTITUTE(SUBSTITUTE(SUBSTITUTE('Sales_RAW(BEFORE)'!AJ233,"$",""),"USD",""),",",".")),0)</f>
        <v>22.23</v>
      </c>
      <c r="AM226" s="3" t="str">
        <f>SUBSTITUTE(SUBSTITUTE(PROPER('Sales_RAW(BEFORE)'!AK233), "Fed Ex", "FedEx"),"Fedex","FedEx")</f>
        <v>Ups</v>
      </c>
      <c r="AN226" s="3" t="s">
        <v>3750</v>
      </c>
      <c r="AO226" s="3" t="str">
        <f>SUBSTITUTE('Sales_RAW(BEFORE)'!AM233,"kg","")</f>
        <v>28,57</v>
      </c>
      <c r="AP226" s="3" t="str">
        <f>_xlfn.LET(
  _xlpm.raw, UPPER(TRIM('Sales_RAW(BEFORE)'!AN233)),
  _xlpm.clean, RIGHT(_xlpm.raw, 1),
  IF(OR(_xlpm.raw="", _xlpm.raw="null"), "N/A", _xlpm.clean)
)</f>
        <v>A</v>
      </c>
      <c r="AQ226" s="3">
        <v>197</v>
      </c>
      <c r="AR226" s="3" cm="1">
        <f t="array" ref="AR226">_xlfn.LET(
  _xlpm.raw, LOWER(TRIM('Sales_RAW(BEFORE)'!AP233)),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226" s="3"/>
      <c r="AT226" s="3"/>
      <c r="AU226" s="3"/>
      <c r="AV226" s="8">
        <f>IF(IFERROR(VALUE(SUBSTITUTE(SUBSTITUTE(TRIM('Sales_RAW(BEFORE)'!AT233), "%", ""), ",", ".")), 0) &gt; 1, IFERROR(VALUE(SUBSTITUTE(SUBSTITUTE(TRIM('Sales_RAW(BEFORE)'!AT233), "%", ""), ",", ".")), 0) / 100, IFERROR(VALUE(SUBSTITUTE(SUBSTITUTE(TRIM('Sales_RAW(BEFORE)'!AT233), "%", ""), ",", ".")), 0))</f>
        <v>0.15</v>
      </c>
      <c r="AW226" s="6">
        <f>BA226*(_xlfn.XLOOKUP(N226,Employees!$A$2:$A$26,Employees!$E$2:$E$26,2))</f>
        <v>403.04952000000009</v>
      </c>
      <c r="AX226" s="3" t="str">
        <f>PROPER('Sales_RAW(BEFORE)'!AV233)</f>
        <v>James Davis</v>
      </c>
      <c r="AY226" s="3" t="str">
        <f t="shared" si="18"/>
        <v>James Davis</v>
      </c>
      <c r="AZ226" s="3"/>
      <c r="BA226" s="24">
        <f>AK226*(1-(_xlfn.XLOOKUP(G226, Exchange_Rates!$B$8:$F$8, Exchange_Rates!$B$9:$F$9, 0)+J226))</f>
        <v>13434.984000000004</v>
      </c>
      <c r="BB226" s="7" cm="1">
        <f t="array" ref="BB226">_xlfn.LET(
  _xlpm.raw_dt, SUBSTITUTE(TRIM(C226), ".", "/"),
  _xlpm.dt, IFERROR(DATEVALUE(_xlpm.raw_dt), C226),
  _xlpm.p_code, TRIM(E226),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46702</v>
      </c>
      <c r="BC226" s="25">
        <f t="shared" si="19"/>
        <v>2015.2476000000006</v>
      </c>
    </row>
    <row r="227" spans="1:55" ht="15.75" thickBot="1" x14ac:dyDescent="0.3">
      <c r="A227" s="3" t="s">
        <v>3754</v>
      </c>
      <c r="B227" s="10">
        <v>46046</v>
      </c>
      <c r="C227" s="4">
        <v>46054</v>
      </c>
      <c r="D227" s="3" t="str">
        <f>"P-" &amp; TEXT(VALUE(SUBSTITUTE(SUBSTITUTE(SUBSTITUTE(UPPER(TRIM('Sales_RAW(BEFORE)'!D234)), "P", ""), "-", ""), "_", "")),"000")</f>
        <v>P-012</v>
      </c>
      <c r="E227" s="3" t="str">
        <f>VLOOKUP(D227,Product_List!$A$2:$B$61,2,FALSE)</f>
        <v>Keyboard Basic 12</v>
      </c>
      <c r="F227" s="3" t="str">
        <f>_xlfn.XLOOKUP(E227,Product_List!$B$2:$B$61,Product_List!$E$2:$E$61,2)</f>
        <v>OfficeHub</v>
      </c>
      <c r="G227" s="3" t="str">
        <f>VLOOKUP(E227,Product_List!$B$2:$C$61,2,FALSE)</f>
        <v>Electronics</v>
      </c>
      <c r="H227" s="3" t="str">
        <f>SUBSTITUTE(SUBSTITUTE('Sales_RAW(BEFORE)'!G234,"kom",""),".","")</f>
        <v xml:space="preserve">7 </v>
      </c>
      <c r="I227" s="6">
        <f>VLOOKUP(E227,Product_List!$B$2:$D$61,3,FALSE)</f>
        <v>823.88</v>
      </c>
      <c r="J227" s="5">
        <f>IF(IFERROR(VALUE(SUBSTITUTE(SUBSTITUTE(TRIM('Sales_RAW(BEFORE)'!I234), "%", ""), ",", ".")), 0) &gt; 1, IFERROR(VALUE(SUBSTITUTE(SUBSTITUTE(TRIM('Sales_RAW(BEFORE)'!I234), "%", ""), ",", ".")), 0) / 100, IFERROR(VALUE(SUBSTITUTE(SUBSTITUTE(TRIM('Sales_RAW(BEFORE)'!I234), "%", ""), ",", ".")), 0))</f>
        <v>0</v>
      </c>
      <c r="K227" s="6">
        <f t="shared" si="15"/>
        <v>5767.16</v>
      </c>
      <c r="L227" s="6" t="str" cm="1">
        <f t="array" ref="L227">_xlfn.LET(
  _xlpm.valuta, UPPER(TRIM('Sales_RAW(BEFORE)'!K234)),
  _xlfn.IFS(
    _xlpm.valuta = "", "",
    OR(_xlpm.valuta = "USD", _xlpm.valuta = "$"), "$",
    OR(_xlpm.valuta = "EUR", _xlpm.valuta = "€"), "€",
    TRUE, _xlpm.valuta
  )
)</f>
        <v>$</v>
      </c>
      <c r="M227" s="3" t="str">
        <f>"E" &amp; TEXT(VALUE(SUBSTITUTE(SUBSTITUTE(SUBSTITUTE(UPPER(TRIM('Sales_RAW(BEFORE)'!L234)), "EMP", ""), "E", ""), "-", "")),"000")</f>
        <v>E018</v>
      </c>
      <c r="N227" s="3" t="str">
        <f>_xlfn.XLOOKUP(M227,Employees!$D$2:$D$26,Employees!$A$2:$A$26)</f>
        <v>John Miller</v>
      </c>
      <c r="O227" s="3" t="str">
        <f>_xlfn.XLOOKUP(N227,Employees!$A$2:$A$26,Employees!$C$2:$C$26,2)</f>
        <v>Retail</v>
      </c>
      <c r="P227" s="3" t="str">
        <f>PROPER('Sales_RAW(BEFORE)'!N234)</f>
        <v>South</v>
      </c>
      <c r="Q227" s="3" t="str">
        <f>VLOOKUP(N227,Employees!$A$2:$B$26,2,FALSE)</f>
        <v>Houston</v>
      </c>
      <c r="R227" s="3" t="str">
        <f>PROPER('Sales_RAW(BEFORE)'!P234)</f>
        <v>Initech Llc</v>
      </c>
      <c r="S227" s="3" t="str">
        <f>SUBSTITUTE(SUBSTITUTE('Sales_RAW(BEFORE)'!Q234,"EIN",""),":","")</f>
        <v xml:space="preserve"> 782814929</v>
      </c>
      <c r="T227" s="3" t="s">
        <v>169</v>
      </c>
      <c r="U227" s="3" t="s">
        <v>3760</v>
      </c>
      <c r="V227" s="3" t="s">
        <v>3761</v>
      </c>
      <c r="W227" s="3" t="s">
        <v>3762</v>
      </c>
      <c r="X227" s="3" t="s">
        <v>173</v>
      </c>
      <c r="Y227" s="3" t="str">
        <f>PROPER('Sales_RAW(BEFORE)'!W234)</f>
        <v>Credit Card</v>
      </c>
      <c r="Z227" s="3" t="str">
        <f>PROPER('Sales_RAW(BEFORE)'!X234)</f>
        <v>Cancelled</v>
      </c>
      <c r="AA227" s="3" t="str" cm="1">
        <f t="array" ref="AA227">_xlfn.LET(
  _xlpm.val, TRIM(LOWER('Sales_RAW(BEFORE)'!Y234)),
  _xlfn.IFS(
    OR(_xlpm.val="yes", _xlpm.val="paid"), "Paid",
    OR(_xlpm.val="no", _xlpm.val="unpaid"), "Unpaid",
    OR(_xlpm.val="partial", _xlpm.val="partial paid"), "Partial",
    _xlpm.val="", "",
    TRUE, 'Sales_RAW(BEFORE)'!AY234
  )
)</f>
        <v>Paid</v>
      </c>
      <c r="AB227" s="3" t="s">
        <v>3763</v>
      </c>
      <c r="AC227" s="3" t="str">
        <f>PROPER('Sales_RAW(BEFORE)'!AA234)</f>
        <v>Online</v>
      </c>
      <c r="AD227" s="3" t="str">
        <f>SUBSTITUTE(SUBSTITUTE(SUBSTITUTE(SUBSTITUTE('Sales_RAW(BEFORE)'!AB234,"st",""),"q",""),"Q",""),"uarter","")</f>
        <v>1</v>
      </c>
      <c r="AE227" s="3" t="str">
        <f>TEXT(IFERROR(DATEVALUE('Sales_RAW(BEFORE)'!AC234 &amp; " 1"), IFERROR(DATE(2025, 'Sales_RAW(BEFORE)'!AC234, 1), 'Sales_RAW(BEFORE)'!AC234)), "mmmm")</f>
        <v>January</v>
      </c>
      <c r="AF227" s="3">
        <f>_xlfn.LET(
  _xlpm.raw, TRIM(SUBSTITUTE('Sales_RAW(BEFORE)'!AD234, "'", "")),
  _xlpm.num, IFERROR(VALUE(_xlpm.raw), 0),
  IF(_xlpm.num &lt; 100, 2000 + _xlpm.num, _xlpm.num)
)</f>
        <v>2026</v>
      </c>
      <c r="AG227" s="3" t="str">
        <f>PROPER('Sales_RAW(BEFORE)'!AE234)</f>
        <v>Net 60</v>
      </c>
      <c r="AH227" s="3" cm="1">
        <f t="array" ref="AH227">_xlfn.LET(
  _xlpm.val, LOWER(TRIM('Sales_RAW(BEFORE)'!AF234)),
  _xlfn.IFS(
    OR(_xlpm.val="", _xlpm.val="null", _xlpm.val="N/A", _xlpm.val="-", _xlpm.val="#N/A"), 0,
    ISNUMBER('Sales_RAW(BEFORE)'!AF234), 'Sales_RAW(BEFORE)'!AF234,
    TRUE, IFERROR(_xlfn.NUMBERVALUE(_xlpm.val), 0)
  )
)</f>
        <v>3</v>
      </c>
      <c r="AI227" s="5">
        <f>IF(IFERROR(VALUE(SUBSTITUTE(SUBSTITUTE(TRIM('Sales_RAW(BEFORE)'!AG234), "%", ""), ",", ".")), 0) &gt; 1, IFERROR(VALUE(SUBSTITUTE(SUBSTITUTE(TRIM('Sales_RAW(BEFORE)'!AG234), "%", ""), ",", ".")), 0) / 100, IFERROR(VALUE(SUBSTITUTE(SUBSTITUTE(TRIM('Sales_RAW(BEFORE)'!AG234), "%", ""), ",", ".")), 0))</f>
        <v>0.08</v>
      </c>
      <c r="AJ227" s="6">
        <f t="shared" si="16"/>
        <v>461.37279999999998</v>
      </c>
      <c r="AK227" s="6">
        <f t="shared" si="17"/>
        <v>6228.5328</v>
      </c>
      <c r="AL227" s="6">
        <f>IFERROR(VALUE(SUBSTITUTE(SUBSTITUTE(SUBSTITUTE('Sales_RAW(BEFORE)'!AJ234,"$",""),"USD",""),",",".")),0)</f>
        <v>43.36</v>
      </c>
      <c r="AM227" s="3" t="str">
        <f>SUBSTITUTE(SUBSTITUTE(PROPER('Sales_RAW(BEFORE)'!AK234), "Fed Ex", "FedEx"),"Fedex","FedEx")</f>
        <v>Dhl</v>
      </c>
      <c r="AN227" s="3" t="s">
        <v>3765</v>
      </c>
      <c r="AO227" s="3" t="str">
        <f>SUBSTITUTE('Sales_RAW(BEFORE)'!AM234,"kg","")</f>
        <v>27,55</v>
      </c>
      <c r="AP227" s="3" t="str">
        <f>_xlfn.LET(
  _xlpm.raw, UPPER(TRIM('Sales_RAW(BEFORE)'!AN234)),
  _xlpm.clean, RIGHT(_xlpm.raw, 1),
  IF(OR(_xlpm.raw="", _xlpm.raw="null"), "N/A", _xlpm.clean)
)</f>
        <v>B</v>
      </c>
      <c r="AQ227" s="3">
        <v>301</v>
      </c>
      <c r="AR227" s="3" cm="1">
        <f t="array" ref="AR227">_xlfn.LET(
  _xlpm.raw, LOWER(TRIM('Sales_RAW(BEFORE)'!AP234)),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227" s="3"/>
      <c r="AT227" s="3"/>
      <c r="AU227" s="3"/>
      <c r="AV227" s="8">
        <f>IF(IFERROR(VALUE(SUBSTITUTE(SUBSTITUTE(TRIM('Sales_RAW(BEFORE)'!AT234), "%", ""), ",", ".")), 0) &gt; 1, IFERROR(VALUE(SUBSTITUTE(SUBSTITUTE(TRIM('Sales_RAW(BEFORE)'!AT234), "%", ""), ",", ".")), 0) / 100, IFERROR(VALUE(SUBSTITUTE(SUBSTITUTE(TRIM('Sales_RAW(BEFORE)'!AT234), "%", ""), ",", ".")), 0))</f>
        <v>0.18</v>
      </c>
      <c r="AW227" s="6">
        <f>BA227*(_xlfn.XLOOKUP(N227,Employees!$A$2:$A$26,Employees!$E$2:$E$26,2))</f>
        <v>112.11359039999999</v>
      </c>
      <c r="AX227" s="3" t="str">
        <f>PROPER('Sales_RAW(BEFORE)'!AV234)</f>
        <v xml:space="preserve">Sarah Davis   </v>
      </c>
      <c r="AY227" s="3" t="str">
        <f t="shared" si="18"/>
        <v xml:space="preserve">Sarah Davis   </v>
      </c>
      <c r="AZ227" s="3"/>
      <c r="BA227" s="24">
        <f>AK227*(1-(_xlfn.XLOOKUP(G227, Exchange_Rates!$B$8:$F$8, Exchange_Rates!$B$9:$F$9, 0)+J227))</f>
        <v>5605.6795199999997</v>
      </c>
      <c r="BB227" s="7" cm="1">
        <f t="array" ref="BB227">_xlfn.LET(
  _xlpm.raw_dt, SUBSTITUTE(TRIM(C227), ".", "/"),
  _xlpm.dt, IFERROR(DATEVALUE(_xlpm.raw_dt), C227),
  _xlpm.p_code, TRIM(E227),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47150</v>
      </c>
      <c r="BC227" s="25">
        <f t="shared" si="19"/>
        <v>1009.0223136</v>
      </c>
    </row>
    <row r="228" spans="1:55" ht="15.75" thickBot="1" x14ac:dyDescent="0.3">
      <c r="A228" s="3" t="s">
        <v>3769</v>
      </c>
      <c r="B228" s="10">
        <v>45945</v>
      </c>
      <c r="C228" s="4">
        <v>45951</v>
      </c>
      <c r="D228" s="3" t="str">
        <f>"P-" &amp; TEXT(VALUE(SUBSTITUTE(SUBSTITUTE(SUBSTITUTE(UPPER(TRIM('Sales_RAW(BEFORE)'!D235)), "P", ""), "-", ""), "_", "")),"000")</f>
        <v>P-007</v>
      </c>
      <c r="E228" s="3" t="str">
        <f>VLOOKUP(D228,Product_List!$A$2:$B$61,2,FALSE)</f>
        <v>Headphones Max 7</v>
      </c>
      <c r="F228" s="3" t="str">
        <f>_xlfn.XLOOKUP(E228,Product_List!$B$2:$B$61,Product_List!$E$2:$E$61,2)</f>
        <v>OfficeHub</v>
      </c>
      <c r="G228" s="3" t="str">
        <f>VLOOKUP(E228,Product_List!$B$2:$C$61,2,FALSE)</f>
        <v>Software</v>
      </c>
      <c r="H228" s="3" t="str">
        <f>SUBSTITUTE(SUBSTITUTE('Sales_RAW(BEFORE)'!G235,"kom",""),".","")</f>
        <v>11</v>
      </c>
      <c r="I228" s="6">
        <f>VLOOKUP(E228,Product_List!$B$2:$D$61,3,FALSE)</f>
        <v>79.14</v>
      </c>
      <c r="J228" s="5">
        <f>IF(IFERROR(VALUE(SUBSTITUTE(SUBSTITUTE(TRIM('Sales_RAW(BEFORE)'!I235), "%", ""), ",", ".")), 0) &gt; 1, IFERROR(VALUE(SUBSTITUTE(SUBSTITUTE(TRIM('Sales_RAW(BEFORE)'!I235), "%", ""), ",", ".")), 0) / 100, IFERROR(VALUE(SUBSTITUTE(SUBSTITUTE(TRIM('Sales_RAW(BEFORE)'!I235), "%", ""), ",", ".")), 0))</f>
        <v>0.1</v>
      </c>
      <c r="K228" s="6">
        <f t="shared" si="15"/>
        <v>870.54</v>
      </c>
      <c r="L228" s="6" t="str" cm="1">
        <f t="array" ref="L228">_xlfn.LET(
  _xlpm.valuta, UPPER(TRIM('Sales_RAW(BEFORE)'!K235)),
  _xlfn.IFS(
    _xlpm.valuta = "", "",
    OR(_xlpm.valuta = "USD", _xlpm.valuta = "$"), "$",
    OR(_xlpm.valuta = "EUR", _xlpm.valuta = "€"), "€",
    TRUE, _xlpm.valuta
  )
)</f>
        <v>$</v>
      </c>
      <c r="M228" s="3" t="str">
        <f>"E" &amp; TEXT(VALUE(SUBSTITUTE(SUBSTITUTE(SUBSTITUTE(UPPER(TRIM('Sales_RAW(BEFORE)'!L235)), "EMP", ""), "E", ""), "-", "")),"000")</f>
        <v>E021</v>
      </c>
      <c r="N228" s="3" t="str">
        <f>_xlfn.XLOOKUP(M228,Employees!$D$2:$D$26,Employees!$A$2:$A$26)</f>
        <v>Chris Williams</v>
      </c>
      <c r="O228" s="3" t="str">
        <f>_xlfn.XLOOKUP(N228,Employees!$A$2:$A$26,Employees!$C$2:$C$26,2)</f>
        <v>Sales</v>
      </c>
      <c r="P228" s="3" t="str">
        <f>PROPER('Sales_RAW(BEFORE)'!N235)</f>
        <v>East</v>
      </c>
      <c r="Q228" s="3" t="str">
        <f>VLOOKUP(N228,Employees!$A$2:$B$26,2,FALSE)</f>
        <v>Boston</v>
      </c>
      <c r="R228" s="3" t="str">
        <f>PROPER('Sales_RAW(BEFORE)'!P235)</f>
        <v>Globex Ltd.</v>
      </c>
      <c r="S228" s="3" t="str">
        <f>SUBSTITUTE(SUBSTITUTE('Sales_RAW(BEFORE)'!Q235,"EIN",""),":","")</f>
        <v xml:space="preserve"> 321755434</v>
      </c>
      <c r="T228" s="3" t="s">
        <v>286</v>
      </c>
      <c r="U228" s="3" t="s">
        <v>3774</v>
      </c>
      <c r="V228" s="3" t="s">
        <v>3775</v>
      </c>
      <c r="W228" s="3" t="s">
        <v>3776</v>
      </c>
      <c r="X228" s="3" t="s">
        <v>173</v>
      </c>
      <c r="Y228" s="3" t="str">
        <f>PROPER('Sales_RAW(BEFORE)'!W235)</f>
        <v>Credit Card</v>
      </c>
      <c r="Z228" s="3" t="str">
        <f>PROPER('Sales_RAW(BEFORE)'!X235)</f>
        <v>Pending</v>
      </c>
      <c r="AA228" s="3" t="str" cm="1">
        <f t="array" ref="AA228">_xlfn.LET(
  _xlpm.val, TRIM(LOWER('Sales_RAW(BEFORE)'!Y235)),
  _xlfn.IFS(
    OR(_xlpm.val="yes", _xlpm.val="paid"), "Paid",
    OR(_xlpm.val="no", _xlpm.val="unpaid"), "Unpaid",
    OR(_xlpm.val="partial", _xlpm.val="partial paid"), "Partial",
    _xlpm.val="", "",
    TRUE, 'Sales_RAW(BEFORE)'!AY235
  )
)</f>
        <v>Paid</v>
      </c>
      <c r="AB228" s="3" t="s">
        <v>3777</v>
      </c>
      <c r="AC228" s="3" t="str">
        <f>PROPER('Sales_RAW(BEFORE)'!AA235)</f>
        <v>Phone</v>
      </c>
      <c r="AD228" s="3" t="str">
        <f>SUBSTITUTE(SUBSTITUTE(SUBSTITUTE(SUBSTITUTE('Sales_RAW(BEFORE)'!AB235,"st",""),"q",""),"Q",""),"uarter","")</f>
        <v>3</v>
      </c>
      <c r="AE228" s="3" t="str">
        <f>TEXT(IFERROR(DATEVALUE('Sales_RAW(BEFORE)'!AC235 &amp; " 1"), IFERROR(DATE(2025, 'Sales_RAW(BEFORE)'!AC235, 1), 'Sales_RAW(BEFORE)'!AC235)), "mmmm")</f>
        <v>October</v>
      </c>
      <c r="AF228" s="3">
        <f>_xlfn.LET(
  _xlpm.raw, TRIM(SUBSTITUTE('Sales_RAW(BEFORE)'!AD235, "'", "")),
  _xlpm.num, IFERROR(VALUE(_xlpm.raw), 0),
  IF(_xlpm.num &lt; 100, 2000 + _xlpm.num, _xlpm.num)
)</f>
        <v>2025</v>
      </c>
      <c r="AG228" s="3" t="str">
        <f>PROPER('Sales_RAW(BEFORE)'!AE235)</f>
        <v>Net 30</v>
      </c>
      <c r="AH228" s="3" cm="1">
        <f t="array" ref="AH228">_xlfn.LET(
  _xlpm.val, LOWER(TRIM('Sales_RAW(BEFORE)'!AF235)),
  _xlfn.IFS(
    OR(_xlpm.val="", _xlpm.val="null", _xlpm.val="N/A", _xlpm.val="-", _xlpm.val="#N/A"), 0,
    ISNUMBER('Sales_RAW(BEFORE)'!AF235), 'Sales_RAW(BEFORE)'!AF235,
    TRUE, IFERROR(_xlfn.NUMBERVALUE(_xlpm.val), 0)
  )
)</f>
        <v>9</v>
      </c>
      <c r="AI228" s="5">
        <f>IF(IFERROR(VALUE(SUBSTITUTE(SUBSTITUTE(TRIM('Sales_RAW(BEFORE)'!AG235), "%", ""), ",", ".")), 0) &gt; 1, IFERROR(VALUE(SUBSTITUTE(SUBSTITUTE(TRIM('Sales_RAW(BEFORE)'!AG235), "%", ""), ",", ".")), 0) / 100, IFERROR(VALUE(SUBSTITUTE(SUBSTITUTE(TRIM('Sales_RAW(BEFORE)'!AG235), "%", ""), ",", ".")), 0))</f>
        <v>0.08</v>
      </c>
      <c r="AJ228" s="6">
        <f t="shared" si="16"/>
        <v>69.643199999999993</v>
      </c>
      <c r="AK228" s="6">
        <f t="shared" si="17"/>
        <v>940.18319999999994</v>
      </c>
      <c r="AL228" s="6">
        <f>IFERROR(VALUE(SUBSTITUTE(SUBSTITUTE(SUBSTITUTE('Sales_RAW(BEFORE)'!AJ235,"$",""),"USD",""),",",".")),0)</f>
        <v>0</v>
      </c>
      <c r="AM228" s="3" t="str">
        <f>SUBSTITUTE(SUBSTITUTE(PROPER('Sales_RAW(BEFORE)'!AK235), "Fed Ex", "FedEx"),"Fedex","FedEx")</f>
        <v>Ups</v>
      </c>
      <c r="AN228" s="3" t="s">
        <v>3778</v>
      </c>
      <c r="AO228" s="3" t="str">
        <f>SUBSTITUTE('Sales_RAW(BEFORE)'!AM235,"kg","")</f>
        <v>5,7</v>
      </c>
      <c r="AP228" s="3" t="str">
        <f>_xlfn.LET(
  _xlpm.raw, UPPER(TRIM('Sales_RAW(BEFORE)'!AN235)),
  _xlpm.clean, RIGHT(_xlpm.raw, 1),
  IF(OR(_xlpm.raw="", _xlpm.raw="null"), "N/A", _xlpm.clean)
)</f>
        <v>A</v>
      </c>
      <c r="AQ228" s="3">
        <v>450</v>
      </c>
      <c r="AR228" s="3" cm="1">
        <f t="array" ref="AR228">_xlfn.LET(
  _xlpm.raw, LOWER(TRIM('Sales_RAW(BEFORE)'!AP235)),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228" s="3"/>
      <c r="AT228" s="3"/>
      <c r="AU228" s="3"/>
      <c r="AV228" s="8">
        <f>IF(IFERROR(VALUE(SUBSTITUTE(SUBSTITUTE(TRIM('Sales_RAW(BEFORE)'!AT235), "%", ""), ",", ".")), 0) &gt; 1, IFERROR(VALUE(SUBSTITUTE(SUBSTITUTE(TRIM('Sales_RAW(BEFORE)'!AT235), "%", ""), ",", ".")), 0) / 100, IFERROR(VALUE(SUBSTITUTE(SUBSTITUTE(TRIM('Sales_RAW(BEFORE)'!AT235), "%", ""), ",", ".")), 0))</f>
        <v>0.25</v>
      </c>
      <c r="AW228" s="6">
        <f>BA228*(_xlfn.XLOOKUP(N228,Employees!$A$2:$A$26,Employees!$E$2:$E$26,2))</f>
        <v>21.154121999999997</v>
      </c>
      <c r="AX228" s="3" t="str">
        <f>PROPER('Sales_RAW(BEFORE)'!AV235)</f>
        <v>Emma Jones</v>
      </c>
      <c r="AY228" s="3" t="str">
        <f t="shared" si="18"/>
        <v>Emma Jones</v>
      </c>
      <c r="AZ228" s="3"/>
      <c r="BA228" s="24">
        <f>AK228*(1-(_xlfn.XLOOKUP(G228, Exchange_Rates!$B$8:$F$8, Exchange_Rates!$B$9:$F$9, 0)+J228))</f>
        <v>705.13739999999996</v>
      </c>
      <c r="BB228" s="7" cm="1">
        <f t="array" ref="BB228">_xlfn.LET(
  _xlpm.raw_dt, SUBSTITUTE(TRIM(C228), ".", "/"),
  _xlpm.dt, IFERROR(DATEVALUE(_xlpm.raw_dt), C228),
  _xlpm.p_code, TRIM(E228),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46681</v>
      </c>
      <c r="BC228" s="25">
        <f t="shared" si="19"/>
        <v>176.28434999999999</v>
      </c>
    </row>
    <row r="229" spans="1:55" ht="15.75" thickBot="1" x14ac:dyDescent="0.3">
      <c r="A229" s="3" t="s">
        <v>3781</v>
      </c>
      <c r="B229" s="10">
        <v>46170</v>
      </c>
      <c r="C229" s="4">
        <v>46177</v>
      </c>
      <c r="D229" s="3" t="str">
        <f>"P-" &amp; TEXT(VALUE(SUBSTITUTE(SUBSTITUTE(SUBSTITUTE(UPPER(TRIM('Sales_RAW(BEFORE)'!D236)), "P", ""), "-", ""), "_", "")),"000")</f>
        <v>P-017</v>
      </c>
      <c r="E229" s="3" t="str">
        <f>VLOOKUP(D229,Product_List!$A$2:$B$61,2,FALSE)</f>
        <v>Chair Max 17</v>
      </c>
      <c r="F229" s="3" t="str">
        <f>_xlfn.XLOOKUP(E229,Product_List!$B$2:$B$61,Product_List!$E$2:$E$61,2)</f>
        <v>BestParts</v>
      </c>
      <c r="G229" s="3" t="str">
        <f>VLOOKUP(E229,Product_List!$B$2:$C$61,2,FALSE)</f>
        <v>Software</v>
      </c>
      <c r="H229" s="3" t="str">
        <f>SUBSTITUTE(SUBSTITUTE('Sales_RAW(BEFORE)'!G236,"kom",""),".","")</f>
        <v>19</v>
      </c>
      <c r="I229" s="6">
        <f>VLOOKUP(E229,Product_List!$B$2:$D$61,3,FALSE)</f>
        <v>1313.33</v>
      </c>
      <c r="J229" s="5">
        <f>IF(IFERROR(VALUE(SUBSTITUTE(SUBSTITUTE(TRIM('Sales_RAW(BEFORE)'!I236), "%", ""), ",", ".")), 0) &gt; 1, IFERROR(VALUE(SUBSTITUTE(SUBSTITUTE(TRIM('Sales_RAW(BEFORE)'!I236), "%", ""), ",", ".")), 0) / 100, IFERROR(VALUE(SUBSTITUTE(SUBSTITUTE(TRIM('Sales_RAW(BEFORE)'!I236), "%", ""), ",", ".")), 0))</f>
        <v>0.1</v>
      </c>
      <c r="K229" s="6">
        <f t="shared" si="15"/>
        <v>24953.269999999997</v>
      </c>
      <c r="L229" s="6" t="str" cm="1">
        <f t="array" ref="L229">_xlfn.LET(
  _xlpm.valuta, UPPER(TRIM('Sales_RAW(BEFORE)'!K236)),
  _xlfn.IFS(
    _xlpm.valuta = "", "",
    OR(_xlpm.valuta = "USD", _xlpm.valuta = "$"), "$",
    OR(_xlpm.valuta = "EUR", _xlpm.valuta = "€"), "€",
    TRUE, _xlpm.valuta
  )
)</f>
        <v>$</v>
      </c>
      <c r="M229" s="3" t="str">
        <f>"E" &amp; TEXT(VALUE(SUBSTITUTE(SUBSTITUTE(SUBSTITUTE(UPPER(TRIM('Sales_RAW(BEFORE)'!L236)), "EMP", ""), "E", ""), "-", "")),"000")</f>
        <v>E017</v>
      </c>
      <c r="N229" s="3" t="str">
        <f>_xlfn.XLOOKUP(M229,Employees!$D$2:$D$26,Employees!$A$2:$A$26)</f>
        <v>Robert Davis</v>
      </c>
      <c r="O229" s="3" t="str">
        <f>_xlfn.XLOOKUP(N229,Employees!$A$2:$A$26,Employees!$C$2:$C$26,2)</f>
        <v>Wholesale</v>
      </c>
      <c r="P229" s="3" t="str">
        <f>PROPER('Sales_RAW(BEFORE)'!N236)</f>
        <v>South</v>
      </c>
      <c r="Q229" s="3" t="str">
        <f>VLOOKUP(N229,Employees!$A$2:$B$26,2,FALSE)</f>
        <v>Miami</v>
      </c>
      <c r="R229" s="3" t="str">
        <f>PROPER('Sales_RAW(BEFORE)'!P236)</f>
        <v>Vortex Inc</v>
      </c>
      <c r="S229" s="3" t="str">
        <f>SUBSTITUTE(SUBSTITUTE('Sales_RAW(BEFORE)'!Q236,"EIN",""),":","")</f>
        <v>821237210</v>
      </c>
      <c r="T229" s="3" t="s">
        <v>1450</v>
      </c>
      <c r="U229" s="3" t="s">
        <v>3789</v>
      </c>
      <c r="V229" s="3" t="s">
        <v>3790</v>
      </c>
      <c r="W229" s="3" t="s">
        <v>3791</v>
      </c>
      <c r="X229" s="3" t="s">
        <v>173</v>
      </c>
      <c r="Y229" s="3" t="str">
        <f>PROPER('Sales_RAW(BEFORE)'!W236)</f>
        <v>Paypal</v>
      </c>
      <c r="Z229" s="3" t="str">
        <f>PROPER('Sales_RAW(BEFORE)'!X236)</f>
        <v>Delivered</v>
      </c>
      <c r="AA229" s="3" t="str" cm="1">
        <f t="array" ref="AA229">_xlfn.LET(
  _xlpm.val, TRIM(LOWER('Sales_RAW(BEFORE)'!Y236)),
  _xlfn.IFS(
    OR(_xlpm.val="yes", _xlpm.val="paid"), "Paid",
    OR(_xlpm.val="no", _xlpm.val="unpaid"), "Unpaid",
    OR(_xlpm.val="partial", _xlpm.val="partial paid"), "Partial",
    _xlpm.val="", "",
    TRUE, 'Sales_RAW(BEFORE)'!AY236
  )
)</f>
        <v>Partial</v>
      </c>
      <c r="AB229" s="3" t="s">
        <v>3792</v>
      </c>
      <c r="AC229" s="3" t="str">
        <f>PROPER('Sales_RAW(BEFORE)'!AA236)</f>
        <v>Online</v>
      </c>
      <c r="AD229" s="3" t="str">
        <f>SUBSTITUTE(SUBSTITUTE(SUBSTITUTE(SUBSTITUTE('Sales_RAW(BEFORE)'!AB236,"st",""),"q",""),"Q",""),"uarter","")</f>
        <v>3</v>
      </c>
      <c r="AE229" s="3" t="str">
        <f>TEXT(IFERROR(DATEVALUE('Sales_RAW(BEFORE)'!AC236 &amp; " 1"), IFERROR(DATE(2025, 'Sales_RAW(BEFORE)'!AC236, 1), 'Sales_RAW(BEFORE)'!AC236)), "mmmm")</f>
        <v>May</v>
      </c>
      <c r="AF229" s="3">
        <f>_xlfn.LET(
  _xlpm.raw, TRIM(SUBSTITUTE('Sales_RAW(BEFORE)'!AD236, "'", "")),
  _xlpm.num, IFERROR(VALUE(_xlpm.raw), 0),
  IF(_xlpm.num &lt; 100, 2000 + _xlpm.num, _xlpm.num)
)</f>
        <v>2026</v>
      </c>
      <c r="AG229" s="3" t="str">
        <f>PROPER('Sales_RAW(BEFORE)'!AE236)</f>
        <v>Net 30</v>
      </c>
      <c r="AH229" s="3" cm="1">
        <f t="array" ref="AH229">_xlfn.LET(
  _xlpm.val, LOWER(TRIM('Sales_RAW(BEFORE)'!AF236)),
  _xlfn.IFS(
    OR(_xlpm.val="", _xlpm.val="null", _xlpm.val="N/A", _xlpm.val="-", _xlpm.val="#N/A"), 0,
    ISNUMBER('Sales_RAW(BEFORE)'!AF236), 'Sales_RAW(BEFORE)'!AF236,
    TRUE, IFERROR(_xlfn.NUMBERVALUE(_xlpm.val), 0)
  )
)</f>
        <v>49</v>
      </c>
      <c r="AI229" s="5">
        <f>IF(IFERROR(VALUE(SUBSTITUTE(SUBSTITUTE(TRIM('Sales_RAW(BEFORE)'!AG236), "%", ""), ",", ".")), 0) &gt; 1, IFERROR(VALUE(SUBSTITUTE(SUBSTITUTE(TRIM('Sales_RAW(BEFORE)'!AG236), "%", ""), ",", ".")), 0) / 100, IFERROR(VALUE(SUBSTITUTE(SUBSTITUTE(TRIM('Sales_RAW(BEFORE)'!AG236), "%", ""), ",", ".")), 0))</f>
        <v>0.08</v>
      </c>
      <c r="AJ229" s="6">
        <f t="shared" si="16"/>
        <v>1996.2615999999998</v>
      </c>
      <c r="AK229" s="6">
        <f t="shared" si="17"/>
        <v>26949.531599999995</v>
      </c>
      <c r="AL229" s="6">
        <f>IFERROR(VALUE(SUBSTITUTE(SUBSTITUTE(SUBSTITUTE('Sales_RAW(BEFORE)'!AJ236,"$",""),"USD",""),",",".")),0)</f>
        <v>9.9700000000000006</v>
      </c>
      <c r="AM229" s="3" t="str">
        <f>SUBSTITUTE(SUBSTITUTE(PROPER('Sales_RAW(BEFORE)'!AK236), "Fed Ex", "FedEx"),"Fedex","FedEx")</f>
        <v>FedEx</v>
      </c>
      <c r="AN229" s="3" t="s">
        <v>3794</v>
      </c>
      <c r="AO229" s="3" t="str">
        <f>SUBSTITUTE('Sales_RAW(BEFORE)'!AM236,"kg","")</f>
        <v>11,07</v>
      </c>
      <c r="AP229" s="3" t="str">
        <f>_xlfn.LET(
  _xlpm.raw, UPPER(TRIM('Sales_RAW(BEFORE)'!AN236)),
  _xlpm.clean, RIGHT(_xlpm.raw, 1),
  IF(OR(_xlpm.raw="", _xlpm.raw="null"), "N/A", _xlpm.clean)
)</f>
        <v>A</v>
      </c>
      <c r="AQ229" s="3">
        <v>184</v>
      </c>
      <c r="AR229" s="3" cm="1">
        <f t="array" ref="AR229">_xlfn.LET(
  _xlpm.raw, LOWER(TRIM('Sales_RAW(BEFORE)'!AP236)),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229" s="3"/>
      <c r="AT229" s="3"/>
      <c r="AU229" s="3"/>
      <c r="AV229" s="8">
        <f>IF(IFERROR(VALUE(SUBSTITUTE(SUBSTITUTE(TRIM('Sales_RAW(BEFORE)'!AT236), "%", ""), ",", ".")), 0) &gt; 1, IFERROR(VALUE(SUBSTITUTE(SUBSTITUTE(TRIM('Sales_RAW(BEFORE)'!AT236), "%", ""), ",", ".")), 0) / 100, IFERROR(VALUE(SUBSTITUTE(SUBSTITUTE(TRIM('Sales_RAW(BEFORE)'!AT236), "%", ""), ",", ".")), 0))</f>
        <v>0.15</v>
      </c>
      <c r="AW229" s="6">
        <f>BA229*(_xlfn.XLOOKUP(N229,Employees!$A$2:$A$26,Employees!$E$2:$E$26,2))</f>
        <v>606.36446099999989</v>
      </c>
      <c r="AX229" s="3" t="str">
        <f>PROPER('Sales_RAW(BEFORE)'!AV236)</f>
        <v>Olivia Brown</v>
      </c>
      <c r="AY229" s="3" t="str">
        <f t="shared" si="18"/>
        <v>Olivia Brown</v>
      </c>
      <c r="AZ229" s="3"/>
      <c r="BA229" s="24">
        <f>AK229*(1-(_xlfn.XLOOKUP(G229, Exchange_Rates!$B$8:$F$8, Exchange_Rates!$B$9:$F$9, 0)+J229))</f>
        <v>20212.148699999998</v>
      </c>
      <c r="BB229" s="7" cm="1">
        <f t="array" ref="BB229">_xlfn.LET(
  _xlpm.raw_dt, SUBSTITUTE(TRIM(C229), ".", "/"),
  _xlpm.dt, IFERROR(DATEVALUE(_xlpm.raw_dt), C229),
  _xlpm.p_code, TRIM(E229),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46908</v>
      </c>
      <c r="BC229" s="25">
        <f t="shared" si="19"/>
        <v>3031.8223049999997</v>
      </c>
    </row>
    <row r="230" spans="1:55" ht="15.75" thickBot="1" x14ac:dyDescent="0.3">
      <c r="A230" s="3" t="s">
        <v>3797</v>
      </c>
      <c r="B230" s="10">
        <v>45915</v>
      </c>
      <c r="C230" s="4">
        <v>45923</v>
      </c>
      <c r="D230" s="3" t="str">
        <f>"P-" &amp; TEXT(VALUE(SUBSTITUTE(SUBSTITUTE(SUBSTITUTE(UPPER(TRIM('Sales_RAW(BEFORE)'!D237)), "P", ""), "-", ""), "_", "")),"000")</f>
        <v>P-043</v>
      </c>
      <c r="E230" s="3" t="str">
        <f>VLOOKUP(D230,Product_List!$A$2:$B$61,2,FALSE)</f>
        <v>Headphones X 43</v>
      </c>
      <c r="F230" s="3" t="str">
        <f>_xlfn.XLOOKUP(E230,Product_List!$B$2:$B$61,Product_List!$E$2:$E$61,2)</f>
        <v>Global Distrib</v>
      </c>
      <c r="G230" s="3" t="str">
        <f>VLOOKUP(E230,Product_List!$B$2:$C$61,2,FALSE)</f>
        <v>Equipment</v>
      </c>
      <c r="H230" s="3" t="str">
        <f>SUBSTITUTE(SUBSTITUTE('Sales_RAW(BEFORE)'!G237,"kom",""),".","")</f>
        <v>25</v>
      </c>
      <c r="I230" s="6">
        <f>VLOOKUP(E230,Product_List!$B$2:$D$61,3,FALSE)</f>
        <v>156.69</v>
      </c>
      <c r="J230" s="5">
        <f>IF(IFERROR(VALUE(SUBSTITUTE(SUBSTITUTE(TRIM('Sales_RAW(BEFORE)'!I237), "%", ""), ",", ".")), 0) &gt; 1, IFERROR(VALUE(SUBSTITUTE(SUBSTITUTE(TRIM('Sales_RAW(BEFORE)'!I237), "%", ""), ",", ".")), 0) / 100, IFERROR(VALUE(SUBSTITUTE(SUBSTITUTE(TRIM('Sales_RAW(BEFORE)'!I237), "%", ""), ",", ".")), 0))</f>
        <v>0.1</v>
      </c>
      <c r="K230" s="6">
        <f t="shared" si="15"/>
        <v>3917.25</v>
      </c>
      <c r="L230" s="6" t="str" cm="1">
        <f t="array" ref="L230">_xlfn.LET(
  _xlpm.valuta, UPPER(TRIM('Sales_RAW(BEFORE)'!K237)),
  _xlfn.IFS(
    _xlpm.valuta = "", "",
    OR(_xlpm.valuta = "USD", _xlpm.valuta = "$"), "$",
    OR(_xlpm.valuta = "EUR", _xlpm.valuta = "€"), "€",
    TRUE, _xlpm.valuta
  )
)</f>
        <v>$</v>
      </c>
      <c r="M230" s="3" t="str">
        <f>"E" &amp; TEXT(VALUE(SUBSTITUTE(SUBSTITUTE(SUBSTITUTE(UPPER(TRIM('Sales_RAW(BEFORE)'!L237)), "EMP", ""), "E", ""), "-", "")),"000")</f>
        <v>E007</v>
      </c>
      <c r="N230" s="3" t="str">
        <f>_xlfn.XLOOKUP(M230,Employees!$D$2:$D$26,Employees!$A$2:$A$26)</f>
        <v>Emma Johnson</v>
      </c>
      <c r="O230" s="3" t="str">
        <f>_xlfn.XLOOKUP(N230,Employees!$A$2:$A$26,Employees!$C$2:$C$26,2)</f>
        <v>Wholesale</v>
      </c>
      <c r="P230" s="3" t="str">
        <f>PROPER('Sales_RAW(BEFORE)'!N237)</f>
        <v>North</v>
      </c>
      <c r="Q230" s="3" t="str">
        <f>VLOOKUP(N230,Employees!$A$2:$B$26,2,FALSE)</f>
        <v>Seattle</v>
      </c>
      <c r="R230" s="3" t="str">
        <f>PROPER('Sales_RAW(BEFORE)'!P237)</f>
        <v>Globex Ltd.</v>
      </c>
      <c r="S230" s="3" t="str">
        <f>SUBSTITUTE(SUBSTITUTE('Sales_RAW(BEFORE)'!Q237,"EIN",""),":","")</f>
        <v xml:space="preserve"> 730984824</v>
      </c>
      <c r="T230" s="3" t="s">
        <v>722</v>
      </c>
      <c r="U230" s="3" t="s">
        <v>3801</v>
      </c>
      <c r="V230" s="3" t="s">
        <v>3802</v>
      </c>
      <c r="W230" s="3" t="s">
        <v>3803</v>
      </c>
      <c r="X230" s="3" t="s">
        <v>173</v>
      </c>
      <c r="Y230" s="3" t="str">
        <f>PROPER('Sales_RAW(BEFORE)'!W237)</f>
        <v>Cash</v>
      </c>
      <c r="Z230" s="3" t="str">
        <f>PROPER('Sales_RAW(BEFORE)'!X237)</f>
        <v>Processing</v>
      </c>
      <c r="AA230" s="3" t="str" cm="1">
        <f t="array" ref="AA230">_xlfn.LET(
  _xlpm.val, TRIM(LOWER('Sales_RAW(BEFORE)'!Y237)),
  _xlfn.IFS(
    OR(_xlpm.val="yes", _xlpm.val="paid"), "Paid",
    OR(_xlpm.val="no", _xlpm.val="unpaid"), "Unpaid",
    OR(_xlpm.val="partial", _xlpm.val="partial paid"), "Partial",
    _xlpm.val="", "",
    TRUE, 'Sales_RAW(BEFORE)'!AY237
  )
)</f>
        <v>Unpaid</v>
      </c>
      <c r="AB230" s="3" t="s">
        <v>3804</v>
      </c>
      <c r="AC230" s="3" t="str">
        <f>PROPER('Sales_RAW(BEFORE)'!AA237)</f>
        <v>Phone</v>
      </c>
      <c r="AD230" s="3" t="str">
        <f>SUBSTITUTE(SUBSTITUTE(SUBSTITUTE(SUBSTITUTE('Sales_RAW(BEFORE)'!AB237,"st",""),"q",""),"Q",""),"uarter","")</f>
        <v>1</v>
      </c>
      <c r="AE230" s="3" t="str">
        <f>TEXT(IFERROR(DATEVALUE('Sales_RAW(BEFORE)'!AC237 &amp; " 1"), IFERROR(DATE(2025, 'Sales_RAW(BEFORE)'!AC237, 1), 'Sales_RAW(BEFORE)'!AC237)), "mmmm")</f>
        <v>September</v>
      </c>
      <c r="AF230" s="3">
        <f>_xlfn.LET(
  _xlpm.raw, TRIM(SUBSTITUTE('Sales_RAW(BEFORE)'!AD237, "'", "")),
  _xlpm.num, IFERROR(VALUE(_xlpm.raw), 0),
  IF(_xlpm.num &lt; 100, 2000 + _xlpm.num, _xlpm.num)
)</f>
        <v>2025</v>
      </c>
      <c r="AG230" s="3" t="str">
        <f>PROPER('Sales_RAW(BEFORE)'!AE237)</f>
        <v>Immediate</v>
      </c>
      <c r="AH230" s="3" cm="1">
        <f t="array" ref="AH230">_xlfn.LET(
  _xlpm.val, LOWER(TRIM('Sales_RAW(BEFORE)'!AF237)),
  _xlfn.IFS(
    OR(_xlpm.val="", _xlpm.val="null", _xlpm.val="N/A", _xlpm.val="-", _xlpm.val="#N/A"), 0,
    ISNUMBER('Sales_RAW(BEFORE)'!AF237), 'Sales_RAW(BEFORE)'!AF237,
    TRUE, IFERROR(_xlfn.NUMBERVALUE(_xlpm.val), 0)
  )
)</f>
        <v>76</v>
      </c>
      <c r="AI230" s="5">
        <f>IF(IFERROR(VALUE(SUBSTITUTE(SUBSTITUTE(TRIM('Sales_RAW(BEFORE)'!AG237), "%", ""), ",", ".")), 0) &gt; 1, IFERROR(VALUE(SUBSTITUTE(SUBSTITUTE(TRIM('Sales_RAW(BEFORE)'!AG237), "%", ""), ",", ".")), 0) / 100, IFERROR(VALUE(SUBSTITUTE(SUBSTITUTE(TRIM('Sales_RAW(BEFORE)'!AG237), "%", ""), ",", ".")), 0))</f>
        <v>0.08</v>
      </c>
      <c r="AJ230" s="6">
        <f t="shared" si="16"/>
        <v>313.38</v>
      </c>
      <c r="AK230" s="6">
        <f t="shared" si="17"/>
        <v>4230.63</v>
      </c>
      <c r="AL230" s="6">
        <f>IFERROR(VALUE(SUBSTITUTE(SUBSTITUTE(SUBSTITUTE('Sales_RAW(BEFORE)'!AJ237,"$",""),"USD",""),",",".")),0)</f>
        <v>38.51</v>
      </c>
      <c r="AM230" s="3" t="str">
        <f>SUBSTITUTE(SUBSTITUTE(PROPER('Sales_RAW(BEFORE)'!AK237), "Fed Ex", "FedEx"),"Fedex","FedEx")</f>
        <v>FedEx</v>
      </c>
      <c r="AN230" s="3" t="s">
        <v>3806</v>
      </c>
      <c r="AO230" s="3" t="str">
        <f>SUBSTITUTE('Sales_RAW(BEFORE)'!AM237,"kg","")</f>
        <v>20,68</v>
      </c>
      <c r="AP230" s="3" t="str">
        <f>_xlfn.LET(
  _xlpm.raw, UPPER(TRIM('Sales_RAW(BEFORE)'!AN237)),
  _xlpm.clean, RIGHT(_xlpm.raw, 1),
  IF(OR(_xlpm.raw="", _xlpm.raw="null"), "N/A", _xlpm.clean)
)</f>
        <v>C</v>
      </c>
      <c r="AQ230" s="3">
        <v>499</v>
      </c>
      <c r="AR230" s="3" cm="1">
        <f t="array" ref="AR230">_xlfn.LET(
  _xlpm.raw, LOWER(TRIM('Sales_RAW(BEFORE)'!AP237)),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230" s="3"/>
      <c r="AT230" s="3"/>
      <c r="AU230" s="3"/>
      <c r="AV230" s="8">
        <f>IF(IFERROR(VALUE(SUBSTITUTE(SUBSTITUTE(TRIM('Sales_RAW(BEFORE)'!AT237), "%", ""), ",", ".")), 0) &gt; 1, IFERROR(VALUE(SUBSTITUTE(SUBSTITUTE(TRIM('Sales_RAW(BEFORE)'!AT237), "%", ""), ",", ".")), 0) / 100, IFERROR(VALUE(SUBSTITUTE(SUBSTITUTE(TRIM('Sales_RAW(BEFORE)'!AT237), "%", ""), ",", ".")), 0))</f>
        <v>0.25</v>
      </c>
      <c r="AW230" s="6">
        <f>BA230*(_xlfn.XLOOKUP(N230,Employees!$A$2:$A$26,Employees!$E$2:$E$26,2))</f>
        <v>101.53512000000001</v>
      </c>
      <c r="AX230" s="3" t="str">
        <f>PROPER('Sales_RAW(BEFORE)'!AV237)</f>
        <v xml:space="preserve"> Robert Davis</v>
      </c>
      <c r="AY230" s="3" t="str">
        <f t="shared" si="18"/>
        <v xml:space="preserve"> Robert Davis</v>
      </c>
      <c r="AZ230" s="3"/>
      <c r="BA230" s="24">
        <f>AK230*(1-(_xlfn.XLOOKUP(G230, Exchange_Rates!$B$8:$F$8, Exchange_Rates!$B$9:$F$9, 0)+J230))</f>
        <v>3384.5040000000004</v>
      </c>
      <c r="BB230" s="7" cm="1">
        <f t="array" ref="BB230">_xlfn.LET(
  _xlpm.raw_dt, SUBSTITUTE(TRIM(C230), ".", "/"),
  _xlpm.dt, IFERROR(DATEVALUE(_xlpm.raw_dt), C230),
  _xlpm.p_code, TRIM(E230),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46288</v>
      </c>
      <c r="BC230" s="25">
        <f t="shared" si="19"/>
        <v>846.12600000000009</v>
      </c>
    </row>
    <row r="231" spans="1:55" ht="15.75" thickBot="1" x14ac:dyDescent="0.3">
      <c r="A231" s="3" t="s">
        <v>3809</v>
      </c>
      <c r="B231" s="10">
        <v>45977</v>
      </c>
      <c r="C231" s="4">
        <v>45984</v>
      </c>
      <c r="D231" s="3" t="str">
        <f>"P-" &amp; TEXT(VALUE(SUBSTITUTE(SUBSTITUTE(SUBSTITUTE(UPPER(TRIM('Sales_RAW(BEFORE)'!D238)), "P", ""), "-", ""), "_", "")),"000")</f>
        <v>P-014</v>
      </c>
      <c r="E231" s="3" t="str">
        <f>VLOOKUP(D231,Product_List!$A$2:$B$61,2,FALSE)</f>
        <v>License Max 14</v>
      </c>
      <c r="F231" s="3" t="str">
        <f>_xlfn.XLOOKUP(E231,Product_List!$B$2:$B$61,Product_List!$E$2:$E$61,2)</f>
        <v>OfficeHub</v>
      </c>
      <c r="G231" s="3" t="str">
        <f>VLOOKUP(E231,Product_List!$B$2:$C$61,2,FALSE)</f>
        <v>Software</v>
      </c>
      <c r="H231" s="3" t="str">
        <f>SUBSTITUTE(SUBSTITUTE('Sales_RAW(BEFORE)'!G238,"kom",""),".","")</f>
        <v>21</v>
      </c>
      <c r="I231" s="6">
        <f>VLOOKUP(E231,Product_List!$B$2:$D$61,3,FALSE)</f>
        <v>1166.96</v>
      </c>
      <c r="J231" s="5">
        <f>IF(IFERROR(VALUE(SUBSTITUTE(SUBSTITUTE(TRIM('Sales_RAW(BEFORE)'!I238), "%", ""), ",", ".")), 0) &gt; 1, IFERROR(VALUE(SUBSTITUTE(SUBSTITUTE(TRIM('Sales_RAW(BEFORE)'!I238), "%", ""), ",", ".")), 0) / 100, IFERROR(VALUE(SUBSTITUTE(SUBSTITUTE(TRIM('Sales_RAW(BEFORE)'!I238), "%", ""), ",", ".")), 0))</f>
        <v>0.05</v>
      </c>
      <c r="K231" s="6">
        <f t="shared" si="15"/>
        <v>24506.16</v>
      </c>
      <c r="L231" s="6" t="str" cm="1">
        <f t="array" ref="L231">_xlfn.LET(
  _xlpm.valuta, UPPER(TRIM('Sales_RAW(BEFORE)'!K238)),
  _xlfn.IFS(
    _xlpm.valuta = "", "",
    OR(_xlpm.valuta = "USD", _xlpm.valuta = "$"), "$",
    OR(_xlpm.valuta = "EUR", _xlpm.valuta = "€"), "€",
    TRUE, _xlpm.valuta
  )
)</f>
        <v>$</v>
      </c>
      <c r="M231" s="3" t="str">
        <f>"E" &amp; TEXT(VALUE(SUBSTITUTE(SUBSTITUTE(SUBSTITUTE(UPPER(TRIM('Sales_RAW(BEFORE)'!L238)), "EMP", ""), "E", ""), "-", "")),"000")</f>
        <v>E021</v>
      </c>
      <c r="N231" s="3" t="str">
        <f>_xlfn.XLOOKUP(M231,Employees!$D$2:$D$26,Employees!$A$2:$A$26)</f>
        <v>Chris Williams</v>
      </c>
      <c r="O231" s="3" t="str">
        <f>_xlfn.XLOOKUP(N231,Employees!$A$2:$A$26,Employees!$C$2:$C$26,2)</f>
        <v>Sales</v>
      </c>
      <c r="P231" s="3" t="str">
        <f>PROPER('Sales_RAW(BEFORE)'!N238)</f>
        <v>South</v>
      </c>
      <c r="Q231" s="3" t="str">
        <f>VLOOKUP(N231,Employees!$A$2:$B$26,2,FALSE)</f>
        <v>Boston</v>
      </c>
      <c r="R231" s="3" t="str">
        <f>PROPER('Sales_RAW(BEFORE)'!P238)</f>
        <v xml:space="preserve">Wayne Inc </v>
      </c>
      <c r="S231" s="3" t="str">
        <f>SUBSTITUTE(SUBSTITUTE('Sales_RAW(BEFORE)'!Q238,"EIN",""),":","")</f>
        <v xml:space="preserve"> 204246543</v>
      </c>
      <c r="T231" s="3" t="s">
        <v>564</v>
      </c>
      <c r="U231" s="3" t="s">
        <v>3816</v>
      </c>
      <c r="V231" s="3" t="s">
        <v>3817</v>
      </c>
      <c r="W231" s="3" t="s">
        <v>3818</v>
      </c>
      <c r="X231" s="3" t="s">
        <v>173</v>
      </c>
      <c r="Y231" s="3" t="str">
        <f>PROPER('Sales_RAW(BEFORE)'!W238)</f>
        <v>Paypal</v>
      </c>
      <c r="Z231" s="3" t="str">
        <f>PROPER('Sales_RAW(BEFORE)'!X238)</f>
        <v>Cancelled</v>
      </c>
      <c r="AA231" s="3" t="str" cm="1">
        <f t="array" ref="AA231">_xlfn.LET(
  _xlpm.val, TRIM(LOWER('Sales_RAW(BEFORE)'!Y238)),
  _xlfn.IFS(
    OR(_xlpm.val="yes", _xlpm.val="paid"), "Paid",
    OR(_xlpm.val="no", _xlpm.val="unpaid"), "Unpaid",
    OR(_xlpm.val="partial", _xlpm.val="partial paid"), "Partial",
    _xlpm.val="", "",
    TRUE, 'Sales_RAW(BEFORE)'!AY238
  )
)</f>
        <v>Unpaid</v>
      </c>
      <c r="AB231" s="3" t="s">
        <v>3819</v>
      </c>
      <c r="AC231" s="3" t="str">
        <f>PROPER('Sales_RAW(BEFORE)'!AA238)</f>
        <v>Online</v>
      </c>
      <c r="AD231" s="3" t="str">
        <f>SUBSTITUTE(SUBSTITUTE(SUBSTITUTE(SUBSTITUTE('Sales_RAW(BEFORE)'!AB238,"st",""),"q",""),"Q",""),"uarter","")</f>
        <v>4</v>
      </c>
      <c r="AE231" s="3" t="str">
        <f>TEXT(IFERROR(DATEVALUE('Sales_RAW(BEFORE)'!AC238 &amp; " 1"), IFERROR(DATE(2025, 'Sales_RAW(BEFORE)'!AC238, 1), 'Sales_RAW(BEFORE)'!AC238)), "mmmm")</f>
        <v>November</v>
      </c>
      <c r="AF231" s="3">
        <f>_xlfn.LET(
  _xlpm.raw, TRIM(SUBSTITUTE('Sales_RAW(BEFORE)'!AD238, "'", "")),
  _xlpm.num, IFERROR(VALUE(_xlpm.raw), 0),
  IF(_xlpm.num &lt; 100, 2000 + _xlpm.num, _xlpm.num)
)</f>
        <v>2025</v>
      </c>
      <c r="AG231" s="3" t="str">
        <f>PROPER('Sales_RAW(BEFORE)'!AE238)</f>
        <v>Net 30</v>
      </c>
      <c r="AH231" s="3" cm="1">
        <f t="array" ref="AH231">_xlfn.LET(
  _xlpm.val, LOWER(TRIM('Sales_RAW(BEFORE)'!AF238)),
  _xlfn.IFS(
    OR(_xlpm.val="", _xlpm.val="null", _xlpm.val="N/A", _xlpm.val="-", _xlpm.val="#N/A"), 0,
    ISNUMBER('Sales_RAW(BEFORE)'!AF238), 'Sales_RAW(BEFORE)'!AF238,
    TRUE, IFERROR(_xlfn.NUMBERVALUE(_xlpm.val), 0)
  )
)</f>
        <v>0</v>
      </c>
      <c r="AI231" s="5">
        <f>IF(IFERROR(VALUE(SUBSTITUTE(SUBSTITUTE(TRIM('Sales_RAW(BEFORE)'!AG238), "%", ""), ",", ".")), 0) &gt; 1, IFERROR(VALUE(SUBSTITUTE(SUBSTITUTE(TRIM('Sales_RAW(BEFORE)'!AG238), "%", ""), ",", ".")), 0) / 100, IFERROR(VALUE(SUBSTITUTE(SUBSTITUTE(TRIM('Sales_RAW(BEFORE)'!AG238), "%", ""), ",", ".")), 0))</f>
        <v>0.08</v>
      </c>
      <c r="AJ231" s="6">
        <f t="shared" si="16"/>
        <v>1960.4928</v>
      </c>
      <c r="AK231" s="6">
        <f t="shared" si="17"/>
        <v>26466.6528</v>
      </c>
      <c r="AL231" s="6">
        <f>IFERROR(VALUE(SUBSTITUTE(SUBSTITUTE(SUBSTITUTE('Sales_RAW(BEFORE)'!AJ238,"$",""),"USD",""),",",".")),0)</f>
        <v>42.88</v>
      </c>
      <c r="AM231" s="3" t="str">
        <f>SUBSTITUTE(SUBSTITUTE(PROPER('Sales_RAW(BEFORE)'!AK238), "Fed Ex", "FedEx"),"Fedex","FedEx")</f>
        <v>Dhl</v>
      </c>
      <c r="AN231" s="3" t="s">
        <v>3821</v>
      </c>
      <c r="AO231" s="3" t="str">
        <f>SUBSTITUTE('Sales_RAW(BEFORE)'!AM238,"kg","")</f>
        <v>12,08</v>
      </c>
      <c r="AP231" s="3" t="str">
        <f>_xlfn.LET(
  _xlpm.raw, UPPER(TRIM('Sales_RAW(BEFORE)'!AN238)),
  _xlpm.clean, RIGHT(_xlpm.raw, 1),
  IF(OR(_xlpm.raw="", _xlpm.raw="null"), "N/A", _xlpm.clean)
)</f>
        <v>A</v>
      </c>
      <c r="AQ231" s="3">
        <v>293</v>
      </c>
      <c r="AR231" s="3" t="str" cm="1">
        <f t="array" ref="AR231">_xlfn.LET(
  _xlpm.raw, LOWER(TRIM('Sales_RAW(BEFORE)'!AP238)),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231" s="3"/>
      <c r="AT231" s="3"/>
      <c r="AU231" s="3"/>
      <c r="AV231" s="8">
        <f>IF(IFERROR(VALUE(SUBSTITUTE(SUBSTITUTE(TRIM('Sales_RAW(BEFORE)'!AT238), "%", ""), ",", ".")), 0) &gt; 1, IFERROR(VALUE(SUBSTITUTE(SUBSTITUTE(TRIM('Sales_RAW(BEFORE)'!AT238), "%", ""), ",", ".")), 0) / 100, IFERROR(VALUE(SUBSTITUTE(SUBSTITUTE(TRIM('Sales_RAW(BEFORE)'!AT238), "%", ""), ",", ".")), 0))</f>
        <v>0.3</v>
      </c>
      <c r="AW231" s="6">
        <f>BA231*(_xlfn.XLOOKUP(N231,Employees!$A$2:$A$26,Employees!$E$2:$E$26,2))</f>
        <v>635.19966720000002</v>
      </c>
      <c r="AX231" s="3" t="str">
        <f>PROPER('Sales_RAW(BEFORE)'!AV238)</f>
        <v xml:space="preserve">Emily Smith </v>
      </c>
      <c r="AY231" s="3" t="str">
        <f t="shared" si="18"/>
        <v xml:space="preserve">Emily Smith </v>
      </c>
      <c r="AZ231" s="3"/>
      <c r="BA231" s="24">
        <f>AK231*(1-(_xlfn.XLOOKUP(G231, Exchange_Rates!$B$8:$F$8, Exchange_Rates!$B$9:$F$9, 0)+J231))</f>
        <v>21173.322240000001</v>
      </c>
      <c r="BB231" s="7" cm="1">
        <f t="array" ref="BB231">_xlfn.LET(
  _xlpm.raw_dt, SUBSTITUTE(TRIM(C231), ".", "/"),
  _xlpm.dt, IFERROR(DATEVALUE(_xlpm.raw_dt), C231),
  _xlpm.p_code, TRIM(E231),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47080</v>
      </c>
      <c r="BC231" s="25">
        <f t="shared" si="19"/>
        <v>6351.9966720000002</v>
      </c>
    </row>
    <row r="232" spans="1:55" ht="15.75" thickBot="1" x14ac:dyDescent="0.3">
      <c r="A232" s="3" t="s">
        <v>3824</v>
      </c>
      <c r="B232" s="10">
        <v>45867</v>
      </c>
      <c r="C232" s="4">
        <v>45873</v>
      </c>
      <c r="D232" s="3" t="str">
        <f>"P-" &amp; TEXT(VALUE(SUBSTITUTE(SUBSTITUTE(SUBSTITUTE(UPPER(TRIM('Sales_RAW(BEFORE)'!D239)), "P", ""), "-", ""), "_", "")),"000")</f>
        <v>P-010</v>
      </c>
      <c r="E232" s="3" t="str">
        <f>VLOOKUP(D232,Product_List!$A$2:$B$61,2,FALSE)</f>
        <v>Headphones Basic 10</v>
      </c>
      <c r="F232" s="3" t="str">
        <f>_xlfn.XLOOKUP(E232,Product_List!$B$2:$B$61,Product_List!$E$2:$E$61,2)</f>
        <v>TechSupply Co</v>
      </c>
      <c r="G232" s="3" t="str">
        <f>VLOOKUP(E232,Product_List!$B$2:$C$61,2,FALSE)</f>
        <v>Equipment</v>
      </c>
      <c r="H232" s="3" t="str">
        <f>SUBSTITUTE(SUBSTITUTE('Sales_RAW(BEFORE)'!G239,"kom",""),".","")</f>
        <v xml:space="preserve">8 </v>
      </c>
      <c r="I232" s="6">
        <f>VLOOKUP(E232,Product_List!$B$2:$D$61,3,FALSE)</f>
        <v>1225.1099999999999</v>
      </c>
      <c r="J232" s="5">
        <f>IF(IFERROR(VALUE(SUBSTITUTE(SUBSTITUTE(TRIM('Sales_RAW(BEFORE)'!I239), "%", ""), ",", ".")), 0) &gt; 1, IFERROR(VALUE(SUBSTITUTE(SUBSTITUTE(TRIM('Sales_RAW(BEFORE)'!I239), "%", ""), ",", ".")), 0) / 100, IFERROR(VALUE(SUBSTITUTE(SUBSTITUTE(TRIM('Sales_RAW(BEFORE)'!I239), "%", ""), ",", ".")), 0))</f>
        <v>0.05</v>
      </c>
      <c r="K232" s="6">
        <f t="shared" si="15"/>
        <v>9800.8799999999992</v>
      </c>
      <c r="L232" s="6" t="str" cm="1">
        <f t="array" ref="L232">_xlfn.LET(
  _xlpm.valuta, UPPER(TRIM('Sales_RAW(BEFORE)'!K239)),
  _xlfn.IFS(
    _xlpm.valuta = "", "",
    OR(_xlpm.valuta = "USD", _xlpm.valuta = "$"), "$",
    OR(_xlpm.valuta = "EUR", _xlpm.valuta = "€"), "€",
    TRUE, _xlpm.valuta
  )
)</f>
        <v>$</v>
      </c>
      <c r="M232" s="3" t="str">
        <f>"E" &amp; TEXT(VALUE(SUBSTITUTE(SUBSTITUTE(SUBSTITUTE(UPPER(TRIM('Sales_RAW(BEFORE)'!L239)), "EMP", ""), "E", ""), "-", "")),"000")</f>
        <v>E007</v>
      </c>
      <c r="N232" s="3" t="str">
        <f>_xlfn.XLOOKUP(M232,Employees!$D$2:$D$26,Employees!$A$2:$A$26)</f>
        <v>Emma Johnson</v>
      </c>
      <c r="O232" s="3" t="str">
        <f>_xlfn.XLOOKUP(N232,Employees!$A$2:$A$26,Employees!$C$2:$C$26,2)</f>
        <v>Wholesale</v>
      </c>
      <c r="P232" s="3" t="str">
        <f>PROPER('Sales_RAW(BEFORE)'!N239)</f>
        <v>North</v>
      </c>
      <c r="Q232" s="3" t="str">
        <f>VLOOKUP(N232,Employees!$A$2:$B$26,2,FALSE)</f>
        <v>Seattle</v>
      </c>
      <c r="R232" s="3" t="str">
        <f>PROPER('Sales_RAW(BEFORE)'!P239)</f>
        <v>Stark Inc.</v>
      </c>
      <c r="S232" s="3" t="str">
        <f>SUBSTITUTE(SUBSTITUTE('Sales_RAW(BEFORE)'!Q239,"EIN",""),":","")</f>
        <v xml:space="preserve"> 742549494</v>
      </c>
      <c r="T232" s="3" t="s">
        <v>1502</v>
      </c>
      <c r="U232" s="3" t="s">
        <v>3833</v>
      </c>
      <c r="V232" s="3" t="s">
        <v>3834</v>
      </c>
      <c r="W232" s="3" t="s">
        <v>142</v>
      </c>
      <c r="X232" s="3" t="s">
        <v>173</v>
      </c>
      <c r="Y232" s="3" t="str">
        <f>PROPER('Sales_RAW(BEFORE)'!W239)</f>
        <v>Paypal</v>
      </c>
      <c r="Z232" s="3" t="str">
        <f>PROPER('Sales_RAW(BEFORE)'!X239)</f>
        <v>Processing</v>
      </c>
      <c r="AA232" s="3" t="str" cm="1">
        <f t="array" ref="AA232">_xlfn.LET(
  _xlpm.val, TRIM(LOWER('Sales_RAW(BEFORE)'!Y239)),
  _xlfn.IFS(
    OR(_xlpm.val="yes", _xlpm.val="paid"), "Paid",
    OR(_xlpm.val="no", _xlpm.val="unpaid"), "Unpaid",
    OR(_xlpm.val="partial", _xlpm.val="partial paid"), "Partial",
    _xlpm.val="", "",
    TRUE, 'Sales_RAW(BEFORE)'!AY239
  )
)</f>
        <v>Partial</v>
      </c>
      <c r="AB232" s="3" t="s">
        <v>3835</v>
      </c>
      <c r="AC232" s="3" t="str">
        <f>PROPER('Sales_RAW(BEFORE)'!AA239)</f>
        <v>Phone</v>
      </c>
      <c r="AD232" s="3" t="str">
        <f>SUBSTITUTE(SUBSTITUTE(SUBSTITUTE(SUBSTITUTE('Sales_RAW(BEFORE)'!AB239,"st",""),"q",""),"Q",""),"uarter","")</f>
        <v>4</v>
      </c>
      <c r="AE232" s="3" t="str">
        <f>TEXT(IFERROR(DATEVALUE('Sales_RAW(BEFORE)'!AC239 &amp; " 1"), IFERROR(DATE(2025, 'Sales_RAW(BEFORE)'!AC239, 1), 'Sales_RAW(BEFORE)'!AC239)), "mmmm")</f>
        <v>July</v>
      </c>
      <c r="AF232" s="3">
        <f>_xlfn.LET(
  _xlpm.raw, TRIM(SUBSTITUTE('Sales_RAW(BEFORE)'!AD239, "'", "")),
  _xlpm.num, IFERROR(VALUE(_xlpm.raw), 0),
  IF(_xlpm.num &lt; 100, 2000 + _xlpm.num, _xlpm.num)
)</f>
        <v>2025</v>
      </c>
      <c r="AG232" s="3" t="str">
        <f>PROPER('Sales_RAW(BEFORE)'!AE239)</f>
        <v>15</v>
      </c>
      <c r="AH232" s="3" cm="1">
        <f t="array" ref="AH232">_xlfn.LET(
  _xlpm.val, LOWER(TRIM('Sales_RAW(BEFORE)'!AF239)),
  _xlfn.IFS(
    OR(_xlpm.val="", _xlpm.val="null", _xlpm.val="N/A", _xlpm.val="-", _xlpm.val="#N/A"), 0,
    ISNUMBER('Sales_RAW(BEFORE)'!AF239), 'Sales_RAW(BEFORE)'!AF239,
    TRUE, IFERROR(_xlfn.NUMBERVALUE(_xlpm.val), 0)
  )
)</f>
        <v>3</v>
      </c>
      <c r="AI232" s="5">
        <f>IF(IFERROR(VALUE(SUBSTITUTE(SUBSTITUTE(TRIM('Sales_RAW(BEFORE)'!AG239), "%", ""), ",", ".")), 0) &gt; 1, IFERROR(VALUE(SUBSTITUTE(SUBSTITUTE(TRIM('Sales_RAW(BEFORE)'!AG239), "%", ""), ",", ".")), 0) / 100, IFERROR(VALUE(SUBSTITUTE(SUBSTITUTE(TRIM('Sales_RAW(BEFORE)'!AG239), "%", ""), ",", ".")), 0))</f>
        <v>0.08</v>
      </c>
      <c r="AJ232" s="6">
        <f t="shared" si="16"/>
        <v>784.07039999999995</v>
      </c>
      <c r="AK232" s="6">
        <f t="shared" si="17"/>
        <v>10584.9504</v>
      </c>
      <c r="AL232" s="6">
        <f>IFERROR(VALUE(SUBSTITUTE(SUBSTITUTE(SUBSTITUTE('Sales_RAW(BEFORE)'!AJ239,"$",""),"USD",""),",",".")),0)</f>
        <v>5.66</v>
      </c>
      <c r="AM232" s="3" t="str">
        <f>SUBSTITUTE(SUBSTITUTE(PROPER('Sales_RAW(BEFORE)'!AK239), "Fed Ex", "FedEx"),"Fedex","FedEx")</f>
        <v>Dhl</v>
      </c>
      <c r="AN232" s="3" t="s">
        <v>3837</v>
      </c>
      <c r="AO232" s="3" t="str">
        <f>SUBSTITUTE('Sales_RAW(BEFORE)'!AM239,"kg","")</f>
        <v>9,85</v>
      </c>
      <c r="AP232" s="3" t="str">
        <f>_xlfn.LET(
  _xlpm.raw, UPPER(TRIM('Sales_RAW(BEFORE)'!AN239)),
  _xlpm.clean, RIGHT(_xlpm.raw, 1),
  IF(OR(_xlpm.raw="", _xlpm.raw="null"), "N/A", _xlpm.clean)
)</f>
        <v>C</v>
      </c>
      <c r="AQ232" s="3">
        <v>293</v>
      </c>
      <c r="AR232" s="3" t="str" cm="1">
        <f t="array" ref="AR232">_xlfn.LET(
  _xlpm.raw, LOWER(TRIM('Sales_RAW(BEFORE)'!AP239)),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232" s="3"/>
      <c r="AT232" s="3"/>
      <c r="AU232" s="3"/>
      <c r="AV232" s="8">
        <f>IF(IFERROR(VALUE(SUBSTITUTE(SUBSTITUTE(TRIM('Sales_RAW(BEFORE)'!AT239), "%", ""), ",", ".")), 0) &gt; 1, IFERROR(VALUE(SUBSTITUTE(SUBSTITUTE(TRIM('Sales_RAW(BEFORE)'!AT239), "%", ""), ",", ".")), 0) / 100, IFERROR(VALUE(SUBSTITUTE(SUBSTITUTE(TRIM('Sales_RAW(BEFORE)'!AT239), "%", ""), ",", ".")), 0))</f>
        <v>0</v>
      </c>
      <c r="AW232" s="6">
        <f>BA232*(_xlfn.XLOOKUP(N232,Employees!$A$2:$A$26,Employees!$E$2:$E$26,2))</f>
        <v>269.91623519999996</v>
      </c>
      <c r="AX232" s="3" t="str">
        <f>PROPER('Sales_RAW(BEFORE)'!AV239)</f>
        <v xml:space="preserve">   Daniel Taylor   </v>
      </c>
      <c r="AY232" s="3" t="str">
        <f t="shared" si="18"/>
        <v xml:space="preserve">   Daniel Taylor   </v>
      </c>
      <c r="AZ232" s="3"/>
      <c r="BA232" s="24">
        <f>AK232*(1-(_xlfn.XLOOKUP(G232, Exchange_Rates!$B$8:$F$8, Exchange_Rates!$B$9:$F$9, 0)+J232))</f>
        <v>8997.2078399999991</v>
      </c>
      <c r="BB232" s="7" cm="1">
        <f t="array" ref="BB232">_xlfn.LET(
  _xlpm.raw_dt, SUBSTITUTE(TRIM(C232), ".", "/"),
  _xlpm.dt, IFERROR(DATEVALUE(_xlpm.raw_dt), C232),
  _xlpm.p_code, TRIM(E232),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46603</v>
      </c>
      <c r="BC232" s="25">
        <f t="shared" si="19"/>
        <v>0</v>
      </c>
    </row>
    <row r="233" spans="1:55" ht="15.75" thickBot="1" x14ac:dyDescent="0.3">
      <c r="A233" s="3" t="s">
        <v>3841</v>
      </c>
      <c r="B233" s="10">
        <v>45762</v>
      </c>
      <c r="C233" s="4">
        <v>45765</v>
      </c>
      <c r="D233" s="3" t="str">
        <f>"P-" &amp; TEXT(VALUE(SUBSTITUTE(SUBSTITUTE(SUBSTITUTE(UPPER(TRIM('Sales_RAW(BEFORE)'!D240)), "P", ""), "-", ""), "_", "")),"000")</f>
        <v>P-003</v>
      </c>
      <c r="E233" s="3" t="str">
        <f>VLOOKUP(D233,Product_List!$A$2:$B$61,2,FALSE)</f>
        <v>Laptop Max 3</v>
      </c>
      <c r="F233" s="3" t="str">
        <f>_xlfn.XLOOKUP(E233,Product_List!$B$2:$B$61,Product_List!$E$2:$E$61,2)</f>
        <v>TechSupply Co</v>
      </c>
      <c r="G233" s="3" t="str">
        <f>VLOOKUP(E233,Product_List!$B$2:$C$61,2,FALSE)</f>
        <v>Office</v>
      </c>
      <c r="H233" s="3" t="str">
        <f>SUBSTITUTE(SUBSTITUTE('Sales_RAW(BEFORE)'!G240,"kom",""),".","")</f>
        <v>32</v>
      </c>
      <c r="I233" s="6">
        <f>VLOOKUP(E233,Product_List!$B$2:$D$61,3,FALSE)</f>
        <v>61.06</v>
      </c>
      <c r="J233" s="5">
        <f>IF(IFERROR(VALUE(SUBSTITUTE(SUBSTITUTE(TRIM('Sales_RAW(BEFORE)'!I240), "%", ""), ",", ".")), 0) &gt; 1, IFERROR(VALUE(SUBSTITUTE(SUBSTITUTE(TRIM('Sales_RAW(BEFORE)'!I240), "%", ""), ",", ".")), 0) / 100, IFERROR(VALUE(SUBSTITUTE(SUBSTITUTE(TRIM('Sales_RAW(BEFORE)'!I240), "%", ""), ",", ".")), 0))</f>
        <v>0.1</v>
      </c>
      <c r="K233" s="6">
        <f>(H233*I233)/(HLOOKUP(AE233,Exchange_Rates!$B$1:$M$2,2,FALSE))</f>
        <v>2103.2508073196987</v>
      </c>
      <c r="L233" s="6" t="str" cm="1">
        <f t="array" ref="L233">_xlfn.LET(
  _xlpm.valuta, UPPER(TRIM('Sales_RAW(BEFORE)'!K240)),
  _xlfn.IFS(
    _xlpm.valuta = "", "",
    OR(_xlpm.valuta = "USD", _xlpm.valuta = "$"), "$",
    OR(_xlpm.valuta = "EUR", _xlpm.valuta = "€"), "€",
    TRUE, _xlpm.valuta
  )
)</f>
        <v>€</v>
      </c>
      <c r="M233" s="3" t="str">
        <f>"E" &amp; TEXT(VALUE(SUBSTITUTE(SUBSTITUTE(SUBSTITUTE(UPPER(TRIM('Sales_RAW(BEFORE)'!L240)), "EMP", ""), "E", ""), "-", "")),"000")</f>
        <v>E010</v>
      </c>
      <c r="N233" s="3" t="str">
        <f>_xlfn.XLOOKUP(M233,Employees!$D$2:$D$26,Employees!$A$2:$A$26)</f>
        <v>Olivia Anderson</v>
      </c>
      <c r="O233" s="3" t="str">
        <f>_xlfn.XLOOKUP(N233,Employees!$A$2:$A$26,Employees!$C$2:$C$26,2)</f>
        <v>Online</v>
      </c>
      <c r="P233" s="3" t="str">
        <f>PROPER('Sales_RAW(BEFORE)'!N240)</f>
        <v>East</v>
      </c>
      <c r="Q233" s="3" t="str">
        <f>VLOOKUP(N233,Employees!$A$2:$B$26,2,FALSE)</f>
        <v>Houston</v>
      </c>
      <c r="R233" s="3" t="str">
        <f>PROPER('Sales_RAW(BEFORE)'!P240)</f>
        <v xml:space="preserve">Stark Ltd.   </v>
      </c>
      <c r="S233" s="3" t="str">
        <f>SUBSTITUTE(SUBSTITUTE('Sales_RAW(BEFORE)'!Q240,"EIN",""),":","")</f>
        <v xml:space="preserve"> 432053739</v>
      </c>
      <c r="T233" s="3" t="s">
        <v>1359</v>
      </c>
      <c r="U233" s="3" t="s">
        <v>3849</v>
      </c>
      <c r="V233" s="3" t="s">
        <v>3850</v>
      </c>
      <c r="W233" s="3" t="s">
        <v>3851</v>
      </c>
      <c r="X233" s="3" t="s">
        <v>173</v>
      </c>
      <c r="Y233" s="3" t="str">
        <f>PROPER('Sales_RAW(BEFORE)'!W240)</f>
        <v>Paypal</v>
      </c>
      <c r="Z233" s="3" t="str">
        <f>PROPER('Sales_RAW(BEFORE)'!X240)</f>
        <v>Delivered</v>
      </c>
      <c r="AA233" s="3" t="str" cm="1">
        <f t="array" ref="AA233">_xlfn.LET(
  _xlpm.val, TRIM(LOWER('Sales_RAW(BEFORE)'!Y240)),
  _xlfn.IFS(
    OR(_xlpm.val="yes", _xlpm.val="paid"), "Paid",
    OR(_xlpm.val="no", _xlpm.val="unpaid"), "Unpaid",
    OR(_xlpm.val="partial", _xlpm.val="partial paid"), "Partial",
    _xlpm.val="", "",
    TRUE, 'Sales_RAW(BEFORE)'!AY240
  )
)</f>
        <v>Unpaid</v>
      </c>
      <c r="AB233" s="3" t="s">
        <v>3852</v>
      </c>
      <c r="AC233" s="3" t="str">
        <f>PROPER('Sales_RAW(BEFORE)'!AA240)</f>
        <v>Web</v>
      </c>
      <c r="AD233" s="3" t="str">
        <f>SUBSTITUTE(SUBSTITUTE(SUBSTITUTE(SUBSTITUTE('Sales_RAW(BEFORE)'!AB240,"st",""),"q",""),"Q",""),"uarter","")</f>
        <v>4</v>
      </c>
      <c r="AE233" s="3" t="str">
        <f>TEXT(IFERROR(DATEVALUE('Sales_RAW(BEFORE)'!AC240 &amp; " 1"), IFERROR(DATE(2025, 'Sales_RAW(BEFORE)'!AC240, 1), 'Sales_RAW(BEFORE)'!AC240)), "mmmm")</f>
        <v>April</v>
      </c>
      <c r="AF233" s="3">
        <f>_xlfn.LET(
  _xlpm.raw, TRIM(SUBSTITUTE('Sales_RAW(BEFORE)'!AD240, "'", "")),
  _xlpm.num, IFERROR(VALUE(_xlpm.raw), 0),
  IF(_xlpm.num &lt; 100, 2000 + _xlpm.num, _xlpm.num)
)</f>
        <v>2025</v>
      </c>
      <c r="AG233" s="3" t="str">
        <f>PROPER('Sales_RAW(BEFORE)'!AE240)</f>
        <v>15</v>
      </c>
      <c r="AH233" s="3" cm="1">
        <f t="array" ref="AH233">_xlfn.LET(
  _xlpm.val, LOWER(TRIM('Sales_RAW(BEFORE)'!AF240)),
  _xlfn.IFS(
    OR(_xlpm.val="", _xlpm.val="null", _xlpm.val="N/A", _xlpm.val="-", _xlpm.val="#N/A"), 0,
    ISNUMBER('Sales_RAW(BEFORE)'!AF240), 'Sales_RAW(BEFORE)'!AF240,
    TRUE, IFERROR(_xlfn.NUMBERVALUE(_xlpm.val), 0)
  )
)</f>
        <v>1</v>
      </c>
      <c r="AI233" s="5">
        <f>IF(IFERROR(VALUE(SUBSTITUTE(SUBSTITUTE(TRIM('Sales_RAW(BEFORE)'!AG240), "%", ""), ",", ".")), 0) &gt; 1, IFERROR(VALUE(SUBSTITUTE(SUBSTITUTE(TRIM('Sales_RAW(BEFORE)'!AG240), "%", ""), ",", ".")), 0) / 100, IFERROR(VALUE(SUBSTITUTE(SUBSTITUTE(TRIM('Sales_RAW(BEFORE)'!AG240), "%", ""), ",", ".")), 0))</f>
        <v>0.08</v>
      </c>
      <c r="AJ233" s="6">
        <f t="shared" si="16"/>
        <v>168.26006458557589</v>
      </c>
      <c r="AK233" s="6">
        <f t="shared" si="17"/>
        <v>2271.5108719052746</v>
      </c>
      <c r="AL233" s="6">
        <f>IFERROR(VALUE(SUBSTITUTE(SUBSTITUTE(SUBSTITUTE('Sales_RAW(BEFORE)'!AJ240,"$",""),"USD",""),",",".")),0)</f>
        <v>38</v>
      </c>
      <c r="AM233" s="3" t="str">
        <f>SUBSTITUTE(SUBSTITUTE(PROPER('Sales_RAW(BEFORE)'!AK240), "Fed Ex", "FedEx"),"Fedex","FedEx")</f>
        <v>Ups</v>
      </c>
      <c r="AN233" s="3" t="s">
        <v>3854</v>
      </c>
      <c r="AO233" s="3" t="str">
        <f>SUBSTITUTE('Sales_RAW(BEFORE)'!AM240,"kg","")</f>
        <v>0,29</v>
      </c>
      <c r="AP233" s="3" t="str">
        <f>_xlfn.LET(
  _xlpm.raw, UPPER(TRIM('Sales_RAW(BEFORE)'!AN240)),
  _xlpm.clean, RIGHT(_xlpm.raw, 1),
  IF(OR(_xlpm.raw="", _xlpm.raw="null"), "N/A", _xlpm.clean)
)</f>
        <v>B</v>
      </c>
      <c r="AQ233" s="3">
        <v>422</v>
      </c>
      <c r="AR233" s="3" cm="1">
        <f t="array" ref="AR233">_xlfn.LET(
  _xlpm.raw, LOWER(TRIM('Sales_RAW(BEFORE)'!AP240)),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233" s="3"/>
      <c r="AT233" s="3"/>
      <c r="AU233" s="3"/>
      <c r="AV233" s="8">
        <f>IF(IFERROR(VALUE(SUBSTITUTE(SUBSTITUTE(TRIM('Sales_RAW(BEFORE)'!AT240), "%", ""), ",", ".")), 0) &gt; 1, IFERROR(VALUE(SUBSTITUTE(SUBSTITUTE(TRIM('Sales_RAW(BEFORE)'!AT240), "%", ""), ",", ".")), 0) / 100, IFERROR(VALUE(SUBSTITUTE(SUBSTITUTE(TRIM('Sales_RAW(BEFORE)'!AT240), "%", ""), ",", ".")), 0))</f>
        <v>0.25</v>
      </c>
      <c r="AW233" s="6">
        <f>BA233*(_xlfn.XLOOKUP(N233,Employees!$A$2:$A$26,Employees!$E$2:$E$26,2))</f>
        <v>54.516260925726591</v>
      </c>
      <c r="AX233" s="3" t="str">
        <f>PROPER('Sales_RAW(BEFORE)'!AV240)</f>
        <v xml:space="preserve">   Emily Jones</v>
      </c>
      <c r="AY233" s="3" t="str">
        <f t="shared" si="18"/>
        <v xml:space="preserve">   Emily Jones</v>
      </c>
      <c r="AZ233" s="3"/>
      <c r="BA233" s="24">
        <f>AK233*(1-(_xlfn.XLOOKUP(G233, Exchange_Rates!$B$8:$F$8, Exchange_Rates!$B$9:$F$9, 0)+J233))</f>
        <v>1817.2086975242198</v>
      </c>
      <c r="BB233" s="7" cm="1">
        <f t="array" ref="BB233">_xlfn.LET(
  _xlpm.raw_dt, SUBSTITUTE(TRIM(C233), ".", "/"),
  _xlpm.dt, IFERROR(DATEVALUE(_xlpm.raw_dt), C233),
  _xlpm.p_code, TRIM(E233),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46130</v>
      </c>
      <c r="BC233" s="25">
        <f t="shared" si="19"/>
        <v>454.30217438105495</v>
      </c>
    </row>
    <row r="234" spans="1:55" ht="15.75" thickBot="1" x14ac:dyDescent="0.3">
      <c r="A234" s="3" t="s">
        <v>3859</v>
      </c>
      <c r="B234" s="10">
        <v>46078</v>
      </c>
      <c r="C234" s="4">
        <f>DATE(2026,2,26)</f>
        <v>46079</v>
      </c>
      <c r="D234" s="3" t="str">
        <f>"P-" &amp; TEXT(VALUE(SUBSTITUTE(SUBSTITUTE(SUBSTITUTE(UPPER(TRIM('Sales_RAW(BEFORE)'!D241)), "P", ""), "-", ""), "_", "")),"000")</f>
        <v>P-009</v>
      </c>
      <c r="E234" s="3" t="str">
        <f>VLOOKUP(D234,Product_List!$A$2:$B$61,2,FALSE)</f>
        <v>Chair Plus 9</v>
      </c>
      <c r="F234" s="3" t="str">
        <f>_xlfn.XLOOKUP(E234,Product_List!$B$2:$B$61,Product_List!$E$2:$E$61,2)</f>
        <v>BestParts</v>
      </c>
      <c r="G234" s="3" t="str">
        <f>VLOOKUP(E234,Product_List!$B$2:$C$61,2,FALSE)</f>
        <v>Office</v>
      </c>
      <c r="H234" s="3" t="str">
        <f>SUBSTITUTE(SUBSTITUTE('Sales_RAW(BEFORE)'!G241,"kom",""),".","")</f>
        <v xml:space="preserve">28 </v>
      </c>
      <c r="I234" s="6">
        <f>VLOOKUP(E234,Product_List!$B$2:$D$61,3,FALSE)</f>
        <v>813.33</v>
      </c>
      <c r="J234" s="5">
        <f>IF(IFERROR(VALUE(SUBSTITUTE(SUBSTITUTE(TRIM('Sales_RAW(BEFORE)'!I241), "%", ""), ",", ".")), 0) &gt; 1, IFERROR(VALUE(SUBSTITUTE(SUBSTITUTE(TRIM('Sales_RAW(BEFORE)'!I241), "%", ""), ",", ".")), 0) / 100, IFERROR(VALUE(SUBSTITUTE(SUBSTITUTE(TRIM('Sales_RAW(BEFORE)'!I241), "%", ""), ",", ".")), 0))</f>
        <v>0.1</v>
      </c>
      <c r="K234" s="6">
        <f t="shared" si="15"/>
        <v>22773.24</v>
      </c>
      <c r="L234" s="6" t="str" cm="1">
        <f t="array" ref="L234">_xlfn.LET(
  _xlpm.valuta, UPPER(TRIM('Sales_RAW(BEFORE)'!K241)),
  _xlfn.IFS(
    _xlpm.valuta = "", "",
    OR(_xlpm.valuta = "USD", _xlpm.valuta = "$"), "$",
    OR(_xlpm.valuta = "EUR", _xlpm.valuta = "€"), "€",
    TRUE, _xlpm.valuta
  )
)</f>
        <v>$</v>
      </c>
      <c r="M234" s="3" t="str">
        <f>"E" &amp; TEXT(VALUE(SUBSTITUTE(SUBSTITUTE(SUBSTITUTE(UPPER(TRIM('Sales_RAW(BEFORE)'!L241)), "EMP", ""), "E", ""), "-", "")),"000")</f>
        <v>E020</v>
      </c>
      <c r="N234" s="3" t="str">
        <f>_xlfn.XLOOKUP(M234,Employees!$D$2:$D$26,Employees!$A$2:$A$26)</f>
        <v>Robert Taylor</v>
      </c>
      <c r="O234" s="3" t="str">
        <f>_xlfn.XLOOKUP(N234,Employees!$A$2:$A$26,Employees!$C$2:$C$26,2)</f>
        <v>Retail</v>
      </c>
      <c r="P234" s="3" t="str">
        <f>PROPER('Sales_RAW(BEFORE)'!N241)</f>
        <v>East</v>
      </c>
      <c r="Q234" s="3" t="str">
        <f>VLOOKUP(N234,Employees!$A$2:$B$26,2,FALSE)</f>
        <v>New York</v>
      </c>
      <c r="R234" s="3" t="str">
        <f>PROPER('Sales_RAW(BEFORE)'!P241)</f>
        <v>Wayne Llc</v>
      </c>
      <c r="S234" s="3" t="str">
        <f>SUBSTITUTE(SUBSTITUTE('Sales_RAW(BEFORE)'!Q241,"EIN",""),":","")</f>
        <v>743232912</v>
      </c>
      <c r="T234" s="3" t="s">
        <v>1708</v>
      </c>
      <c r="U234" s="3" t="s">
        <v>3867</v>
      </c>
      <c r="V234" s="3" t="s">
        <v>3868</v>
      </c>
      <c r="W234" s="3" t="s">
        <v>3869</v>
      </c>
      <c r="X234" s="3" t="s">
        <v>173</v>
      </c>
      <c r="Y234" s="3" t="str">
        <f>PROPER('Sales_RAW(BEFORE)'!W241)</f>
        <v>Wire Transfer</v>
      </c>
      <c r="Z234" s="3" t="str">
        <f>PROPER('Sales_RAW(BEFORE)'!X241)</f>
        <v>Delivered</v>
      </c>
      <c r="AA234" s="3" t="str" cm="1">
        <f t="array" ref="AA234">_xlfn.LET(
  _xlpm.val, TRIM(LOWER('Sales_RAW(BEFORE)'!Y241)),
  _xlfn.IFS(
    OR(_xlpm.val="yes", _xlpm.val="paid"), "Paid",
    OR(_xlpm.val="no", _xlpm.val="unpaid"), "Unpaid",
    OR(_xlpm.val="partial", _xlpm.val="partial paid"), "Partial",
    _xlpm.val="", "",
    TRUE, 'Sales_RAW(BEFORE)'!AY241
  )
)</f>
        <v>Partial</v>
      </c>
      <c r="AB234" s="3" t="s">
        <v>3870</v>
      </c>
      <c r="AC234" s="3" t="str">
        <f>PROPER('Sales_RAW(BEFORE)'!AA241)</f>
        <v>Web</v>
      </c>
      <c r="AD234" s="3" t="str">
        <f>SUBSTITUTE(SUBSTITUTE(SUBSTITUTE(SUBSTITUTE('Sales_RAW(BEFORE)'!AB241,"st",""),"q",""),"Q",""),"uarter","")</f>
        <v xml:space="preserve">1 </v>
      </c>
      <c r="AE234" s="3" t="str">
        <f>TEXT(IFERROR(DATEVALUE('Sales_RAW(BEFORE)'!AC241 &amp; " 1"), IFERROR(DATE(2025, 'Sales_RAW(BEFORE)'!AC241, 1), 'Sales_RAW(BEFORE)'!AC241)), "mmmm")</f>
        <v>February</v>
      </c>
      <c r="AF234" s="3">
        <f>_xlfn.LET(
  _xlpm.raw, TRIM(SUBSTITUTE('Sales_RAW(BEFORE)'!AD241, "'", "")),
  _xlpm.num, IFERROR(VALUE(_xlpm.raw), 0),
  IF(_xlpm.num &lt; 100, 2000 + _xlpm.num, _xlpm.num)
)</f>
        <v>2026</v>
      </c>
      <c r="AG234" s="3" t="str">
        <f>PROPER('Sales_RAW(BEFORE)'!AE241)</f>
        <v>Immediate</v>
      </c>
      <c r="AH234" s="3" cm="1">
        <f t="array" ref="AH234">_xlfn.LET(
  _xlpm.val, LOWER(TRIM('Sales_RAW(BEFORE)'!AF241)),
  _xlfn.IFS(
    OR(_xlpm.val="", _xlpm.val="null", _xlpm.val="N/A", _xlpm.val="-", _xlpm.val="#N/A"), 0,
    ISNUMBER('Sales_RAW(BEFORE)'!AF241), 'Sales_RAW(BEFORE)'!AF241,
    TRUE, IFERROR(_xlfn.NUMBERVALUE(_xlpm.val), 0)
  )
)</f>
        <v>0</v>
      </c>
      <c r="AI234" s="5">
        <f>IF(IFERROR(VALUE(SUBSTITUTE(SUBSTITUTE(TRIM('Sales_RAW(BEFORE)'!AG241), "%", ""), ",", ".")), 0) &gt; 1, IFERROR(VALUE(SUBSTITUTE(SUBSTITUTE(TRIM('Sales_RAW(BEFORE)'!AG241), "%", ""), ",", ".")), 0) / 100, IFERROR(VALUE(SUBSTITUTE(SUBSTITUTE(TRIM('Sales_RAW(BEFORE)'!AG241), "%", ""), ",", ".")), 0))</f>
        <v>0.08</v>
      </c>
      <c r="AJ234" s="6">
        <f t="shared" si="16"/>
        <v>1821.8592000000001</v>
      </c>
      <c r="AK234" s="6">
        <f t="shared" si="17"/>
        <v>24595.099200000001</v>
      </c>
      <c r="AL234" s="6">
        <f>IFERROR(VALUE(SUBSTITUTE(SUBSTITUTE(SUBSTITUTE('Sales_RAW(BEFORE)'!AJ241,"$",""),"USD",""),",",".")),0)</f>
        <v>33.47</v>
      </c>
      <c r="AM234" s="3" t="str">
        <f>SUBSTITUTE(SUBSTITUTE(PROPER('Sales_RAW(BEFORE)'!AK241), "Fed Ex", "FedEx"),"Fedex","FedEx")</f>
        <v>Ups</v>
      </c>
      <c r="AN234" s="3" t="s">
        <v>3872</v>
      </c>
      <c r="AO234" s="3" t="str">
        <f>SUBSTITUTE('Sales_RAW(BEFORE)'!AM241,"kg","")</f>
        <v>23.55</v>
      </c>
      <c r="AP234" s="3" t="str">
        <f>_xlfn.LET(
  _xlpm.raw, UPPER(TRIM('Sales_RAW(BEFORE)'!AN241)),
  _xlpm.clean, RIGHT(_xlpm.raw, 1),
  IF(OR(_xlpm.raw="", _xlpm.raw="null"), "N/A", _xlpm.clean)
)</f>
        <v>A</v>
      </c>
      <c r="AQ234" s="3">
        <v>389</v>
      </c>
      <c r="AR234" s="3" cm="1">
        <f t="array" ref="AR234">_xlfn.LET(
  _xlpm.raw, LOWER(TRIM('Sales_RAW(BEFORE)'!AP241)),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234" s="3"/>
      <c r="AT234" s="3"/>
      <c r="AU234" s="3"/>
      <c r="AV234" s="8">
        <f>IF(IFERROR(VALUE(SUBSTITUTE(SUBSTITUTE(TRIM('Sales_RAW(BEFORE)'!AT241), "%", ""), ",", ".")), 0) &gt; 1, IFERROR(VALUE(SUBSTITUTE(SUBSTITUTE(TRIM('Sales_RAW(BEFORE)'!AT241), "%", ""), ",", ".")), 0) / 100, IFERROR(VALUE(SUBSTITUTE(SUBSTITUTE(TRIM('Sales_RAW(BEFORE)'!AT241), "%", ""), ",", ".")), 0))</f>
        <v>0.18</v>
      </c>
      <c r="AW234" s="6">
        <f>BA234*(_xlfn.XLOOKUP(N234,Employees!$A$2:$A$26,Employees!$E$2:$E$26,2))</f>
        <v>590.28238080000006</v>
      </c>
      <c r="AX234" s="3" t="str">
        <f>PROPER('Sales_RAW(BEFORE)'!AV241)</f>
        <v xml:space="preserve">Jessica Anderson </v>
      </c>
      <c r="AY234" s="3" t="str">
        <f t="shared" si="18"/>
        <v xml:space="preserve">Jessica Anderson </v>
      </c>
      <c r="AZ234" s="3"/>
      <c r="BA234" s="24">
        <f>AK234*(1-(_xlfn.XLOOKUP(G234, Exchange_Rates!$B$8:$F$8, Exchange_Rates!$B$9:$F$9, 0)+J234))</f>
        <v>19676.079360000003</v>
      </c>
      <c r="BB234" s="7" cm="1">
        <f t="array" ref="BB234">_xlfn.LET(
  _xlpm.raw_dt, SUBSTITUTE(TRIM(C234), ".", "/"),
  _xlpm.dt, IFERROR(DATEVALUE(_xlpm.raw_dt), C234),
  _xlpm.p_code, TRIM(E234),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47175</v>
      </c>
      <c r="BC234" s="25">
        <f t="shared" si="19"/>
        <v>3541.6942848000003</v>
      </c>
    </row>
    <row r="235" spans="1:55" ht="15.75" thickBot="1" x14ac:dyDescent="0.3">
      <c r="A235" s="3" t="s">
        <v>3875</v>
      </c>
      <c r="B235" s="10">
        <f>DATE(2026,8,8)</f>
        <v>46242</v>
      </c>
      <c r="C235" s="4">
        <v>46252</v>
      </c>
      <c r="D235" s="3" t="str">
        <f>"P-" &amp; TEXT(VALUE(SUBSTITUTE(SUBSTITUTE(SUBSTITUTE(UPPER(TRIM('Sales_RAW(BEFORE)'!D242)), "P", ""), "-", ""), "_", "")),"000")</f>
        <v>P-059</v>
      </c>
      <c r="E235" s="3" t="str">
        <f>VLOOKUP(D235,Product_List!$A$2:$B$61,2,FALSE)</f>
        <v>Keyboard Max 59</v>
      </c>
      <c r="F235" s="3" t="str">
        <f>_xlfn.XLOOKUP(E235,Product_List!$B$2:$B$61,Product_List!$E$2:$E$61,2)</f>
        <v>OfficeHub</v>
      </c>
      <c r="G235" s="3" t="str">
        <f>VLOOKUP(E235,Product_List!$B$2:$C$61,2,FALSE)</f>
        <v>Furniture</v>
      </c>
      <c r="H235" s="3" t="str">
        <f>SUBSTITUTE(SUBSTITUTE('Sales_RAW(BEFORE)'!G242,"kom",""),".","")</f>
        <v xml:space="preserve">24 </v>
      </c>
      <c r="I235" s="6">
        <f>VLOOKUP(E235,Product_List!$B$2:$D$61,3,FALSE)</f>
        <v>673.61</v>
      </c>
      <c r="J235" s="5">
        <f>IF(IFERROR(VALUE(SUBSTITUTE(SUBSTITUTE(TRIM('Sales_RAW(BEFORE)'!I242), "%", ""), ",", ".")), 0) &gt; 1, IFERROR(VALUE(SUBSTITUTE(SUBSTITUTE(TRIM('Sales_RAW(BEFORE)'!I242), "%", ""), ",", ".")), 0) / 100, IFERROR(VALUE(SUBSTITUTE(SUBSTITUTE(TRIM('Sales_RAW(BEFORE)'!I242), "%", ""), ",", ".")), 0))</f>
        <v>0.1</v>
      </c>
      <c r="K235" s="6">
        <f t="shared" si="15"/>
        <v>16166.64</v>
      </c>
      <c r="L235" s="6" t="str" cm="1">
        <f t="array" ref="L235">_xlfn.LET(
  _xlpm.valuta, UPPER(TRIM('Sales_RAW(BEFORE)'!K242)),
  _xlfn.IFS(
    _xlpm.valuta = "", "",
    OR(_xlpm.valuta = "USD", _xlpm.valuta = "$"), "$",
    OR(_xlpm.valuta = "EUR", _xlpm.valuta = "€"), "€",
    TRUE, _xlpm.valuta
  )
)</f>
        <v>$</v>
      </c>
      <c r="M235" s="3" t="str">
        <f>"E" &amp; TEXT(VALUE(SUBSTITUTE(SUBSTITUTE(SUBSTITUTE(UPPER(TRIM('Sales_RAW(BEFORE)'!L242)), "EMP", ""), "E", ""), "-", "")),"000")</f>
        <v>E006</v>
      </c>
      <c r="N235" s="3" t="str">
        <f>_xlfn.XLOOKUP(M235,Employees!$D$2:$D$26,Employees!$A$2:$A$26)</f>
        <v>Emily Davis</v>
      </c>
      <c r="O235" s="3" t="str">
        <f>_xlfn.XLOOKUP(N235,Employees!$A$2:$A$26,Employees!$C$2:$C$26,2)</f>
        <v>Retail</v>
      </c>
      <c r="P235" s="3" t="str">
        <f>PROPER('Sales_RAW(BEFORE)'!N242)</f>
        <v>West</v>
      </c>
      <c r="Q235" s="3" t="str">
        <f>VLOOKUP(N235,Employees!$A$2:$B$26,2,FALSE)</f>
        <v>Houston</v>
      </c>
      <c r="R235" s="3" t="str">
        <f>PROPER('Sales_RAW(BEFORE)'!P242)</f>
        <v>Wayne Inc.</v>
      </c>
      <c r="S235" s="3" t="str">
        <f>SUBSTITUTE(SUBSTITUTE('Sales_RAW(BEFORE)'!Q242,"EIN",""),":","")</f>
        <v>455122709</v>
      </c>
      <c r="T235" s="3" t="s">
        <v>646</v>
      </c>
      <c r="U235" s="3" t="s">
        <v>3881</v>
      </c>
      <c r="V235" s="3" t="s">
        <v>3882</v>
      </c>
      <c r="W235" s="3" t="s">
        <v>3883</v>
      </c>
      <c r="X235" s="3" t="s">
        <v>173</v>
      </c>
      <c r="Y235" s="3" t="str">
        <f>PROPER('Sales_RAW(BEFORE)'!W242)</f>
        <v>Cash</v>
      </c>
      <c r="Z235" s="3" t="str">
        <f>PROPER('Sales_RAW(BEFORE)'!X242)</f>
        <v>Delivered</v>
      </c>
      <c r="AA235" s="3" t="str" cm="1">
        <f t="array" ref="AA235">_xlfn.LET(
  _xlpm.val, TRIM(LOWER('Sales_RAW(BEFORE)'!Y242)),
  _xlfn.IFS(
    OR(_xlpm.val="yes", _xlpm.val="paid"), "Paid",
    OR(_xlpm.val="no", _xlpm.val="unpaid"), "Unpaid",
    OR(_xlpm.val="partial", _xlpm.val="partial paid"), "Partial",
    _xlpm.val="", "",
    TRUE, 'Sales_RAW(BEFORE)'!AY242
  )
)</f>
        <v>Paid</v>
      </c>
      <c r="AB235" s="3" t="s">
        <v>3884</v>
      </c>
      <c r="AC235" s="3" t="str">
        <f>PROPER('Sales_RAW(BEFORE)'!AA242)</f>
        <v>Online</v>
      </c>
      <c r="AD235" s="3" t="str">
        <f>SUBSTITUTE(SUBSTITUTE(SUBSTITUTE(SUBSTITUTE('Sales_RAW(BEFORE)'!AB242,"st",""),"q",""),"Q",""),"uarter","")</f>
        <v>1</v>
      </c>
      <c r="AE235" s="3" t="str">
        <f>TEXT(IFERROR(DATEVALUE('Sales_RAW(BEFORE)'!AC242 &amp; " 1"), IFERROR(DATE(2025, 'Sales_RAW(BEFORE)'!AC242, 1), 'Sales_RAW(BEFORE)'!AC242)), "mmmm")</f>
        <v>August</v>
      </c>
      <c r="AF235" s="3">
        <f>_xlfn.LET(
  _xlpm.raw, TRIM(SUBSTITUTE('Sales_RAW(BEFORE)'!AD242, "'", "")),
  _xlpm.num, IFERROR(VALUE(_xlpm.raw), 0),
  IF(_xlpm.num &lt; 100, 2000 + _xlpm.num, _xlpm.num)
)</f>
        <v>2026</v>
      </c>
      <c r="AG235" s="3" t="str">
        <f>PROPER('Sales_RAW(BEFORE)'!AE242)</f>
        <v>Immediate</v>
      </c>
      <c r="AH235" s="3" cm="1">
        <f t="array" ref="AH235">_xlfn.LET(
  _xlpm.val, LOWER(TRIM('Sales_RAW(BEFORE)'!AF242)),
  _xlfn.IFS(
    OR(_xlpm.val="", _xlpm.val="null", _xlpm.val="N/A", _xlpm.val="-", _xlpm.val="#N/A"), 0,
    ISNUMBER('Sales_RAW(BEFORE)'!AF242), 'Sales_RAW(BEFORE)'!AF242,
    TRUE, IFERROR(_xlfn.NUMBERVALUE(_xlpm.val), 0)
  )
)</f>
        <v>0</v>
      </c>
      <c r="AI235" s="5">
        <f>IF(IFERROR(VALUE(SUBSTITUTE(SUBSTITUTE(TRIM('Sales_RAW(BEFORE)'!AG242), "%", ""), ",", ".")), 0) &gt; 1, IFERROR(VALUE(SUBSTITUTE(SUBSTITUTE(TRIM('Sales_RAW(BEFORE)'!AG242), "%", ""), ",", ".")), 0) / 100, IFERROR(VALUE(SUBSTITUTE(SUBSTITUTE(TRIM('Sales_RAW(BEFORE)'!AG242), "%", ""), ",", ".")), 0))</f>
        <v>0.08</v>
      </c>
      <c r="AJ235" s="6">
        <f t="shared" si="16"/>
        <v>1293.3312000000001</v>
      </c>
      <c r="AK235" s="6">
        <f t="shared" si="17"/>
        <v>17459.9712</v>
      </c>
      <c r="AL235" s="6">
        <f>IFERROR(VALUE(SUBSTITUTE(SUBSTITUTE(SUBSTITUTE('Sales_RAW(BEFORE)'!AJ242,"$",""),"USD",""),",",".")),0)</f>
        <v>6.76</v>
      </c>
      <c r="AM235" s="3" t="str">
        <f>SUBSTITUTE(SUBSTITUTE(PROPER('Sales_RAW(BEFORE)'!AK242), "Fed Ex", "FedEx"),"Fedex","FedEx")</f>
        <v>Ups</v>
      </c>
      <c r="AN235" s="3" t="s">
        <v>3886</v>
      </c>
      <c r="AO235" s="3" t="str">
        <f>SUBSTITUTE('Sales_RAW(BEFORE)'!AM242,"kg","")</f>
        <v xml:space="preserve">22.9 </v>
      </c>
      <c r="AP235" s="3" t="str">
        <f>_xlfn.LET(
  _xlpm.raw, UPPER(TRIM('Sales_RAW(BEFORE)'!AN242)),
  _xlpm.clean, RIGHT(_xlpm.raw, 1),
  IF(OR(_xlpm.raw="", _xlpm.raw="null"), "N/A", _xlpm.clean)
)</f>
        <v>C</v>
      </c>
      <c r="AQ235" s="3">
        <v>200</v>
      </c>
      <c r="AR235" s="3" cm="1">
        <f t="array" ref="AR235">_xlfn.LET(
  _xlpm.raw, LOWER(TRIM('Sales_RAW(BEFORE)'!AP242)),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235" s="3"/>
      <c r="AT235" s="3"/>
      <c r="AU235" s="3"/>
      <c r="AV235" s="8">
        <f>IF(IFERROR(VALUE(SUBSTITUTE(SUBSTITUTE(TRIM('Sales_RAW(BEFORE)'!AT242), "%", ""), ",", ".")), 0) &gt; 1, IFERROR(VALUE(SUBSTITUTE(SUBSTITUTE(TRIM('Sales_RAW(BEFORE)'!AT242), "%", ""), ",", ".")), 0) / 100, IFERROR(VALUE(SUBSTITUTE(SUBSTITUTE(TRIM('Sales_RAW(BEFORE)'!AT242), "%", ""), ",", ".")), 0))</f>
        <v>0.25</v>
      </c>
      <c r="AW235" s="6">
        <f>BA235*(_xlfn.XLOOKUP(N235,Employees!$A$2:$A$26,Employees!$E$2:$E$26,2))</f>
        <v>698.39884800000004</v>
      </c>
      <c r="AX235" s="3" t="str">
        <f>PROPER('Sales_RAW(BEFORE)'!AV242)</f>
        <v xml:space="preserve">   Ryan Jones   </v>
      </c>
      <c r="AY235" s="3" t="str">
        <f t="shared" si="18"/>
        <v xml:space="preserve">   Ryan Jones   </v>
      </c>
      <c r="AZ235" s="3"/>
      <c r="BA235" s="24">
        <f>AK235*(1-(_xlfn.XLOOKUP(G235, Exchange_Rates!$B$8:$F$8, Exchange_Rates!$B$9:$F$9, 0)+J235))</f>
        <v>13967.97696</v>
      </c>
      <c r="BB235" s="7" cm="1">
        <f t="array" ref="BB235">_xlfn.LET(
  _xlpm.raw_dt, SUBSTITUTE(TRIM(C235), ".", "/"),
  _xlpm.dt, IFERROR(DATEVALUE(_xlpm.raw_dt), C235),
  _xlpm.p_code, TRIM(E235),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46983</v>
      </c>
      <c r="BC235" s="25">
        <f t="shared" si="19"/>
        <v>3491.99424</v>
      </c>
    </row>
    <row r="236" spans="1:55" ht="15.75" thickBot="1" x14ac:dyDescent="0.3">
      <c r="A236" s="3" t="s">
        <v>3890</v>
      </c>
      <c r="B236" s="10">
        <v>46047</v>
      </c>
      <c r="C236" s="4">
        <v>46083</v>
      </c>
      <c r="D236" s="3" t="str">
        <f>"P-" &amp; TEXT(VALUE(SUBSTITUTE(SUBSTITUTE(SUBSTITUTE(UPPER(TRIM('Sales_RAW(BEFORE)'!D243)), "P", ""), "-", ""), "_", "")),"000")</f>
        <v>P-014</v>
      </c>
      <c r="E236" s="3" t="str">
        <f>VLOOKUP(D236,Product_List!$A$2:$B$61,2,FALSE)</f>
        <v>License Max 14</v>
      </c>
      <c r="F236" s="3" t="str">
        <f>_xlfn.XLOOKUP(E236,Product_List!$B$2:$B$61,Product_List!$E$2:$E$61,2)</f>
        <v>OfficeHub</v>
      </c>
      <c r="G236" s="3" t="str">
        <f>VLOOKUP(E236,Product_List!$B$2:$C$61,2,FALSE)</f>
        <v>Software</v>
      </c>
      <c r="H236" s="3" t="str">
        <f>SUBSTITUTE(SUBSTITUTE('Sales_RAW(BEFORE)'!G243,"kom",""),".","")</f>
        <v xml:space="preserve">3 </v>
      </c>
      <c r="I236" s="6">
        <f>VLOOKUP(E236,Product_List!$B$2:$D$61,3,FALSE)</f>
        <v>1166.96</v>
      </c>
      <c r="J236" s="5">
        <f>IF(IFERROR(VALUE(SUBSTITUTE(SUBSTITUTE(TRIM('Sales_RAW(BEFORE)'!I243), "%", ""), ",", ".")), 0) &gt; 1, IFERROR(VALUE(SUBSTITUTE(SUBSTITUTE(TRIM('Sales_RAW(BEFORE)'!I243), "%", ""), ",", ".")), 0) / 100, IFERROR(VALUE(SUBSTITUTE(SUBSTITUTE(TRIM('Sales_RAW(BEFORE)'!I243), "%", ""), ",", ".")), 0))</f>
        <v>0.1</v>
      </c>
      <c r="K236" s="6">
        <f>(H236*I236)/(HLOOKUP(AE236,Exchange_Rates!$B$1:$M$2,2,FALSE))</f>
        <v>3784.7351351351349</v>
      </c>
      <c r="L236" s="6" t="str" cm="1">
        <f t="array" ref="L236">_xlfn.LET(
  _xlpm.valuta, UPPER(TRIM('Sales_RAW(BEFORE)'!K243)),
  _xlfn.IFS(
    _xlpm.valuta = "", "",
    OR(_xlpm.valuta = "USD", _xlpm.valuta = "$"), "$",
    OR(_xlpm.valuta = "EUR", _xlpm.valuta = "€"), "€",
    TRUE, _xlpm.valuta
  )
)</f>
        <v>€</v>
      </c>
      <c r="M236" s="3" t="str">
        <f>"E" &amp; TEXT(VALUE(SUBSTITUTE(SUBSTITUTE(SUBSTITUTE(UPPER(TRIM('Sales_RAW(BEFORE)'!L243)), "EMP", ""), "E", ""), "-", "")),"000")</f>
        <v>E022</v>
      </c>
      <c r="N236" s="3" t="str">
        <f>_xlfn.XLOOKUP(M236,Employees!$D$2:$D$26,Employees!$A$2:$A$26)</f>
        <v>Chris Williams</v>
      </c>
      <c r="O236" s="3" t="str">
        <f>_xlfn.XLOOKUP(N236,Employees!$A$2:$A$26,Employees!$C$2:$C$26,2)</f>
        <v>Sales</v>
      </c>
      <c r="P236" s="3" t="str">
        <f>PROPER('Sales_RAW(BEFORE)'!N243)</f>
        <v>North</v>
      </c>
      <c r="Q236" s="3" t="str">
        <f>VLOOKUP(N236,Employees!$A$2:$B$26,2,FALSE)</f>
        <v>Boston</v>
      </c>
      <c r="R236" s="3" t="str">
        <f>PROPER('Sales_RAW(BEFORE)'!P243)</f>
        <v>Umbrella Ltd.</v>
      </c>
      <c r="S236" s="3" t="str">
        <f>SUBSTITUTE(SUBSTITUTE('Sales_RAW(BEFORE)'!Q243,"EIN",""),":","")</f>
        <v xml:space="preserve"> 179446427</v>
      </c>
      <c r="T236" s="3" t="s">
        <v>1359</v>
      </c>
      <c r="U236" s="3" t="s">
        <v>3896</v>
      </c>
      <c r="V236" s="3" t="s">
        <v>3897</v>
      </c>
      <c r="W236" s="3" t="s">
        <v>3898</v>
      </c>
      <c r="X236" s="3" t="s">
        <v>173</v>
      </c>
      <c r="Y236" s="3" t="str">
        <f>PROPER('Sales_RAW(BEFORE)'!W243)</f>
        <v>Wire</v>
      </c>
      <c r="Z236" s="3" t="str">
        <f>PROPER('Sales_RAW(BEFORE)'!X243)</f>
        <v>Delivered</v>
      </c>
      <c r="AA236" s="3" t="str" cm="1">
        <f t="array" ref="AA236">_xlfn.LET(
  _xlpm.val, TRIM(LOWER('Sales_RAW(BEFORE)'!Y243)),
  _xlfn.IFS(
    OR(_xlpm.val="yes", _xlpm.val="paid"), "Paid",
    OR(_xlpm.val="no", _xlpm.val="unpaid"), "Unpaid",
    OR(_xlpm.val="partial", _xlpm.val="partial paid"), "Partial",
    _xlpm.val="", "",
    TRUE, 'Sales_RAW(BEFORE)'!AY243
  )
)</f>
        <v>Partial</v>
      </c>
      <c r="AB236" s="3" t="s">
        <v>3899</v>
      </c>
      <c r="AC236" s="3" t="str">
        <f>PROPER('Sales_RAW(BEFORE)'!AA243)</f>
        <v>Web</v>
      </c>
      <c r="AD236" s="3" t="str">
        <f>SUBSTITUTE(SUBSTITUTE(SUBSTITUTE(SUBSTITUTE('Sales_RAW(BEFORE)'!AB243,"st",""),"q",""),"Q",""),"uarter","")</f>
        <v>3</v>
      </c>
      <c r="AE236" s="3" t="str">
        <f>TEXT(IFERROR(DATEVALUE('Sales_RAW(BEFORE)'!AC243 &amp; " 1"), IFERROR(DATE(2025, 'Sales_RAW(BEFORE)'!AC243, 1), 'Sales_RAW(BEFORE)'!AC243)), "mmmm")</f>
        <v>January</v>
      </c>
      <c r="AF236" s="3">
        <f>_xlfn.LET(
  _xlpm.raw, TRIM(SUBSTITUTE('Sales_RAW(BEFORE)'!AD243, "'", "")),
  _xlpm.num, IFERROR(VALUE(_xlpm.raw), 0),
  IF(_xlpm.num &lt; 100, 2000 + _xlpm.num, _xlpm.num)
)</f>
        <v>2026</v>
      </c>
      <c r="AG236" s="3" t="str">
        <f>PROPER('Sales_RAW(BEFORE)'!AE243)</f>
        <v>Net 30</v>
      </c>
      <c r="AH236" s="3" cm="1">
        <f t="array" ref="AH236">_xlfn.LET(
  _xlpm.val, LOWER(TRIM('Sales_RAW(BEFORE)'!AF243)),
  _xlfn.IFS(
    OR(_xlpm.val="", _xlpm.val="null", _xlpm.val="N/A", _xlpm.val="-", _xlpm.val="#N/A"), 0,
    ISNUMBER('Sales_RAW(BEFORE)'!AF243), 'Sales_RAW(BEFORE)'!AF243,
    TRUE, IFERROR(_xlfn.NUMBERVALUE(_xlpm.val), 0)
  )
)</f>
        <v>62</v>
      </c>
      <c r="AI236" s="5">
        <f>IF(IFERROR(VALUE(SUBSTITUTE(SUBSTITUTE(TRIM('Sales_RAW(BEFORE)'!AG243), "%", ""), ",", ".")), 0) &gt; 1, IFERROR(VALUE(SUBSTITUTE(SUBSTITUTE(TRIM('Sales_RAW(BEFORE)'!AG243), "%", ""), ",", ".")), 0) / 100, IFERROR(VALUE(SUBSTITUTE(SUBSTITUTE(TRIM('Sales_RAW(BEFORE)'!AG243), "%", ""), ",", ".")), 0))</f>
        <v>0.08</v>
      </c>
      <c r="AJ236" s="6">
        <f t="shared" si="16"/>
        <v>302.7788108108108</v>
      </c>
      <c r="AK236" s="6">
        <f t="shared" si="17"/>
        <v>4087.5139459459456</v>
      </c>
      <c r="AL236" s="6">
        <f>IFERROR(VALUE(SUBSTITUTE(SUBSTITUTE(SUBSTITUTE('Sales_RAW(BEFORE)'!AJ243,"$",""),"USD",""),",",".")),0)</f>
        <v>29</v>
      </c>
      <c r="AM236" s="3" t="str">
        <f>SUBSTITUTE(SUBSTITUTE(PROPER('Sales_RAW(BEFORE)'!AK243), "Fed Ex", "FedEx"),"Fedex","FedEx")</f>
        <v>Dhl</v>
      </c>
      <c r="AN236" s="3" t="s">
        <v>3901</v>
      </c>
      <c r="AO236" s="3" t="str">
        <f>SUBSTITUTE('Sales_RAW(BEFORE)'!AM243,"kg","")</f>
        <v>23.43</v>
      </c>
      <c r="AP236" s="3" t="str">
        <f>_xlfn.LET(
  _xlpm.raw, UPPER(TRIM('Sales_RAW(BEFORE)'!AN243)),
  _xlpm.clean, RIGHT(_xlpm.raw, 1),
  IF(OR(_xlpm.raw="", _xlpm.raw="null"), "N/A", _xlpm.clean)
)</f>
        <v>B</v>
      </c>
      <c r="AQ236" s="3">
        <v>148</v>
      </c>
      <c r="AR236" s="3" cm="1">
        <f t="array" ref="AR236">_xlfn.LET(
  _xlpm.raw, LOWER(TRIM('Sales_RAW(BEFORE)'!AP243)),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236" s="3"/>
      <c r="AT236" s="3"/>
      <c r="AU236" s="3"/>
      <c r="AV236" s="8">
        <f>IF(IFERROR(VALUE(SUBSTITUTE(SUBSTITUTE(TRIM('Sales_RAW(BEFORE)'!AT243), "%", ""), ",", ".")), 0) &gt; 1, IFERROR(VALUE(SUBSTITUTE(SUBSTITUTE(TRIM('Sales_RAW(BEFORE)'!AT243), "%", ""), ",", ".")), 0) / 100, IFERROR(VALUE(SUBSTITUTE(SUBSTITUTE(TRIM('Sales_RAW(BEFORE)'!AT243), "%", ""), ",", ".")), 0))</f>
        <v>0.3</v>
      </c>
      <c r="AW236" s="6">
        <f>BA236*(_xlfn.XLOOKUP(N236,Employees!$A$2:$A$26,Employees!$E$2:$E$26,2))</f>
        <v>91.969063783783767</v>
      </c>
      <c r="AX236" s="3" t="str">
        <f>PROPER('Sales_RAW(BEFORE)'!AV243)</f>
        <v>Emily Smith</v>
      </c>
      <c r="AY236" s="3" t="str">
        <f t="shared" si="18"/>
        <v>Emily Smith</v>
      </c>
      <c r="AZ236" s="3"/>
      <c r="BA236" s="24">
        <f>AK236*(1-(_xlfn.XLOOKUP(G236, Exchange_Rates!$B$8:$F$8, Exchange_Rates!$B$9:$F$9, 0)+J236))</f>
        <v>3065.6354594594591</v>
      </c>
      <c r="BB236" s="7" cm="1">
        <f t="array" ref="BB236">_xlfn.LET(
  _xlpm.raw_dt, SUBSTITUTE(TRIM(C236), ".", "/"),
  _xlpm.dt, IFERROR(DATEVALUE(_xlpm.raw_dt), C236),
  _xlpm.p_code, TRIM(E236),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47179</v>
      </c>
      <c r="BC236" s="25">
        <f t="shared" si="19"/>
        <v>919.6906378378377</v>
      </c>
    </row>
    <row r="237" spans="1:55" ht="15.75" thickBot="1" x14ac:dyDescent="0.3">
      <c r="A237" s="3" t="s">
        <v>3902</v>
      </c>
      <c r="B237" s="10">
        <f>DATE(2025,5,18)</f>
        <v>45795</v>
      </c>
      <c r="C237" s="4">
        <v>45802</v>
      </c>
      <c r="D237" s="3" t="str">
        <f>"P-" &amp; TEXT(VALUE(SUBSTITUTE(SUBSTITUTE(SUBSTITUTE(UPPER(TRIM('Sales_RAW(BEFORE)'!D244)), "P", ""), "-", ""), "_", "")),"000")</f>
        <v>P-033</v>
      </c>
      <c r="E237" s="3" t="str">
        <f>VLOOKUP(D237,Product_List!$A$2:$B$61,2,FALSE)</f>
        <v>Printer X 33</v>
      </c>
      <c r="F237" s="3" t="str">
        <f>_xlfn.XLOOKUP(E237,Product_List!$B$2:$B$61,Product_List!$E$2:$E$61,2)</f>
        <v>Global Distrib</v>
      </c>
      <c r="G237" s="3" t="str">
        <f>VLOOKUP(E237,Product_List!$B$2:$C$61,2,FALSE)</f>
        <v>Office</v>
      </c>
      <c r="H237" s="3" t="str">
        <f>SUBSTITUTE(SUBSTITUTE('Sales_RAW(BEFORE)'!G244,"kom",""),".","")</f>
        <v>17</v>
      </c>
      <c r="I237" s="6">
        <f>VLOOKUP(E237,Product_List!$B$2:$D$61,3,FALSE)</f>
        <v>129.06</v>
      </c>
      <c r="J237" s="5">
        <f>IF(IFERROR(VALUE(SUBSTITUTE(SUBSTITUTE(TRIM('Sales_RAW(BEFORE)'!I244), "%", ""), ",", ".")), 0) &gt; 1, IFERROR(VALUE(SUBSTITUTE(SUBSTITUTE(TRIM('Sales_RAW(BEFORE)'!I244), "%", ""), ",", ".")), 0) / 100, IFERROR(VALUE(SUBSTITUTE(SUBSTITUTE(TRIM('Sales_RAW(BEFORE)'!I244), "%", ""), ",", ".")), 0))</f>
        <v>0</v>
      </c>
      <c r="K237" s="6">
        <f t="shared" si="15"/>
        <v>2194.02</v>
      </c>
      <c r="L237" s="6" t="str" cm="1">
        <f t="array" ref="L237">_xlfn.LET(
  _xlpm.valuta, UPPER(TRIM('Sales_RAW(BEFORE)'!K244)),
  _xlfn.IFS(
    _xlpm.valuta = "", "",
    OR(_xlpm.valuta = "USD", _xlpm.valuta = "$"), "$",
    OR(_xlpm.valuta = "EUR", _xlpm.valuta = "€"), "€",
    TRUE, _xlpm.valuta
  )
)</f>
        <v>$</v>
      </c>
      <c r="M237" s="3" t="str">
        <f>"E" &amp; TEXT(VALUE(SUBSTITUTE(SUBSTITUTE(SUBSTITUTE(UPPER(TRIM('Sales_RAW(BEFORE)'!L244)), "EMP", ""), "E", ""), "-", "")),"000")</f>
        <v>E022</v>
      </c>
      <c r="N237" s="3" t="str">
        <f>_xlfn.XLOOKUP(M237,Employees!$D$2:$D$26,Employees!$A$2:$A$26)</f>
        <v>Chris Williams</v>
      </c>
      <c r="O237" s="3" t="str">
        <f>_xlfn.XLOOKUP(N237,Employees!$A$2:$A$26,Employees!$C$2:$C$26,2)</f>
        <v>Sales</v>
      </c>
      <c r="P237" s="3" t="str">
        <f>PROPER('Sales_RAW(BEFORE)'!N244)</f>
        <v>South</v>
      </c>
      <c r="Q237" s="3" t="str">
        <f>VLOOKUP(N237,Employees!$A$2:$B$26,2,FALSE)</f>
        <v>Boston</v>
      </c>
      <c r="R237" s="3" t="str">
        <f>PROPER('Sales_RAW(BEFORE)'!P244)</f>
        <v xml:space="preserve">Globex Ltd.  </v>
      </c>
      <c r="S237" s="3" t="str">
        <f>SUBSTITUTE(SUBSTITUTE('Sales_RAW(BEFORE)'!Q244,"EIN",""),":","")</f>
        <v xml:space="preserve"> 452334804</v>
      </c>
      <c r="T237" s="3" t="s">
        <v>1251</v>
      </c>
      <c r="U237" s="3" t="s">
        <v>3912</v>
      </c>
      <c r="V237" s="3" t="s">
        <v>3913</v>
      </c>
      <c r="W237" s="3" t="s">
        <v>134</v>
      </c>
      <c r="X237" s="3" t="s">
        <v>173</v>
      </c>
      <c r="Y237" s="3" t="str">
        <f>PROPER('Sales_RAW(BEFORE)'!W244)</f>
        <v>Credit Card</v>
      </c>
      <c r="Z237" s="3" t="str">
        <f>PROPER('Sales_RAW(BEFORE)'!X244)</f>
        <v>Delivered</v>
      </c>
      <c r="AA237" s="3" t="str" cm="1">
        <f t="array" ref="AA237">_xlfn.LET(
  _xlpm.val, TRIM(LOWER('Sales_RAW(BEFORE)'!Y244)),
  _xlfn.IFS(
    OR(_xlpm.val="yes", _xlpm.val="paid"), "Paid",
    OR(_xlpm.val="no", _xlpm.val="unpaid"), "Unpaid",
    OR(_xlpm.val="partial", _xlpm.val="partial paid"), "Partial",
    _xlpm.val="", "",
    TRUE, 'Sales_RAW(BEFORE)'!AY244
  )
)</f>
        <v>Partial</v>
      </c>
      <c r="AB237" s="3" t="s">
        <v>3914</v>
      </c>
      <c r="AC237" s="3" t="str">
        <f>PROPER('Sales_RAW(BEFORE)'!AA244)</f>
        <v>Online</v>
      </c>
      <c r="AD237" s="3" t="str">
        <f>SUBSTITUTE(SUBSTITUTE(SUBSTITUTE(SUBSTITUTE('Sales_RAW(BEFORE)'!AB244,"st",""),"q",""),"Q",""),"uarter","")</f>
        <v>1</v>
      </c>
      <c r="AE237" s="3" t="str">
        <f>TEXT(IFERROR(DATEVALUE('Sales_RAW(BEFORE)'!AC244 &amp; " 1"), IFERROR(DATE(2025, 'Sales_RAW(BEFORE)'!AC244, 1), 'Sales_RAW(BEFORE)'!AC244)), "mmmm")</f>
        <v>May</v>
      </c>
      <c r="AF237" s="3">
        <f>_xlfn.LET(
  _xlpm.raw, TRIM(SUBSTITUTE('Sales_RAW(BEFORE)'!AD244, "'", "")),
  _xlpm.num, IFERROR(VALUE(_xlpm.raw), 0),
  IF(_xlpm.num &lt; 100, 2000 + _xlpm.num, _xlpm.num)
)</f>
        <v>2025</v>
      </c>
      <c r="AG237" s="3" t="str">
        <f>PROPER('Sales_RAW(BEFORE)'!AE244)</f>
        <v>Net 60</v>
      </c>
      <c r="AH237" s="3" cm="1">
        <f t="array" ref="AH237">_xlfn.LET(
  _xlpm.val, LOWER(TRIM('Sales_RAW(BEFORE)'!AF244)),
  _xlfn.IFS(
    OR(_xlpm.val="", _xlpm.val="null", _xlpm.val="N/A", _xlpm.val="-", _xlpm.val="#N/A"), 0,
    ISNUMBER('Sales_RAW(BEFORE)'!AF244), 'Sales_RAW(BEFORE)'!AF244,
    TRUE, IFERROR(_xlfn.NUMBERVALUE(_xlpm.val), 0)
  )
)</f>
        <v>1</v>
      </c>
      <c r="AI237" s="5">
        <f>IF(IFERROR(VALUE(SUBSTITUTE(SUBSTITUTE(TRIM('Sales_RAW(BEFORE)'!AG244), "%", ""), ",", ".")), 0) &gt; 1, IFERROR(VALUE(SUBSTITUTE(SUBSTITUTE(TRIM('Sales_RAW(BEFORE)'!AG244), "%", ""), ",", ".")), 0) / 100, IFERROR(VALUE(SUBSTITUTE(SUBSTITUTE(TRIM('Sales_RAW(BEFORE)'!AG244), "%", ""), ",", ".")), 0))</f>
        <v>0.08</v>
      </c>
      <c r="AJ237" s="6">
        <f t="shared" si="16"/>
        <v>175.52160000000001</v>
      </c>
      <c r="AK237" s="6">
        <f t="shared" si="17"/>
        <v>2369.5416</v>
      </c>
      <c r="AL237" s="6">
        <f>IFERROR(VALUE(SUBSTITUTE(SUBSTITUTE(SUBSTITUTE('Sales_RAW(BEFORE)'!AJ244,"$",""),"USD",""),",",".")),0)</f>
        <v>35.270000000000003</v>
      </c>
      <c r="AM237" s="3" t="str">
        <f>SUBSTITUTE(SUBSTITUTE(PROPER('Sales_RAW(BEFORE)'!AK244), "Fed Ex", "FedEx"),"Fedex","FedEx")</f>
        <v>Usps</v>
      </c>
      <c r="AN237" s="3" t="s">
        <v>3915</v>
      </c>
      <c r="AO237" s="3" t="str">
        <f>SUBSTITUTE('Sales_RAW(BEFORE)'!AM244,"kg","")</f>
        <v>3,47</v>
      </c>
      <c r="AP237" s="3" t="str">
        <f>_xlfn.LET(
  _xlpm.raw, UPPER(TRIM('Sales_RAW(BEFORE)'!AN244)),
  _xlpm.clean, RIGHT(_xlpm.raw, 1),
  IF(OR(_xlpm.raw="", _xlpm.raw="null"), "N/A", _xlpm.clean)
)</f>
        <v>C</v>
      </c>
      <c r="AQ237" s="3">
        <v>380</v>
      </c>
      <c r="AR237" s="3" cm="1">
        <f t="array" ref="AR237">_xlfn.LET(
  _xlpm.raw, LOWER(TRIM('Sales_RAW(BEFORE)'!AP244)),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237" s="3"/>
      <c r="AT237" s="3"/>
      <c r="AU237" s="3"/>
      <c r="AV237" s="8">
        <f>IF(IFERROR(VALUE(SUBSTITUTE(SUBSTITUTE(TRIM('Sales_RAW(BEFORE)'!AT244), "%", ""), ",", ".")), 0) &gt; 1, IFERROR(VALUE(SUBSTITUTE(SUBSTITUTE(TRIM('Sales_RAW(BEFORE)'!AT244), "%", ""), ",", ".")), 0) / 100, IFERROR(VALUE(SUBSTITUTE(SUBSTITUTE(TRIM('Sales_RAW(BEFORE)'!AT244), "%", ""), ",", ".")), 0))</f>
        <v>0</v>
      </c>
      <c r="AW237" s="6">
        <f>BA237*(_xlfn.XLOOKUP(N237,Employees!$A$2:$A$26,Employees!$E$2:$E$26,2))</f>
        <v>63.977623200000004</v>
      </c>
      <c r="AX237" s="3" t="str">
        <f>PROPER('Sales_RAW(BEFORE)'!AV244)</f>
        <v>Robert Johnson</v>
      </c>
      <c r="AY237" s="3" t="str">
        <f t="shared" si="18"/>
        <v>Robert Johnson</v>
      </c>
      <c r="AZ237" s="3"/>
      <c r="BA237" s="24">
        <f>AK237*(1-(_xlfn.XLOOKUP(G237, Exchange_Rates!$B$8:$F$8, Exchange_Rates!$B$9:$F$9, 0)+J237))</f>
        <v>2132.5874400000002</v>
      </c>
      <c r="BB237" s="7" cm="1">
        <f t="array" ref="BB237">_xlfn.LET(
  _xlpm.raw_dt, SUBSTITUTE(TRIM(C237), ".", "/"),
  _xlpm.dt, IFERROR(DATEVALUE(_xlpm.raw_dt), C237),
  _xlpm.p_code, TRIM(E237),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46532</v>
      </c>
      <c r="BC237" s="25">
        <f t="shared" si="19"/>
        <v>0</v>
      </c>
    </row>
    <row r="238" spans="1:55" ht="15.75" thickBot="1" x14ac:dyDescent="0.3">
      <c r="A238" s="3" t="s">
        <v>3917</v>
      </c>
      <c r="B238" s="10">
        <v>45678</v>
      </c>
      <c r="C238" s="4">
        <f>DATE(2025,1,23)</f>
        <v>45680</v>
      </c>
      <c r="D238" s="3" t="str">
        <f>"P-" &amp; TEXT(VALUE(SUBSTITUTE(SUBSTITUTE(SUBSTITUTE(UPPER(TRIM('Sales_RAW(BEFORE)'!D245)), "P", ""), "-", ""), "_", "")),"000")</f>
        <v>P-002</v>
      </c>
      <c r="E238" s="3" t="str">
        <f>VLOOKUP(D238,Product_List!$A$2:$B$61,2,FALSE)</f>
        <v>Monitor Max 2</v>
      </c>
      <c r="F238" s="3" t="str">
        <f>_xlfn.XLOOKUP(E238,Product_List!$B$2:$B$61,Product_List!$E$2:$E$61,2)</f>
        <v>BestParts</v>
      </c>
      <c r="G238" s="3" t="str">
        <f>VLOOKUP(E238,Product_List!$B$2:$C$61,2,FALSE)</f>
        <v>Electronics</v>
      </c>
      <c r="H238" s="3" t="str">
        <f>SUBSTITUTE(SUBSTITUTE('Sales_RAW(BEFORE)'!G245,"kom",""),".","")</f>
        <v xml:space="preserve">4 </v>
      </c>
      <c r="I238" s="6">
        <f>VLOOKUP(E238,Product_List!$B$2:$D$61,3,FALSE)</f>
        <v>551.70000000000005</v>
      </c>
      <c r="J238" s="5">
        <f>IF(IFERROR(VALUE(SUBSTITUTE(SUBSTITUTE(TRIM('Sales_RAW(BEFORE)'!I245), "%", ""), ",", ".")), 0) &gt; 1, IFERROR(VALUE(SUBSTITUTE(SUBSTITUTE(TRIM('Sales_RAW(BEFORE)'!I245), "%", ""), ",", ".")), 0) / 100, IFERROR(VALUE(SUBSTITUTE(SUBSTITUTE(TRIM('Sales_RAW(BEFORE)'!I245), "%", ""), ",", ".")), 0))</f>
        <v>0.05</v>
      </c>
      <c r="K238" s="6">
        <f t="shared" si="15"/>
        <v>2206.8000000000002</v>
      </c>
      <c r="L238" s="6" t="str" cm="1">
        <f t="array" ref="L238">_xlfn.LET(
  _xlpm.valuta, UPPER(TRIM('Sales_RAW(BEFORE)'!K245)),
  _xlfn.IFS(
    _xlpm.valuta = "", "",
    OR(_xlpm.valuta = "USD", _xlpm.valuta = "$"), "$",
    OR(_xlpm.valuta = "EUR", _xlpm.valuta = "€"), "€",
    TRUE, _xlpm.valuta
  )
)</f>
        <v>$</v>
      </c>
      <c r="M238" s="3" t="str">
        <f>"E" &amp; TEXT(VALUE(SUBSTITUTE(SUBSTITUTE(SUBSTITUTE(UPPER(TRIM('Sales_RAW(BEFORE)'!L245)), "EMP", ""), "E", ""), "-", "")),"000")</f>
        <v>E021</v>
      </c>
      <c r="N238" s="3" t="str">
        <f>_xlfn.XLOOKUP(M238,Employees!$D$2:$D$26,Employees!$A$2:$A$26)</f>
        <v>Chris Williams</v>
      </c>
      <c r="O238" s="3" t="str">
        <f>_xlfn.XLOOKUP(N238,Employees!$A$2:$A$26,Employees!$C$2:$C$26,2)</f>
        <v>Sales</v>
      </c>
      <c r="P238" s="3" t="str">
        <f>PROPER('Sales_RAW(BEFORE)'!N245)</f>
        <v>North</v>
      </c>
      <c r="Q238" s="3" t="str">
        <f>VLOOKUP(N238,Employees!$A$2:$B$26,2,FALSE)</f>
        <v>Boston</v>
      </c>
      <c r="R238" s="3" t="str">
        <f>PROPER('Sales_RAW(BEFORE)'!P245)</f>
        <v xml:space="preserve">  Globex Llc   </v>
      </c>
      <c r="S238" s="3" t="str">
        <f>SUBSTITUTE(SUBSTITUTE('Sales_RAW(BEFORE)'!Q245,"EIN",""),":","")</f>
        <v>687879260</v>
      </c>
      <c r="T238" s="3" t="s">
        <v>564</v>
      </c>
      <c r="U238" s="3" t="s">
        <v>3922</v>
      </c>
      <c r="V238" s="3" t="s">
        <v>3923</v>
      </c>
      <c r="W238" s="3" t="s">
        <v>3924</v>
      </c>
      <c r="X238" s="3" t="s">
        <v>173</v>
      </c>
      <c r="Y238" s="3" t="str">
        <f>PROPER('Sales_RAW(BEFORE)'!W245)</f>
        <v>Wire Transfer</v>
      </c>
      <c r="Z238" s="3" t="str">
        <f>PROPER('Sales_RAW(BEFORE)'!X245)</f>
        <v>Delivered</v>
      </c>
      <c r="AA238" s="3" t="str" cm="1">
        <f t="array" ref="AA238">_xlfn.LET(
  _xlpm.val, TRIM(LOWER('Sales_RAW(BEFORE)'!Y245)),
  _xlfn.IFS(
    OR(_xlpm.val="yes", _xlpm.val="paid"), "Paid",
    OR(_xlpm.val="no", _xlpm.val="unpaid"), "Unpaid",
    OR(_xlpm.val="partial", _xlpm.val="partial paid"), "Partial",
    _xlpm.val="", "",
    TRUE, 'Sales_RAW(BEFORE)'!AY245
  )
)</f>
        <v>Paid</v>
      </c>
      <c r="AB238" s="3" t="s">
        <v>3925</v>
      </c>
      <c r="AC238" s="3" t="str">
        <f>PROPER('Sales_RAW(BEFORE)'!AA245)</f>
        <v>Store</v>
      </c>
      <c r="AD238" s="3" t="str">
        <f>SUBSTITUTE(SUBSTITUTE(SUBSTITUTE(SUBSTITUTE('Sales_RAW(BEFORE)'!AB245,"st",""),"q",""),"Q",""),"uarter","")</f>
        <v>1</v>
      </c>
      <c r="AE238" s="3" t="str">
        <f>TEXT(IFERROR(DATEVALUE('Sales_RAW(BEFORE)'!AC245 &amp; " 1"), IFERROR(DATE(2025, 'Sales_RAW(BEFORE)'!AC245, 1), 'Sales_RAW(BEFORE)'!AC245)), "mmmm")</f>
        <v>January</v>
      </c>
      <c r="AF238" s="3">
        <f>_xlfn.LET(
  _xlpm.raw, TRIM(SUBSTITUTE('Sales_RAW(BEFORE)'!AD245, "'", "")),
  _xlpm.num, IFERROR(VALUE(_xlpm.raw), 0),
  IF(_xlpm.num &lt; 100, 2000 + _xlpm.num, _xlpm.num)
)</f>
        <v>2025</v>
      </c>
      <c r="AG238" s="3" t="str">
        <f>PROPER('Sales_RAW(BEFORE)'!AE245)</f>
        <v>Net 60</v>
      </c>
      <c r="AH238" s="3" cm="1">
        <f t="array" ref="AH238">_xlfn.LET(
  _xlpm.val, LOWER(TRIM('Sales_RAW(BEFORE)'!AF245)),
  _xlfn.IFS(
    OR(_xlpm.val="", _xlpm.val="null", _xlpm.val="N/A", _xlpm.val="-", _xlpm.val="#N/A"), 0,
    ISNUMBER('Sales_RAW(BEFORE)'!AF245), 'Sales_RAW(BEFORE)'!AF245,
    TRUE, IFERROR(_xlfn.NUMBERVALUE(_xlpm.val), 0)
  )
)</f>
        <v>18</v>
      </c>
      <c r="AI238" s="5">
        <f>IF(IFERROR(VALUE(SUBSTITUTE(SUBSTITUTE(TRIM('Sales_RAW(BEFORE)'!AG245), "%", ""), ",", ".")), 0) &gt; 1, IFERROR(VALUE(SUBSTITUTE(SUBSTITUTE(TRIM('Sales_RAW(BEFORE)'!AG245), "%", ""), ",", ".")), 0) / 100, IFERROR(VALUE(SUBSTITUTE(SUBSTITUTE(TRIM('Sales_RAW(BEFORE)'!AG245), "%", ""), ",", ".")), 0))</f>
        <v>0.08</v>
      </c>
      <c r="AJ238" s="6">
        <f t="shared" si="16"/>
        <v>176.54400000000001</v>
      </c>
      <c r="AK238" s="6">
        <f t="shared" si="17"/>
        <v>2383.3440000000001</v>
      </c>
      <c r="AL238" s="6">
        <f>IFERROR(VALUE(SUBSTITUTE(SUBSTITUTE(SUBSTITUTE('Sales_RAW(BEFORE)'!AJ245,"$",""),"USD",""),",",".")),0)</f>
        <v>15.31</v>
      </c>
      <c r="AM238" s="3" t="str">
        <f>SUBSTITUTE(SUBSTITUTE(PROPER('Sales_RAW(BEFORE)'!AK245), "Fed Ex", "FedEx"),"Fedex","FedEx")</f>
        <v>Ups</v>
      </c>
      <c r="AN238" s="3" t="s">
        <v>3927</v>
      </c>
      <c r="AO238" s="3" t="str">
        <f>SUBSTITUTE('Sales_RAW(BEFORE)'!AM245,"kg","")</f>
        <v xml:space="preserve">24.9 </v>
      </c>
      <c r="AP238" s="3" t="str">
        <f>_xlfn.LET(
  _xlpm.raw, UPPER(TRIM('Sales_RAW(BEFORE)'!AN245)),
  _xlpm.clean, RIGHT(_xlpm.raw, 1),
  IF(OR(_xlpm.raw="", _xlpm.raw="null"), "N/A", _xlpm.clean)
)</f>
        <v>C</v>
      </c>
      <c r="AQ238" s="3">
        <v>282</v>
      </c>
      <c r="AR238" s="3" cm="1">
        <f t="array" ref="AR238">_xlfn.LET(
  _xlpm.raw, LOWER(TRIM('Sales_RAW(BEFORE)'!AP245)),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238" s="3"/>
      <c r="AT238" s="3"/>
      <c r="AU238" s="3"/>
      <c r="AV238" s="8">
        <f>IF(IFERROR(VALUE(SUBSTITUTE(SUBSTITUTE(TRIM('Sales_RAW(BEFORE)'!AT245), "%", ""), ",", ".")), 0) &gt; 1, IFERROR(VALUE(SUBSTITUTE(SUBSTITUTE(TRIM('Sales_RAW(BEFORE)'!AT245), "%", ""), ",", ".")), 0) / 100, IFERROR(VALUE(SUBSTITUTE(SUBSTITUTE(TRIM('Sales_RAW(BEFORE)'!AT245), "%", ""), ",", ".")), 0))</f>
        <v>0.3</v>
      </c>
      <c r="AW238" s="6">
        <f>BA238*(_xlfn.XLOOKUP(N238,Employees!$A$2:$A$26,Employees!$E$2:$E$26,2))</f>
        <v>60.775272000000001</v>
      </c>
      <c r="AX238" s="3" t="str">
        <f>PROPER('Sales_RAW(BEFORE)'!AV245)</f>
        <v>Emily Johnson</v>
      </c>
      <c r="AY238" s="3" t="str">
        <f t="shared" si="18"/>
        <v>Emily Johnson</v>
      </c>
      <c r="AZ238" s="3"/>
      <c r="BA238" s="24">
        <f>AK238*(1-(_xlfn.XLOOKUP(G238, Exchange_Rates!$B$8:$F$8, Exchange_Rates!$B$9:$F$9, 0)+J238))</f>
        <v>2025.8424</v>
      </c>
      <c r="BB238" s="7" cm="1">
        <f t="array" ref="BB238">_xlfn.LET(
  _xlpm.raw_dt, SUBSTITUTE(TRIM(C238), ".", "/"),
  _xlpm.dt, IFERROR(DATEVALUE(_xlpm.raw_dt), C238),
  _xlpm.p_code, TRIM(E238),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46045</v>
      </c>
      <c r="BC238" s="25">
        <f t="shared" si="19"/>
        <v>607.75271999999995</v>
      </c>
    </row>
    <row r="239" spans="1:55" ht="15.75" thickBot="1" x14ac:dyDescent="0.3">
      <c r="A239" s="3" t="s">
        <v>3930</v>
      </c>
      <c r="B239" s="10">
        <v>46222</v>
      </c>
      <c r="C239" s="4">
        <v>46229</v>
      </c>
      <c r="D239" s="3" t="str">
        <f>"P-" &amp; TEXT(VALUE(SUBSTITUTE(SUBSTITUTE(SUBSTITUTE(UPPER(TRIM('Sales_RAW(BEFORE)'!D246)), "P", ""), "-", ""), "_", "")),"000")</f>
        <v>P-025</v>
      </c>
      <c r="E239" s="3" t="str">
        <f>VLOOKUP(D239,Product_List!$A$2:$B$61,2,FALSE)</f>
        <v>Chair Max 25</v>
      </c>
      <c r="F239" s="3" t="str">
        <f>_xlfn.XLOOKUP(E239,Product_List!$B$2:$B$61,Product_List!$E$2:$E$61,2)</f>
        <v>TechSupply Co</v>
      </c>
      <c r="G239" s="3" t="str">
        <f>VLOOKUP(E239,Product_List!$B$2:$C$61,2,FALSE)</f>
        <v>Software</v>
      </c>
      <c r="H239" s="3" t="str">
        <f>SUBSTITUTE(SUBSTITUTE('Sales_RAW(BEFORE)'!G246,"kom",""),".","")</f>
        <v>15</v>
      </c>
      <c r="I239" s="6">
        <f>VLOOKUP(E239,Product_List!$B$2:$D$61,3,FALSE)</f>
        <v>430.47</v>
      </c>
      <c r="J239" s="5">
        <f>IF(IFERROR(VALUE(SUBSTITUTE(SUBSTITUTE(TRIM('Sales_RAW(BEFORE)'!I246), "%", ""), ",", ".")), 0) &gt; 1, IFERROR(VALUE(SUBSTITUTE(SUBSTITUTE(TRIM('Sales_RAW(BEFORE)'!I246), "%", ""), ",", ".")), 0) / 100, IFERROR(VALUE(SUBSTITUTE(SUBSTITUTE(TRIM('Sales_RAW(BEFORE)'!I246), "%", ""), ",", ".")), 0))</f>
        <v>0.1</v>
      </c>
      <c r="K239" s="6">
        <f t="shared" si="15"/>
        <v>6457.05</v>
      </c>
      <c r="L239" s="6" t="str" cm="1">
        <f t="array" ref="L239">_xlfn.LET(
  _xlpm.valuta, UPPER(TRIM('Sales_RAW(BEFORE)'!K246)),
  _xlfn.IFS(
    _xlpm.valuta = "", "",
    OR(_xlpm.valuta = "USD", _xlpm.valuta = "$"), "$",
    OR(_xlpm.valuta = "EUR", _xlpm.valuta = "€"), "€",
    TRUE, _xlpm.valuta
  )
)</f>
        <v>$</v>
      </c>
      <c r="M239" s="3" t="str">
        <f>"E" &amp; TEXT(VALUE(SUBSTITUTE(SUBSTITUTE(SUBSTITUTE(UPPER(TRIM('Sales_RAW(BEFORE)'!L246)), "EMP", ""), "E", ""), "-", "")),"000")</f>
        <v>E001</v>
      </c>
      <c r="N239" s="3" t="str">
        <f>_xlfn.XLOOKUP(M239,Employees!$D$2:$D$26,Employees!$A$2:$A$26)</f>
        <v>Sarah Wilson</v>
      </c>
      <c r="O239" s="3" t="str">
        <f>_xlfn.XLOOKUP(N239,Employees!$A$2:$A$26,Employees!$C$2:$C$26,2)</f>
        <v>Online</v>
      </c>
      <c r="P239" s="3" t="str">
        <f>PROPER('Sales_RAW(BEFORE)'!N246)</f>
        <v>North</v>
      </c>
      <c r="Q239" s="3" t="str">
        <f>VLOOKUP(N239,Employees!$A$2:$B$26,2,FALSE)</f>
        <v>Los Angeles</v>
      </c>
      <c r="R239" s="3" t="str">
        <f>PROPER('Sales_RAW(BEFORE)'!P246)</f>
        <v>Vortex Inc.</v>
      </c>
      <c r="S239" s="3" t="str">
        <f>SUBSTITUTE(SUBSTITUTE('Sales_RAW(BEFORE)'!Q246,"EIN",""),":","")</f>
        <v>939351137</v>
      </c>
      <c r="T239" s="3" t="s">
        <v>464</v>
      </c>
      <c r="U239" s="3" t="s">
        <v>3937</v>
      </c>
      <c r="V239" s="3" t="s">
        <v>3938</v>
      </c>
      <c r="W239" s="3" t="s">
        <v>3939</v>
      </c>
      <c r="X239" s="3" t="s">
        <v>173</v>
      </c>
      <c r="Y239" s="3" t="str">
        <f>PROPER('Sales_RAW(BEFORE)'!W246)</f>
        <v>Paypal</v>
      </c>
      <c r="Z239" s="3" t="str">
        <f>PROPER('Sales_RAW(BEFORE)'!X246)</f>
        <v>Delivered</v>
      </c>
      <c r="AA239" s="3" t="str" cm="1">
        <f t="array" ref="AA239">_xlfn.LET(
  _xlpm.val, TRIM(LOWER('Sales_RAW(BEFORE)'!Y246)),
  _xlfn.IFS(
    OR(_xlpm.val="yes", _xlpm.val="paid"), "Paid",
    OR(_xlpm.val="no", _xlpm.val="unpaid"), "Unpaid",
    OR(_xlpm.val="partial", _xlpm.val="partial paid"), "Partial",
    _xlpm.val="", "",
    TRUE, 'Sales_RAW(BEFORE)'!AY246
  )
)</f>
        <v>Unpaid</v>
      </c>
      <c r="AB239" s="3" t="s">
        <v>3940</v>
      </c>
      <c r="AC239" s="3" t="str">
        <f>PROPER('Sales_RAW(BEFORE)'!AA246)</f>
        <v>Web</v>
      </c>
      <c r="AD239" s="3" t="str">
        <f>SUBSTITUTE(SUBSTITUTE(SUBSTITUTE(SUBSTITUTE('Sales_RAW(BEFORE)'!AB246,"st",""),"q",""),"Q",""),"uarter","")</f>
        <v>2</v>
      </c>
      <c r="AE239" s="3" t="str">
        <f>TEXT(IFERROR(DATEVALUE('Sales_RAW(BEFORE)'!AC246 &amp; " 1"), IFERROR(DATE(2025, 'Sales_RAW(BEFORE)'!AC246, 1), 'Sales_RAW(BEFORE)'!AC246)), "mmmm")</f>
        <v>July</v>
      </c>
      <c r="AF239" s="3">
        <f>_xlfn.LET(
  _xlpm.raw, TRIM(SUBSTITUTE('Sales_RAW(BEFORE)'!AD246, "'", "")),
  _xlpm.num, IFERROR(VALUE(_xlpm.raw), 0),
  IF(_xlpm.num &lt; 100, 2000 + _xlpm.num, _xlpm.num)
)</f>
        <v>2026</v>
      </c>
      <c r="AG239" s="3" t="str">
        <f>PROPER('Sales_RAW(BEFORE)'!AE246)</f>
        <v>Net 60</v>
      </c>
      <c r="AH239" s="3" cm="1">
        <f t="array" ref="AH239">_xlfn.LET(
  _xlpm.val, LOWER(TRIM('Sales_RAW(BEFORE)'!AF246)),
  _xlfn.IFS(
    OR(_xlpm.val="", _xlpm.val="null", _xlpm.val="N/A", _xlpm.val="-", _xlpm.val="#N/A"), 0,
    ISNUMBER('Sales_RAW(BEFORE)'!AF246), 'Sales_RAW(BEFORE)'!AF246,
    TRUE, IFERROR(_xlfn.NUMBERVALUE(_xlpm.val), 0)
  )
)</f>
        <v>90</v>
      </c>
      <c r="AI239" s="5">
        <f>IF(IFERROR(VALUE(SUBSTITUTE(SUBSTITUTE(TRIM('Sales_RAW(BEFORE)'!AG246), "%", ""), ",", ".")), 0) &gt; 1, IFERROR(VALUE(SUBSTITUTE(SUBSTITUTE(TRIM('Sales_RAW(BEFORE)'!AG246), "%", ""), ",", ".")), 0) / 100, IFERROR(VALUE(SUBSTITUTE(SUBSTITUTE(TRIM('Sales_RAW(BEFORE)'!AG246), "%", ""), ",", ".")), 0))</f>
        <v>0.08</v>
      </c>
      <c r="AJ239" s="6">
        <f t="shared" si="16"/>
        <v>516.56400000000008</v>
      </c>
      <c r="AK239" s="6">
        <f t="shared" si="17"/>
        <v>6973.6140000000005</v>
      </c>
      <c r="AL239" s="6">
        <f>IFERROR(VALUE(SUBSTITUTE(SUBSTITUTE(SUBSTITUTE('Sales_RAW(BEFORE)'!AJ246,"$",""),"USD",""),",",".")),0)</f>
        <v>42.36</v>
      </c>
      <c r="AM239" s="3" t="str">
        <f>SUBSTITUTE(SUBSTITUTE(PROPER('Sales_RAW(BEFORE)'!AK246), "Fed Ex", "FedEx"),"Fedex","FedEx")</f>
        <v>Usps</v>
      </c>
      <c r="AN239" s="3" t="s">
        <v>3942</v>
      </c>
      <c r="AO239" s="3" t="str">
        <f>SUBSTITUTE('Sales_RAW(BEFORE)'!AM246,"kg","")</f>
        <v>1.15</v>
      </c>
      <c r="AP239" s="3" t="str">
        <f>_xlfn.LET(
  _xlpm.raw, UPPER(TRIM('Sales_RAW(BEFORE)'!AN246)),
  _xlpm.clean, RIGHT(_xlpm.raw, 1),
  IF(OR(_xlpm.raw="", _xlpm.raw="null"), "N/A", _xlpm.clean)
)</f>
        <v>A</v>
      </c>
      <c r="AQ239" s="3">
        <v>47</v>
      </c>
      <c r="AR239" s="3" cm="1">
        <f t="array" ref="AR239">_xlfn.LET(
  _xlpm.raw, LOWER(TRIM('Sales_RAW(BEFORE)'!AP246)),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239" s="3"/>
      <c r="AT239" s="3"/>
      <c r="AU239" s="3"/>
      <c r="AV239" s="8">
        <f>IF(IFERROR(VALUE(SUBSTITUTE(SUBSTITUTE(TRIM('Sales_RAW(BEFORE)'!AT246), "%", ""), ",", ".")), 0) &gt; 1, IFERROR(VALUE(SUBSTITUTE(SUBSTITUTE(TRIM('Sales_RAW(BEFORE)'!AT246), "%", ""), ",", ".")), 0) / 100, IFERROR(VALUE(SUBSTITUTE(SUBSTITUTE(TRIM('Sales_RAW(BEFORE)'!AT246), "%", ""), ",", ".")), 0))</f>
        <v>0.15</v>
      </c>
      <c r="AW239" s="6">
        <f>BA239*(_xlfn.XLOOKUP(N239,Employees!$A$2:$A$26,Employees!$E$2:$E$26,2))</f>
        <v>156.90631500000001</v>
      </c>
      <c r="AX239" s="3" t="str">
        <f>PROPER('Sales_RAW(BEFORE)'!AV246)</f>
        <v xml:space="preserve">Sophia Brown </v>
      </c>
      <c r="AY239" s="3" t="str">
        <f t="shared" si="18"/>
        <v xml:space="preserve">Sophia Brown </v>
      </c>
      <c r="AZ239" s="3"/>
      <c r="BA239" s="24">
        <f>AK239*(1-(_xlfn.XLOOKUP(G239, Exchange_Rates!$B$8:$F$8, Exchange_Rates!$B$9:$F$9, 0)+J239))</f>
        <v>5230.2105000000001</v>
      </c>
      <c r="BB239" s="7" cm="1">
        <f t="array" ref="BB239">_xlfn.LET(
  _xlpm.raw_dt, SUBSTITUTE(TRIM(C239), ".", "/"),
  _xlpm.dt, IFERROR(DATEVALUE(_xlpm.raw_dt), C239),
  _xlpm.p_code, TRIM(E239),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46594</v>
      </c>
      <c r="BC239" s="25">
        <f t="shared" si="19"/>
        <v>784.53157499999998</v>
      </c>
    </row>
    <row r="240" spans="1:55" ht="15.75" thickBot="1" x14ac:dyDescent="0.3">
      <c r="A240" s="3" t="s">
        <v>3944</v>
      </c>
      <c r="B240" s="10">
        <v>45992</v>
      </c>
      <c r="C240" s="4">
        <v>46006</v>
      </c>
      <c r="D240" s="3" t="str">
        <f>"P-" &amp; TEXT(VALUE(SUBSTITUTE(SUBSTITUTE(SUBSTITUTE(UPPER(TRIM('Sales_RAW(BEFORE)'!D247)), "P", ""), "-", ""), "_", "")),"000")</f>
        <v>P-042</v>
      </c>
      <c r="E240" s="3" t="str">
        <f>VLOOKUP(D240,Product_List!$A$2:$B$61,2,FALSE)</f>
        <v>Desk Max 42</v>
      </c>
      <c r="F240" s="3" t="str">
        <f>_xlfn.XLOOKUP(E240,Product_List!$B$2:$B$61,Product_List!$E$2:$E$61,2)</f>
        <v>TechSupply Co</v>
      </c>
      <c r="G240" s="3" t="str">
        <f>VLOOKUP(E240,Product_List!$B$2:$C$61,2,FALSE)</f>
        <v>Electronics</v>
      </c>
      <c r="H240" s="3" t="str">
        <f>SUBSTITUTE(SUBSTITUTE('Sales_RAW(BEFORE)'!G247,"kom",""),".","")</f>
        <v>24</v>
      </c>
      <c r="I240" s="6">
        <f>VLOOKUP(E240,Product_List!$B$2:$D$61,3,FALSE)</f>
        <v>158.06</v>
      </c>
      <c r="J240" s="5">
        <f>IF(IFERROR(VALUE(SUBSTITUTE(SUBSTITUTE(TRIM('Sales_RAW(BEFORE)'!I247), "%", ""), ",", ".")), 0) &gt; 1, IFERROR(VALUE(SUBSTITUTE(SUBSTITUTE(TRIM('Sales_RAW(BEFORE)'!I247), "%", ""), ",", ".")), 0) / 100, IFERROR(VALUE(SUBSTITUTE(SUBSTITUTE(TRIM('Sales_RAW(BEFORE)'!I247), "%", ""), ",", ".")), 0))</f>
        <v>0.1</v>
      </c>
      <c r="K240" s="6">
        <f t="shared" si="15"/>
        <v>3793.44</v>
      </c>
      <c r="L240" s="6" t="str" cm="1">
        <f t="array" ref="L240">_xlfn.LET(
  _xlpm.valuta, UPPER(TRIM('Sales_RAW(BEFORE)'!K247)),
  _xlfn.IFS(
    _xlpm.valuta = "", "",
    OR(_xlpm.valuta = "USD", _xlpm.valuta = "$"), "$",
    OR(_xlpm.valuta = "EUR", _xlpm.valuta = "€"), "€",
    TRUE, _xlpm.valuta
  )
)</f>
        <v>$</v>
      </c>
      <c r="M240" s="3" t="str">
        <f>"E" &amp; TEXT(VALUE(SUBSTITUTE(SUBSTITUTE(SUBSTITUTE(UPPER(TRIM('Sales_RAW(BEFORE)'!L247)), "EMP", ""), "E", ""), "-", "")),"000")</f>
        <v>E010</v>
      </c>
      <c r="N240" s="3" t="str">
        <f>_xlfn.XLOOKUP(M240,Employees!$D$2:$D$26,Employees!$A$2:$A$26)</f>
        <v>Olivia Anderson</v>
      </c>
      <c r="O240" s="3" t="str">
        <f>_xlfn.XLOOKUP(N240,Employees!$A$2:$A$26,Employees!$C$2:$C$26,2)</f>
        <v>Online</v>
      </c>
      <c r="P240" s="3" t="str">
        <f>PROPER('Sales_RAW(BEFORE)'!N247)</f>
        <v>North</v>
      </c>
      <c r="Q240" s="3" t="str">
        <f>VLOOKUP(N240,Employees!$A$2:$B$26,2,FALSE)</f>
        <v>Houston</v>
      </c>
      <c r="R240" s="3" t="str">
        <f>PROPER('Sales_RAW(BEFORE)'!P247)</f>
        <v xml:space="preserve">   Globex Llc</v>
      </c>
      <c r="S240" s="3" t="str">
        <f>SUBSTITUTE(SUBSTITUTE('Sales_RAW(BEFORE)'!Q247,"EIN",""),":","")</f>
        <v>165048379</v>
      </c>
      <c r="T240" s="3" t="s">
        <v>258</v>
      </c>
      <c r="U240" s="3" t="s">
        <v>3952</v>
      </c>
      <c r="V240" s="3" t="s">
        <v>3953</v>
      </c>
      <c r="W240" s="3" t="s">
        <v>3954</v>
      </c>
      <c r="X240" s="3" t="s">
        <v>173</v>
      </c>
      <c r="Y240" s="3" t="str">
        <f>PROPER('Sales_RAW(BEFORE)'!W247)</f>
        <v>Credit Card</v>
      </c>
      <c r="Z240" s="3" t="str">
        <f>PROPER('Sales_RAW(BEFORE)'!X247)</f>
        <v>Delivered</v>
      </c>
      <c r="AA240" s="3" t="str" cm="1">
        <f t="array" ref="AA240">_xlfn.LET(
  _xlpm.val, TRIM(LOWER('Sales_RAW(BEFORE)'!Y247)),
  _xlfn.IFS(
    OR(_xlpm.val="yes", _xlpm.val="paid"), "Paid",
    OR(_xlpm.val="no", _xlpm.val="unpaid"), "Unpaid",
    OR(_xlpm.val="partial", _xlpm.val="partial paid"), "Partial",
    _xlpm.val="", "",
    TRUE, 'Sales_RAW(BEFORE)'!AY247
  )
)</f>
        <v>Paid</v>
      </c>
      <c r="AB240" s="3" t="s">
        <v>3955</v>
      </c>
      <c r="AC240" s="3" t="str">
        <f>PROPER('Sales_RAW(BEFORE)'!AA247)</f>
        <v>Phone</v>
      </c>
      <c r="AD240" s="3" t="str">
        <f>SUBSTITUTE(SUBSTITUTE(SUBSTITUTE(SUBSTITUTE('Sales_RAW(BEFORE)'!AB247,"st",""),"q",""),"Q",""),"uarter","")</f>
        <v>1</v>
      </c>
      <c r="AE240" s="3" t="str">
        <f>TEXT(IFERROR(DATEVALUE('Sales_RAW(BEFORE)'!AC247 &amp; " 1"), IFERROR(DATE(2025, 'Sales_RAW(BEFORE)'!AC247, 1), 'Sales_RAW(BEFORE)'!AC247)), "mmmm")</f>
        <v>December</v>
      </c>
      <c r="AF240" s="3">
        <f>_xlfn.LET(
  _xlpm.raw, TRIM(SUBSTITUTE('Sales_RAW(BEFORE)'!AD247, "'", "")),
  _xlpm.num, IFERROR(VALUE(_xlpm.raw), 0),
  IF(_xlpm.num &lt; 100, 2000 + _xlpm.num, _xlpm.num)
)</f>
        <v>2025</v>
      </c>
      <c r="AG240" s="3" t="str">
        <f>PROPER('Sales_RAW(BEFORE)'!AE247)</f>
        <v>Immediate</v>
      </c>
      <c r="AH240" s="3" cm="1">
        <f t="array" ref="AH240">_xlfn.LET(
  _xlpm.val, LOWER(TRIM('Sales_RAW(BEFORE)'!AF247)),
  _xlfn.IFS(
    OR(_xlpm.val="", _xlpm.val="null", _xlpm.val="N/A", _xlpm.val="-", _xlpm.val="#N/A"), 0,
    ISNUMBER('Sales_RAW(BEFORE)'!AF247), 'Sales_RAW(BEFORE)'!AF247,
    TRUE, IFERROR(_xlfn.NUMBERVALUE(_xlpm.val), 0)
  )
)</f>
        <v>72</v>
      </c>
      <c r="AI240" s="5">
        <f>IF(IFERROR(VALUE(SUBSTITUTE(SUBSTITUTE(TRIM('Sales_RAW(BEFORE)'!AG247), "%", ""), ",", ".")), 0) &gt; 1, IFERROR(VALUE(SUBSTITUTE(SUBSTITUTE(TRIM('Sales_RAW(BEFORE)'!AG247), "%", ""), ",", ".")), 0) / 100, IFERROR(VALUE(SUBSTITUTE(SUBSTITUTE(TRIM('Sales_RAW(BEFORE)'!AG247), "%", ""), ",", ".")), 0))</f>
        <v>0.08</v>
      </c>
      <c r="AJ240" s="6">
        <f t="shared" si="16"/>
        <v>303.47520000000003</v>
      </c>
      <c r="AK240" s="6">
        <f t="shared" si="17"/>
        <v>4096.9152000000004</v>
      </c>
      <c r="AL240" s="6">
        <f>IFERROR(VALUE(SUBSTITUTE(SUBSTITUTE(SUBSTITUTE('Sales_RAW(BEFORE)'!AJ247,"$",""),"USD",""),",",".")),0)</f>
        <v>38</v>
      </c>
      <c r="AM240" s="3" t="str">
        <f>SUBSTITUTE(SUBSTITUTE(PROPER('Sales_RAW(BEFORE)'!AK247), "Fed Ex", "FedEx"),"Fedex","FedEx")</f>
        <v>Dhl</v>
      </c>
      <c r="AN240" s="3" t="s">
        <v>3956</v>
      </c>
      <c r="AO240" s="3" t="str">
        <f>SUBSTITUTE('Sales_RAW(BEFORE)'!AM247,"kg","")</f>
        <v xml:space="preserve">2.7 </v>
      </c>
      <c r="AP240" s="3" t="str">
        <f>_xlfn.LET(
  _xlpm.raw, UPPER(TRIM('Sales_RAW(BEFORE)'!AN247)),
  _xlpm.clean, RIGHT(_xlpm.raw, 1),
  IF(OR(_xlpm.raw="", _xlpm.raw="null"), "N/A", _xlpm.clean)
)</f>
        <v>A</v>
      </c>
      <c r="AQ240" s="3">
        <v>160</v>
      </c>
      <c r="AR240" s="3" cm="1">
        <f t="array" ref="AR240">_xlfn.LET(
  _xlpm.raw, LOWER(TRIM('Sales_RAW(BEFORE)'!AP247)),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240" s="3"/>
      <c r="AT240" s="3"/>
      <c r="AU240" s="3"/>
      <c r="AV240" s="8">
        <f>IF(IFERROR(VALUE(SUBSTITUTE(SUBSTITUTE(TRIM('Sales_RAW(BEFORE)'!AT247), "%", ""), ",", ".")), 0) &gt; 1, IFERROR(VALUE(SUBSTITUTE(SUBSTITUTE(TRIM('Sales_RAW(BEFORE)'!AT247), "%", ""), ",", ".")), 0) / 100, IFERROR(VALUE(SUBSTITUTE(SUBSTITUTE(TRIM('Sales_RAW(BEFORE)'!AT247), "%", ""), ",", ".")), 0))</f>
        <v>0.3</v>
      </c>
      <c r="AW240" s="6">
        <f>BA240*(_xlfn.XLOOKUP(N240,Employees!$A$2:$A$26,Employees!$E$2:$E$26,2))</f>
        <v>98.325964800000023</v>
      </c>
      <c r="AX240" s="3" t="str">
        <f>PROPER('Sales_RAW(BEFORE)'!AV247)</f>
        <v xml:space="preserve"> Sophia Anderson</v>
      </c>
      <c r="AY240" s="3" t="str">
        <f t="shared" si="18"/>
        <v xml:space="preserve"> Sophia Anderson</v>
      </c>
      <c r="AZ240" s="3"/>
      <c r="BA240" s="24">
        <f>AK240*(1-(_xlfn.XLOOKUP(G240, Exchange_Rates!$B$8:$F$8, Exchange_Rates!$B$9:$F$9, 0)+J240))</f>
        <v>3277.5321600000007</v>
      </c>
      <c r="BB240" s="7" cm="1">
        <f t="array" ref="BB240">_xlfn.LET(
  _xlpm.raw_dt, SUBSTITUTE(TRIM(C240), ".", "/"),
  _xlpm.dt, IFERROR(DATEVALUE(_xlpm.raw_dt), C240),
  _xlpm.p_code, TRIM(E240),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47102</v>
      </c>
      <c r="BC240" s="25">
        <f t="shared" si="19"/>
        <v>983.2596480000002</v>
      </c>
    </row>
    <row r="241" spans="1:55" ht="15.75" thickBot="1" x14ac:dyDescent="0.3">
      <c r="A241" s="3" t="s">
        <v>3960</v>
      </c>
      <c r="B241" s="10">
        <v>46200</v>
      </c>
      <c r="C241" s="4">
        <v>46202</v>
      </c>
      <c r="D241" s="3" t="str">
        <f>"P-" &amp; TEXT(VALUE(SUBSTITUTE(SUBSTITUTE(SUBSTITUTE(UPPER(TRIM('Sales_RAW(BEFORE)'!D248)), "P", ""), "-", ""), "_", "")),"000")</f>
        <v>P-027</v>
      </c>
      <c r="E241" s="3" t="str">
        <f>VLOOKUP(D241,Product_List!$A$2:$B$61,2,FALSE)</f>
        <v>Desk X 27</v>
      </c>
      <c r="F241" s="3" t="str">
        <f>_xlfn.XLOOKUP(E241,Product_List!$B$2:$B$61,Product_List!$E$2:$E$61,2)</f>
        <v>Global Distrib</v>
      </c>
      <c r="G241" s="3" t="str">
        <f>VLOOKUP(E241,Product_List!$B$2:$C$61,2,FALSE)</f>
        <v>Equipment</v>
      </c>
      <c r="H241" s="3" t="str">
        <f>SUBSTITUTE(SUBSTITUTE('Sales_RAW(BEFORE)'!G248,"kom",""),".","")</f>
        <v>20</v>
      </c>
      <c r="I241" s="6">
        <f>VLOOKUP(E241,Product_List!$B$2:$D$61,3,FALSE)</f>
        <v>180.06</v>
      </c>
      <c r="J241" s="5">
        <f>IF(IFERROR(VALUE(SUBSTITUTE(SUBSTITUTE(TRIM('Sales_RAW(BEFORE)'!I248), "%", ""), ",", ".")), 0) &gt; 1, IFERROR(VALUE(SUBSTITUTE(SUBSTITUTE(TRIM('Sales_RAW(BEFORE)'!I248), "%", ""), ",", ".")), 0) / 100, IFERROR(VALUE(SUBSTITUTE(SUBSTITUTE(TRIM('Sales_RAW(BEFORE)'!I248), "%", ""), ",", ".")), 0))</f>
        <v>0.05</v>
      </c>
      <c r="K241" s="6">
        <f t="shared" si="15"/>
        <v>3601.2</v>
      </c>
      <c r="L241" s="6" t="str" cm="1">
        <f t="array" ref="L241">_xlfn.LET(
  _xlpm.valuta, UPPER(TRIM('Sales_RAW(BEFORE)'!K248)),
  _xlfn.IFS(
    _xlpm.valuta = "", "",
    OR(_xlpm.valuta = "USD", _xlpm.valuta = "$"), "$",
    OR(_xlpm.valuta = "EUR", _xlpm.valuta = "€"), "€",
    TRUE, _xlpm.valuta
  )
)</f>
        <v>$</v>
      </c>
      <c r="M241" s="3" t="str">
        <f>"E" &amp; TEXT(VALUE(SUBSTITUTE(SUBSTITUTE(SUBSTITUTE(UPPER(TRIM('Sales_RAW(BEFORE)'!L248)), "EMP", ""), "E", ""), "-", "")),"000")</f>
        <v>E008</v>
      </c>
      <c r="N241" s="3" t="str">
        <f>_xlfn.XLOOKUP(M241,Employees!$D$2:$D$26,Employees!$A$2:$A$26)</f>
        <v>Michael Williams</v>
      </c>
      <c r="O241" s="3" t="str">
        <f>_xlfn.XLOOKUP(N241,Employees!$A$2:$A$26,Employees!$C$2:$C$26,2)</f>
        <v>Wholesale</v>
      </c>
      <c r="P241" s="3" t="str">
        <f>PROPER('Sales_RAW(BEFORE)'!N248)</f>
        <v>East</v>
      </c>
      <c r="Q241" s="3" t="str">
        <f>VLOOKUP(N241,Employees!$A$2:$B$26,2,FALSE)</f>
        <v>New York</v>
      </c>
      <c r="R241" s="3" t="str">
        <f>PROPER('Sales_RAW(BEFORE)'!P248)</f>
        <v>Initech Inc</v>
      </c>
      <c r="S241" s="3" t="str">
        <f>SUBSTITUTE(SUBSTITUTE('Sales_RAW(BEFORE)'!Q248,"EIN",""),":","")</f>
        <v>438353148</v>
      </c>
      <c r="T241" s="3" t="s">
        <v>1502</v>
      </c>
      <c r="U241" s="3" t="s">
        <v>3968</v>
      </c>
      <c r="V241" s="3" t="s">
        <v>3969</v>
      </c>
      <c r="W241" s="3" t="s">
        <v>3970</v>
      </c>
      <c r="X241" s="3" t="s">
        <v>173</v>
      </c>
      <c r="Y241" s="3" t="str">
        <f>PROPER('Sales_RAW(BEFORE)'!W248)</f>
        <v>Cash</v>
      </c>
      <c r="Z241" s="3" t="str">
        <f>PROPER('Sales_RAW(BEFORE)'!X248)</f>
        <v>Delivered</v>
      </c>
      <c r="AA241" s="3" t="str" cm="1">
        <f t="array" ref="AA241">_xlfn.LET(
  _xlpm.val, TRIM(LOWER('Sales_RAW(BEFORE)'!Y248)),
  _xlfn.IFS(
    OR(_xlpm.val="yes", _xlpm.val="paid"), "Paid",
    OR(_xlpm.val="no", _xlpm.val="unpaid"), "Unpaid",
    OR(_xlpm.val="partial", _xlpm.val="partial paid"), "Partial",
    _xlpm.val="", "",
    TRUE, 'Sales_RAW(BEFORE)'!AY248
  )
)</f>
        <v>Unpaid</v>
      </c>
      <c r="AB241" s="3" t="s">
        <v>3971</v>
      </c>
      <c r="AC241" s="3" t="str">
        <f>PROPER('Sales_RAW(BEFORE)'!AA248)</f>
        <v>Online</v>
      </c>
      <c r="AD241" s="3" t="str">
        <f>SUBSTITUTE(SUBSTITUTE(SUBSTITUTE(SUBSTITUTE('Sales_RAW(BEFORE)'!AB248,"st",""),"q",""),"Q",""),"uarter","")</f>
        <v>2</v>
      </c>
      <c r="AE241" s="3" t="str">
        <f>TEXT(IFERROR(DATEVALUE('Sales_RAW(BEFORE)'!AC248 &amp; " 1"), IFERROR(DATE(2025, 'Sales_RAW(BEFORE)'!AC248, 1), 'Sales_RAW(BEFORE)'!AC248)), "mmmm")</f>
        <v>June</v>
      </c>
      <c r="AF241" s="3">
        <f>_xlfn.LET(
  _xlpm.raw, TRIM(SUBSTITUTE('Sales_RAW(BEFORE)'!AD248, "'", "")),
  _xlpm.num, IFERROR(VALUE(_xlpm.raw), 0),
  IF(_xlpm.num &lt; 100, 2000 + _xlpm.num, _xlpm.num)
)</f>
        <v>2026</v>
      </c>
      <c r="AG241" s="3" t="str">
        <f>PROPER('Sales_RAW(BEFORE)'!AE248)</f>
        <v>Net 30</v>
      </c>
      <c r="AH241" s="3" cm="1">
        <f t="array" ref="AH241">_xlfn.LET(
  _xlpm.val, LOWER(TRIM('Sales_RAW(BEFORE)'!AF248)),
  _xlfn.IFS(
    OR(_xlpm.val="", _xlpm.val="null", _xlpm.val="N/A", _xlpm.val="-", _xlpm.val="#N/A"), 0,
    ISNUMBER('Sales_RAW(BEFORE)'!AF248), 'Sales_RAW(BEFORE)'!AF248,
    TRUE, IFERROR(_xlfn.NUMBERVALUE(_xlpm.val), 0)
  )
)</f>
        <v>35</v>
      </c>
      <c r="AI241" s="5">
        <f>IF(IFERROR(VALUE(SUBSTITUTE(SUBSTITUTE(TRIM('Sales_RAW(BEFORE)'!AG248), "%", ""), ",", ".")), 0) &gt; 1, IFERROR(VALUE(SUBSTITUTE(SUBSTITUTE(TRIM('Sales_RAW(BEFORE)'!AG248), "%", ""), ",", ".")), 0) / 100, IFERROR(VALUE(SUBSTITUTE(SUBSTITUTE(TRIM('Sales_RAW(BEFORE)'!AG248), "%", ""), ",", ".")), 0))</f>
        <v>0.08</v>
      </c>
      <c r="AJ241" s="6">
        <f t="shared" si="16"/>
        <v>288.096</v>
      </c>
      <c r="AK241" s="6">
        <f t="shared" si="17"/>
        <v>3889.2959999999998</v>
      </c>
      <c r="AL241" s="6">
        <f>IFERROR(VALUE(SUBSTITUTE(SUBSTITUTE(SUBSTITUTE('Sales_RAW(BEFORE)'!AJ248,"$",""),"USD",""),",",".")),0)</f>
        <v>14.93</v>
      </c>
      <c r="AM241" s="3" t="str">
        <f>SUBSTITUTE(SUBSTITUTE(PROPER('Sales_RAW(BEFORE)'!AK248), "Fed Ex", "FedEx"),"Fedex","FedEx")</f>
        <v>Usps</v>
      </c>
      <c r="AN241" s="3" t="s">
        <v>3972</v>
      </c>
      <c r="AO241" s="3" t="str">
        <f>SUBSTITUTE('Sales_RAW(BEFORE)'!AM248,"kg","")</f>
        <v>18.12</v>
      </c>
      <c r="AP241" s="3" t="str">
        <f>_xlfn.LET(
  _xlpm.raw, UPPER(TRIM('Sales_RAW(BEFORE)'!AN248)),
  _xlpm.clean, RIGHT(_xlpm.raw, 1),
  IF(OR(_xlpm.raw="", _xlpm.raw="null"), "N/A", _xlpm.clean)
)</f>
        <v>B</v>
      </c>
      <c r="AQ241" s="3">
        <v>225</v>
      </c>
      <c r="AR241" s="3" cm="1">
        <f t="array" ref="AR241">_xlfn.LET(
  _xlpm.raw, LOWER(TRIM('Sales_RAW(BEFORE)'!AP248)),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241" s="3"/>
      <c r="AT241" s="3"/>
      <c r="AU241" s="3"/>
      <c r="AV241" s="8">
        <f>IF(IFERROR(VALUE(SUBSTITUTE(SUBSTITUTE(TRIM('Sales_RAW(BEFORE)'!AT248), "%", ""), ",", ".")), 0) &gt; 1, IFERROR(VALUE(SUBSTITUTE(SUBSTITUTE(TRIM('Sales_RAW(BEFORE)'!AT248), "%", ""), ",", ".")), 0) / 100, IFERROR(VALUE(SUBSTITUTE(SUBSTITUTE(TRIM('Sales_RAW(BEFORE)'!AT248), "%", ""), ",", ".")), 0))</f>
        <v>0.25</v>
      </c>
      <c r="AW241" s="6">
        <f>BA241*(_xlfn.XLOOKUP(N241,Employees!$A$2:$A$26,Employees!$E$2:$E$26,2))</f>
        <v>165.29507999999998</v>
      </c>
      <c r="AX241" s="3" t="str">
        <f>PROPER('Sales_RAW(BEFORE)'!AV248)</f>
        <v>Daniel Johnson</v>
      </c>
      <c r="AY241" s="3" t="str">
        <f t="shared" si="18"/>
        <v>Daniel Johnson</v>
      </c>
      <c r="AZ241" s="3"/>
      <c r="BA241" s="24">
        <f>AK241*(1-(_xlfn.XLOOKUP(G241, Exchange_Rates!$B$8:$F$8, Exchange_Rates!$B$9:$F$9, 0)+J241))</f>
        <v>3305.9015999999997</v>
      </c>
      <c r="BB241" s="7" cm="1">
        <f t="array" ref="BB241">_xlfn.LET(
  _xlpm.raw_dt, SUBSTITUTE(TRIM(C241), ".", "/"),
  _xlpm.dt, IFERROR(DATEVALUE(_xlpm.raw_dt), C241),
  _xlpm.p_code, TRIM(E241),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46933</v>
      </c>
      <c r="BC241" s="25">
        <f t="shared" si="19"/>
        <v>826.47539999999992</v>
      </c>
    </row>
    <row r="242" spans="1:55" ht="15.75" thickBot="1" x14ac:dyDescent="0.3">
      <c r="A242" s="3" t="s">
        <v>3974</v>
      </c>
      <c r="B242" s="10">
        <v>46045</v>
      </c>
      <c r="C242" s="4">
        <v>46053</v>
      </c>
      <c r="D242" s="3" t="str">
        <f>"P-" &amp; TEXT(VALUE(SUBSTITUTE(SUBSTITUTE(SUBSTITUTE(UPPER(TRIM('Sales_RAW(BEFORE)'!D249)), "P", ""), "-", ""), "_", "")),"000")</f>
        <v>P-038</v>
      </c>
      <c r="E242" s="3" t="str">
        <f>VLOOKUP(D242,Product_List!$A$2:$B$61,2,FALSE)</f>
        <v>Cable Max 38</v>
      </c>
      <c r="F242" s="3" t="str">
        <f>_xlfn.XLOOKUP(E242,Product_List!$B$2:$B$61,Product_List!$E$2:$E$61,2)</f>
        <v>TechSupply Co</v>
      </c>
      <c r="G242" s="3" t="str">
        <f>VLOOKUP(E242,Product_List!$B$2:$C$61,2,FALSE)</f>
        <v>Electronics</v>
      </c>
      <c r="H242" s="3" t="str">
        <f>SUBSTITUTE(SUBSTITUTE('Sales_RAW(BEFORE)'!G249,"kom",""),".","")</f>
        <v xml:space="preserve">22 </v>
      </c>
      <c r="I242" s="6">
        <f>VLOOKUP(E242,Product_List!$B$2:$D$61,3,FALSE)</f>
        <v>687.68</v>
      </c>
      <c r="J242" s="5">
        <f>IF(IFERROR(VALUE(SUBSTITUTE(SUBSTITUTE(TRIM('Sales_RAW(BEFORE)'!I249), "%", ""), ",", ".")), 0) &gt; 1, IFERROR(VALUE(SUBSTITUTE(SUBSTITUTE(TRIM('Sales_RAW(BEFORE)'!I249), "%", ""), ",", ".")), 0) / 100, IFERROR(VALUE(SUBSTITUTE(SUBSTITUTE(TRIM('Sales_RAW(BEFORE)'!I249), "%", ""), ",", ".")), 0))</f>
        <v>0</v>
      </c>
      <c r="K242" s="6">
        <f>(H242*I242)/(HLOOKUP(AE242,Exchange_Rates!$B$1:$M$2,2,FALSE))</f>
        <v>16355.632432432431</v>
      </c>
      <c r="L242" s="6" t="str" cm="1">
        <f t="array" ref="L242">_xlfn.LET(
  _xlpm.valuta, UPPER(TRIM('Sales_RAW(BEFORE)'!K249)),
  _xlfn.IFS(
    _xlpm.valuta = "", "",
    OR(_xlpm.valuta = "USD", _xlpm.valuta = "$"), "$",
    OR(_xlpm.valuta = "EUR", _xlpm.valuta = "€"), "€",
    TRUE, _xlpm.valuta
  )
)</f>
        <v>€</v>
      </c>
      <c r="M242" s="3" t="str">
        <f>"E" &amp; TEXT(VALUE(SUBSTITUTE(SUBSTITUTE(SUBSTITUTE(UPPER(TRIM('Sales_RAW(BEFORE)'!L249)), "EMP", ""), "E", ""), "-", "")),"000")</f>
        <v>E005</v>
      </c>
      <c r="N242" s="3" t="str">
        <f>_xlfn.XLOOKUP(M242,Employees!$D$2:$D$26,Employees!$A$2:$A$26)</f>
        <v>Laura Williams</v>
      </c>
      <c r="O242" s="3" t="str">
        <f>_xlfn.XLOOKUP(N242,Employees!$A$2:$A$26,Employees!$C$2:$C$26,2)</f>
        <v>Online</v>
      </c>
      <c r="P242" s="3" t="str">
        <f>PROPER('Sales_RAW(BEFORE)'!N249)</f>
        <v>East</v>
      </c>
      <c r="Q242" s="3" t="str">
        <f>VLOOKUP(N242,Employees!$A$2:$B$26,2,FALSE)</f>
        <v>Houston</v>
      </c>
      <c r="R242" s="3" t="str">
        <f>PROPER('Sales_RAW(BEFORE)'!P249)</f>
        <v>Vortex Inc</v>
      </c>
      <c r="S242" s="3" t="str">
        <f>SUBSTITUTE(SUBSTITUTE('Sales_RAW(BEFORE)'!Q249,"EIN",""),":","")</f>
        <v xml:space="preserve"> 155605536</v>
      </c>
      <c r="T242" s="3" t="s">
        <v>646</v>
      </c>
      <c r="U242" s="3" t="s">
        <v>3980</v>
      </c>
      <c r="V242" s="3" t="s">
        <v>3981</v>
      </c>
      <c r="W242" s="3" t="s">
        <v>3982</v>
      </c>
      <c r="X242" s="3" t="s">
        <v>173</v>
      </c>
      <c r="Y242" s="3" t="str">
        <f>PROPER('Sales_RAW(BEFORE)'!W249)</f>
        <v>Paypal</v>
      </c>
      <c r="Z242" s="3" t="str">
        <f>PROPER('Sales_RAW(BEFORE)'!X249)</f>
        <v>Delivered</v>
      </c>
      <c r="AA242" s="3" t="str" cm="1">
        <f t="array" ref="AA242">_xlfn.LET(
  _xlpm.val, TRIM(LOWER('Sales_RAW(BEFORE)'!Y249)),
  _xlfn.IFS(
    OR(_xlpm.val="yes", _xlpm.val="paid"), "Paid",
    OR(_xlpm.val="no", _xlpm.val="unpaid"), "Unpaid",
    OR(_xlpm.val="partial", _xlpm.val="partial paid"), "Partial",
    _xlpm.val="", "",
    TRUE, 'Sales_RAW(BEFORE)'!AY249
  )
)</f>
        <v>Unpaid</v>
      </c>
      <c r="AB242" s="3" t="s">
        <v>3983</v>
      </c>
      <c r="AC242" s="3" t="str">
        <f>PROPER('Sales_RAW(BEFORE)'!AA249)</f>
        <v>Store</v>
      </c>
      <c r="AD242" s="3" t="str">
        <f>SUBSTITUTE(SUBSTITUTE(SUBSTITUTE(SUBSTITUTE('Sales_RAW(BEFORE)'!AB249,"st",""),"q",""),"Q",""),"uarter","")</f>
        <v>1</v>
      </c>
      <c r="AE242" s="3" t="str">
        <f>TEXT(IFERROR(DATEVALUE('Sales_RAW(BEFORE)'!AC249 &amp; " 1"), IFERROR(DATE(2025, 'Sales_RAW(BEFORE)'!AC249, 1), 'Sales_RAW(BEFORE)'!AC249)), "mmmm")</f>
        <v>January</v>
      </c>
      <c r="AF242" s="3">
        <f>_xlfn.LET(
  _xlpm.raw, TRIM(SUBSTITUTE('Sales_RAW(BEFORE)'!AD249, "'", "")),
  _xlpm.num, IFERROR(VALUE(_xlpm.raw), 0),
  IF(_xlpm.num &lt; 100, 2000 + _xlpm.num, _xlpm.num)
)</f>
        <v>2026</v>
      </c>
      <c r="AG242" s="3" t="str">
        <f>PROPER('Sales_RAW(BEFORE)'!AE249)</f>
        <v>Immediate</v>
      </c>
      <c r="AH242" s="3" cm="1">
        <f t="array" ref="AH242">_xlfn.LET(
  _xlpm.val, LOWER(TRIM('Sales_RAW(BEFORE)'!AF249)),
  _xlfn.IFS(
    OR(_xlpm.val="", _xlpm.val="null", _xlpm.val="N/A", _xlpm.val="-", _xlpm.val="#N/A"), 0,
    ISNUMBER('Sales_RAW(BEFORE)'!AF249), 'Sales_RAW(BEFORE)'!AF249,
    TRUE, IFERROR(_xlfn.NUMBERVALUE(_xlpm.val), 0)
  )
)</f>
        <v>58</v>
      </c>
      <c r="AI242" s="5">
        <f>IF(IFERROR(VALUE(SUBSTITUTE(SUBSTITUTE(TRIM('Sales_RAW(BEFORE)'!AG249), "%", ""), ",", ".")), 0) &gt; 1, IFERROR(VALUE(SUBSTITUTE(SUBSTITUTE(TRIM('Sales_RAW(BEFORE)'!AG249), "%", ""), ",", ".")), 0) / 100, IFERROR(VALUE(SUBSTITUTE(SUBSTITUTE(TRIM('Sales_RAW(BEFORE)'!AG249), "%", ""), ",", ".")), 0))</f>
        <v>0.08</v>
      </c>
      <c r="AJ242" s="6">
        <f t="shared" si="16"/>
        <v>1308.4505945945946</v>
      </c>
      <c r="AK242" s="6">
        <f t="shared" si="17"/>
        <v>17664.083027027023</v>
      </c>
      <c r="AL242" s="6">
        <f>IFERROR(VALUE(SUBSTITUTE(SUBSTITUTE(SUBSTITUTE('Sales_RAW(BEFORE)'!AJ249,"$",""),"USD",""),",",".")),0)</f>
        <v>27.51</v>
      </c>
      <c r="AM242" s="3" t="str">
        <f>SUBSTITUTE(SUBSTITUTE(PROPER('Sales_RAW(BEFORE)'!AK249), "Fed Ex", "FedEx"),"Fedex","FedEx")</f>
        <v>Ups</v>
      </c>
      <c r="AN242" s="3" t="s">
        <v>3984</v>
      </c>
      <c r="AO242" s="3" t="str">
        <f>SUBSTITUTE('Sales_RAW(BEFORE)'!AM249,"kg","")</f>
        <v xml:space="preserve">10.7 </v>
      </c>
      <c r="AP242" s="3" t="str">
        <f>_xlfn.LET(
  _xlpm.raw, UPPER(TRIM('Sales_RAW(BEFORE)'!AN249)),
  _xlpm.clean, RIGHT(_xlpm.raw, 1),
  IF(OR(_xlpm.raw="", _xlpm.raw="null"), "N/A", _xlpm.clean)
)</f>
        <v>A</v>
      </c>
      <c r="AQ242" s="3">
        <v>147</v>
      </c>
      <c r="AR242" s="3" cm="1">
        <f t="array" ref="AR242">_xlfn.LET(
  _xlpm.raw, LOWER(TRIM('Sales_RAW(BEFORE)'!AP249)),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242" s="3"/>
      <c r="AT242" s="3"/>
      <c r="AU242" s="3"/>
      <c r="AV242" s="8">
        <f>IF(IFERROR(VALUE(SUBSTITUTE(SUBSTITUTE(TRIM('Sales_RAW(BEFORE)'!AT249), "%", ""), ",", ".")), 0) &gt; 1, IFERROR(VALUE(SUBSTITUTE(SUBSTITUTE(TRIM('Sales_RAW(BEFORE)'!AT249), "%", ""), ",", ".")), 0) / 100, IFERROR(VALUE(SUBSTITUTE(SUBSTITUTE(TRIM('Sales_RAW(BEFORE)'!AT249), "%", ""), ",", ".")), 0))</f>
        <v>0</v>
      </c>
      <c r="AW242" s="6">
        <f>BA242*(_xlfn.XLOOKUP(N242,Employees!$A$2:$A$26,Employees!$E$2:$E$26,2))</f>
        <v>476.93024172972963</v>
      </c>
      <c r="AX242" s="3" t="str">
        <f>PROPER('Sales_RAW(BEFORE)'!AV249)</f>
        <v>Ryan Johnson</v>
      </c>
      <c r="AY242" s="3" t="str">
        <f t="shared" si="18"/>
        <v>Ryan Johnson</v>
      </c>
      <c r="AZ242" s="3"/>
      <c r="BA242" s="24">
        <f>AK242*(1-(_xlfn.XLOOKUP(G242, Exchange_Rates!$B$8:$F$8, Exchange_Rates!$B$9:$F$9, 0)+J242))</f>
        <v>15897.674724324321</v>
      </c>
      <c r="BB242" s="7" cm="1">
        <f t="array" ref="BB242">_xlfn.LET(
  _xlpm.raw_dt, SUBSTITUTE(TRIM(C242), ".", "/"),
  _xlpm.dt, IFERROR(DATEVALUE(_xlpm.raw_dt), C242),
  _xlpm.p_code, TRIM(E242),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46783</v>
      </c>
      <c r="BC242" s="25">
        <f t="shared" si="19"/>
        <v>0</v>
      </c>
    </row>
    <row r="243" spans="1:55" ht="15.75" thickBot="1" x14ac:dyDescent="0.3">
      <c r="A243" s="3" t="s">
        <v>3986</v>
      </c>
      <c r="B243" s="10">
        <f>DATE(2025,6,5)</f>
        <v>45813</v>
      </c>
      <c r="C243" s="4">
        <v>45814</v>
      </c>
      <c r="D243" s="3" t="str">
        <f>"P-" &amp; TEXT(VALUE(SUBSTITUTE(SUBSTITUTE(SUBSTITUTE(UPPER(TRIM('Sales_RAW(BEFORE)'!D250)), "P", ""), "-", ""), "_", "")),"000")</f>
        <v>P-050</v>
      </c>
      <c r="E243" s="3" t="str">
        <f>VLOOKUP(D243,Product_List!$A$2:$B$61,2,FALSE)</f>
        <v>License X 50</v>
      </c>
      <c r="F243" s="3" t="str">
        <f>_xlfn.XLOOKUP(E243,Product_List!$B$2:$B$61,Product_List!$E$2:$E$61,2)</f>
        <v>BestParts</v>
      </c>
      <c r="G243" s="3" t="str">
        <f>VLOOKUP(E243,Product_List!$B$2:$C$61,2,FALSE)</f>
        <v>Equipment</v>
      </c>
      <c r="H243" s="3" t="str">
        <f>SUBSTITUTE(SUBSTITUTE('Sales_RAW(BEFORE)'!G250,"kom",""),".","")</f>
        <v xml:space="preserve">27 </v>
      </c>
      <c r="I243" s="6">
        <f>VLOOKUP(E243,Product_List!$B$2:$D$61,3,FALSE)</f>
        <v>39.53</v>
      </c>
      <c r="J243" s="5">
        <f>IF(IFERROR(VALUE(SUBSTITUTE(SUBSTITUTE(TRIM('Sales_RAW(BEFORE)'!I250), "%", ""), ",", ".")), 0) &gt; 1, IFERROR(VALUE(SUBSTITUTE(SUBSTITUTE(TRIM('Sales_RAW(BEFORE)'!I250), "%", ""), ",", ".")), 0) / 100, IFERROR(VALUE(SUBSTITUTE(SUBSTITUTE(TRIM('Sales_RAW(BEFORE)'!I250), "%", ""), ",", ".")), 0))</f>
        <v>0.1</v>
      </c>
      <c r="K243" s="6">
        <f>(H243*I243)/(HLOOKUP(AE243,Exchange_Rates!$B$1:$M$2,2,FALSE))</f>
        <v>1152.6025917926565</v>
      </c>
      <c r="L243" s="6" t="str" cm="1">
        <f t="array" ref="L243">_xlfn.LET(
  _xlpm.valuta, UPPER(TRIM('Sales_RAW(BEFORE)'!K250)),
  _xlfn.IFS(
    _xlpm.valuta = "", "",
    OR(_xlpm.valuta = "USD", _xlpm.valuta = "$"), "$",
    OR(_xlpm.valuta = "EUR", _xlpm.valuta = "€"), "€",
    TRUE, _xlpm.valuta
  )
)</f>
        <v>€</v>
      </c>
      <c r="M243" s="3" t="str">
        <f>"E" &amp; TEXT(VALUE(SUBSTITUTE(SUBSTITUTE(SUBSTITUTE(UPPER(TRIM('Sales_RAW(BEFORE)'!L250)), "EMP", ""), "E", ""), "-", "")),"000")</f>
        <v>E001</v>
      </c>
      <c r="N243" s="3" t="str">
        <f>_xlfn.XLOOKUP(M243,Employees!$D$2:$D$26,Employees!$A$2:$A$26)</f>
        <v>Sarah Wilson</v>
      </c>
      <c r="O243" s="3" t="str">
        <f>_xlfn.XLOOKUP(N243,Employees!$A$2:$A$26,Employees!$C$2:$C$26,2)</f>
        <v>Online</v>
      </c>
      <c r="P243" s="3" t="str">
        <f>PROPER('Sales_RAW(BEFORE)'!N250)</f>
        <v>West</v>
      </c>
      <c r="Q243" s="3" t="str">
        <f>VLOOKUP(N243,Employees!$A$2:$B$26,2,FALSE)</f>
        <v>Los Angeles</v>
      </c>
      <c r="R243" s="3" t="str">
        <f>PROPER('Sales_RAW(BEFORE)'!P250)</f>
        <v xml:space="preserve">Wayne Inc.   </v>
      </c>
      <c r="S243" s="3" t="str">
        <f>SUBSTITUTE(SUBSTITUTE('Sales_RAW(BEFORE)'!Q250,"EIN",""),":","")</f>
        <v xml:space="preserve"> 159548620</v>
      </c>
      <c r="T243" s="3" t="s">
        <v>400</v>
      </c>
      <c r="U243" s="3" t="s">
        <v>3991</v>
      </c>
      <c r="V243" s="3" t="s">
        <v>3992</v>
      </c>
      <c r="W243" s="3" t="s">
        <v>3993</v>
      </c>
      <c r="X243" s="3" t="s">
        <v>173</v>
      </c>
      <c r="Y243" s="3" t="str">
        <f>PROPER('Sales_RAW(BEFORE)'!W250)</f>
        <v>Paypal</v>
      </c>
      <c r="Z243" s="3" t="str">
        <f>PROPER('Sales_RAW(BEFORE)'!X250)</f>
        <v>Cancelled</v>
      </c>
      <c r="AA243" s="3" t="str" cm="1">
        <f t="array" ref="AA243">_xlfn.LET(
  _xlpm.val, TRIM(LOWER('Sales_RAW(BEFORE)'!Y250)),
  _xlfn.IFS(
    OR(_xlpm.val="yes", _xlpm.val="paid"), "Paid",
    OR(_xlpm.val="no", _xlpm.val="unpaid"), "Unpaid",
    OR(_xlpm.val="partial", _xlpm.val="partial paid"), "Partial",
    _xlpm.val="", "",
    TRUE, 'Sales_RAW(BEFORE)'!AY250
  )
)</f>
        <v>Unpaid</v>
      </c>
      <c r="AB243" s="3" t="s">
        <v>3994</v>
      </c>
      <c r="AC243" s="3" t="str">
        <f>PROPER('Sales_RAW(BEFORE)'!AA250)</f>
        <v>Web</v>
      </c>
      <c r="AD243" s="3" t="str">
        <f>SUBSTITUTE(SUBSTITUTE(SUBSTITUTE(SUBSTITUTE('Sales_RAW(BEFORE)'!AB250,"st",""),"q",""),"Q",""),"uarter","")</f>
        <v>1</v>
      </c>
      <c r="AE243" s="3" t="str">
        <f>TEXT(IFERROR(DATEVALUE('Sales_RAW(BEFORE)'!AC250 &amp; " 1"), IFERROR(DATE(2025, 'Sales_RAW(BEFORE)'!AC250, 1), 'Sales_RAW(BEFORE)'!AC250)), "mmmm")</f>
        <v>June</v>
      </c>
      <c r="AF243" s="3">
        <f>_xlfn.LET(
  _xlpm.raw, TRIM(SUBSTITUTE('Sales_RAW(BEFORE)'!AD250, "'", "")),
  _xlpm.num, IFERROR(VALUE(_xlpm.raw), 0),
  IF(_xlpm.num &lt; 100, 2000 + _xlpm.num, _xlpm.num)
)</f>
        <v>2025</v>
      </c>
      <c r="AG243" s="3" t="str">
        <f>PROPER('Sales_RAW(BEFORE)'!AE250)</f>
        <v>Immediate</v>
      </c>
      <c r="AH243" s="3" cm="1">
        <f t="array" ref="AH243">_xlfn.LET(
  _xlpm.val, LOWER(TRIM('Sales_RAW(BEFORE)'!AF250)),
  _xlfn.IFS(
    OR(_xlpm.val="", _xlpm.val="null", _xlpm.val="N/A", _xlpm.val="-", _xlpm.val="#N/A"), 0,
    ISNUMBER('Sales_RAW(BEFORE)'!AF250), 'Sales_RAW(BEFORE)'!AF250,
    TRUE, IFERROR(_xlfn.NUMBERVALUE(_xlpm.val), 0)
  )
)</f>
        <v>83</v>
      </c>
      <c r="AI243" s="5">
        <f>IF(IFERROR(VALUE(SUBSTITUTE(SUBSTITUTE(TRIM('Sales_RAW(BEFORE)'!AG250), "%", ""), ",", ".")), 0) &gt; 1, IFERROR(VALUE(SUBSTITUTE(SUBSTITUTE(TRIM('Sales_RAW(BEFORE)'!AG250), "%", ""), ",", ".")), 0) / 100, IFERROR(VALUE(SUBSTITUTE(SUBSTITUTE(TRIM('Sales_RAW(BEFORE)'!AG250), "%", ""), ",", ".")), 0))</f>
        <v>0.08</v>
      </c>
      <c r="AJ243" s="6">
        <f t="shared" si="16"/>
        <v>92.208207343412525</v>
      </c>
      <c r="AK243" s="6">
        <f t="shared" si="17"/>
        <v>1244.8107991360691</v>
      </c>
      <c r="AL243" s="6">
        <f>IFERROR(VALUE(SUBSTITUTE(SUBSTITUTE(SUBSTITUTE('Sales_RAW(BEFORE)'!AJ250,"$",""),"USD",""),",",".")),0)</f>
        <v>49.37</v>
      </c>
      <c r="AM243" s="3" t="str">
        <f>SUBSTITUTE(SUBSTITUTE(PROPER('Sales_RAW(BEFORE)'!AK250), "Fed Ex", "FedEx"),"Fedex","FedEx")</f>
        <v>Ups</v>
      </c>
      <c r="AN243" s="3" t="s">
        <v>3996</v>
      </c>
      <c r="AO243" s="3" t="str">
        <f>SUBSTITUTE('Sales_RAW(BEFORE)'!AM250,"kg","")</f>
        <v>14.4</v>
      </c>
      <c r="AP243" s="3" t="str">
        <f>_xlfn.LET(
  _xlpm.raw, UPPER(TRIM('Sales_RAW(BEFORE)'!AN250)),
  _xlpm.clean, RIGHT(_xlpm.raw, 1),
  IF(OR(_xlpm.raw="", _xlpm.raw="null"), "N/A", _xlpm.clean)
)</f>
        <v>B</v>
      </c>
      <c r="AQ243" s="3">
        <v>148</v>
      </c>
      <c r="AR243" s="3" t="str" cm="1">
        <f t="array" ref="AR243">_xlfn.LET(
  _xlpm.raw, LOWER(TRIM('Sales_RAW(BEFORE)'!AP250)),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243" s="3"/>
      <c r="AT243" s="3"/>
      <c r="AU243" s="3"/>
      <c r="AV243" s="8">
        <f>IF(IFERROR(VALUE(SUBSTITUTE(SUBSTITUTE(TRIM('Sales_RAW(BEFORE)'!AT250), "%", ""), ",", ".")), 0) &gt; 1, IFERROR(VALUE(SUBSTITUTE(SUBSTITUTE(TRIM('Sales_RAW(BEFORE)'!AT250), "%", ""), ",", ".")), 0) / 100, IFERROR(VALUE(SUBSTITUTE(SUBSTITUTE(TRIM('Sales_RAW(BEFORE)'!AT250), "%", ""), ",", ".")), 0))</f>
        <v>0.3</v>
      </c>
      <c r="AW243" s="6">
        <f>BA243*(_xlfn.XLOOKUP(N243,Employees!$A$2:$A$26,Employees!$E$2:$E$26,2))</f>
        <v>29.875459179265661</v>
      </c>
      <c r="AX243" s="3" t="str">
        <f>PROPER('Sales_RAW(BEFORE)'!AV250)</f>
        <v xml:space="preserve">  David Smith  </v>
      </c>
      <c r="AY243" s="3" t="str">
        <f t="shared" si="18"/>
        <v xml:space="preserve">  David Smith  </v>
      </c>
      <c r="AZ243" s="3"/>
      <c r="BA243" s="24">
        <f>AK243*(1-(_xlfn.XLOOKUP(G243, Exchange_Rates!$B$8:$F$8, Exchange_Rates!$B$9:$F$9, 0)+J243))</f>
        <v>995.84863930885535</v>
      </c>
      <c r="BB243" s="7" cm="1">
        <f t="array" ref="BB243">_xlfn.LET(
  _xlpm.raw_dt, SUBSTITUTE(TRIM(C243), ".", "/"),
  _xlpm.dt, IFERROR(DATEVALUE(_xlpm.raw_dt), C243),
  _xlpm.p_code, TRIM(E243),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46179</v>
      </c>
      <c r="BC243" s="25">
        <f t="shared" si="19"/>
        <v>298.75459179265658</v>
      </c>
    </row>
    <row r="244" spans="1:55" ht="15.75" thickBot="1" x14ac:dyDescent="0.3">
      <c r="A244" s="3" t="s">
        <v>3998</v>
      </c>
      <c r="B244" s="10">
        <v>46149</v>
      </c>
      <c r="C244" s="4">
        <v>46159</v>
      </c>
      <c r="D244" s="3" t="str">
        <f>"P-" &amp; TEXT(VALUE(SUBSTITUTE(SUBSTITUTE(SUBSTITUTE(UPPER(TRIM('Sales_RAW(BEFORE)'!D251)), "P", ""), "-", ""), "_", "")),"000")</f>
        <v>P-047</v>
      </c>
      <c r="E244" s="3" t="str">
        <f>VLOOKUP(D244,Product_List!$A$2:$B$61,2,FALSE)</f>
        <v>Monitor Pro 47</v>
      </c>
      <c r="F244" s="3" t="str">
        <f>_xlfn.XLOOKUP(E244,Product_List!$B$2:$B$61,Product_List!$E$2:$E$61,2)</f>
        <v>TechSupply Co</v>
      </c>
      <c r="G244" s="3" t="str">
        <f>VLOOKUP(E244,Product_List!$B$2:$C$61,2,FALSE)</f>
        <v>Software</v>
      </c>
      <c r="H244" s="3" t="str">
        <f>SUBSTITUTE(SUBSTITUTE('Sales_RAW(BEFORE)'!G251,"kom",""),".","")</f>
        <v xml:space="preserve">38 </v>
      </c>
      <c r="I244" s="6">
        <f>VLOOKUP(E244,Product_List!$B$2:$D$61,3,FALSE)</f>
        <v>1489.69</v>
      </c>
      <c r="J244" s="5">
        <f>IF(IFERROR(VALUE(SUBSTITUTE(SUBSTITUTE(TRIM('Sales_RAW(BEFORE)'!I251), "%", ""), ",", ".")), 0) &gt; 1, IFERROR(VALUE(SUBSTITUTE(SUBSTITUTE(TRIM('Sales_RAW(BEFORE)'!I251), "%", ""), ",", ".")), 0) / 100, IFERROR(VALUE(SUBSTITUTE(SUBSTITUTE(TRIM('Sales_RAW(BEFORE)'!I251), "%", ""), ",", ".")), 0))</f>
        <v>0</v>
      </c>
      <c r="K244" s="6">
        <f t="shared" si="15"/>
        <v>56608.22</v>
      </c>
      <c r="L244" s="6" t="str" cm="1">
        <f t="array" ref="L244">_xlfn.LET(
  _xlpm.valuta, UPPER(TRIM('Sales_RAW(BEFORE)'!K251)),
  _xlfn.IFS(
    _xlpm.valuta = "", "",
    OR(_xlpm.valuta = "USD", _xlpm.valuta = "$"), "$",
    OR(_xlpm.valuta = "EUR", _xlpm.valuta = "€"), "€",
    TRUE, _xlpm.valuta
  )
)</f>
        <v>$</v>
      </c>
      <c r="M244" s="3" t="str">
        <f>"E" &amp; TEXT(VALUE(SUBSTITUTE(SUBSTITUTE(SUBSTITUTE(UPPER(TRIM('Sales_RAW(BEFORE)'!L251)), "EMP", ""), "E", ""), "-", "")),"000")</f>
        <v>E006</v>
      </c>
      <c r="N244" s="3" t="str">
        <f>_xlfn.XLOOKUP(M244,Employees!$D$2:$D$26,Employees!$A$2:$A$26)</f>
        <v>Emily Davis</v>
      </c>
      <c r="O244" s="3" t="str">
        <f>_xlfn.XLOOKUP(N244,Employees!$A$2:$A$26,Employees!$C$2:$C$26,2)</f>
        <v>Retail</v>
      </c>
      <c r="P244" s="3" t="str">
        <f>PROPER('Sales_RAW(BEFORE)'!N251)</f>
        <v>West</v>
      </c>
      <c r="Q244" s="3" t="str">
        <f>VLOOKUP(N244,Employees!$A$2:$B$26,2,FALSE)</f>
        <v>Houston</v>
      </c>
      <c r="R244" s="3" t="str">
        <f>PROPER('Sales_RAW(BEFORE)'!P251)</f>
        <v xml:space="preserve">Acme Ltd.  </v>
      </c>
      <c r="S244" s="3" t="str">
        <f>SUBSTITUTE(SUBSTITUTE('Sales_RAW(BEFORE)'!Q251,"EIN",""),":","")</f>
        <v>163925368</v>
      </c>
      <c r="T244" s="3" t="s">
        <v>1395</v>
      </c>
      <c r="U244" s="3" t="s">
        <v>4007</v>
      </c>
      <c r="V244" s="3" t="s">
        <v>4008</v>
      </c>
      <c r="W244" s="3" t="s">
        <v>4009</v>
      </c>
      <c r="X244" s="3" t="s">
        <v>173</v>
      </c>
      <c r="Y244" s="3" t="str">
        <f>PROPER('Sales_RAW(BEFORE)'!W251)</f>
        <v>Wire Transfer</v>
      </c>
      <c r="Z244" s="3" t="str">
        <f>PROPER('Sales_RAW(BEFORE)'!X251)</f>
        <v>Delivered</v>
      </c>
      <c r="AA244" s="3" t="str" cm="1">
        <f t="array" ref="AA244">_xlfn.LET(
  _xlpm.val, TRIM(LOWER('Sales_RAW(BEFORE)'!Y251)),
  _xlfn.IFS(
    OR(_xlpm.val="yes", _xlpm.val="paid"), "Paid",
    OR(_xlpm.val="no", _xlpm.val="unpaid"), "Unpaid",
    OR(_xlpm.val="partial", _xlpm.val="partial paid"), "Partial",
    _xlpm.val="", "",
    TRUE, 'Sales_RAW(BEFORE)'!AY251
  )
)</f>
        <v>Partial</v>
      </c>
      <c r="AB244" s="3" t="s">
        <v>4010</v>
      </c>
      <c r="AC244" s="3" t="str">
        <f>PROPER('Sales_RAW(BEFORE)'!AA251)</f>
        <v>Store</v>
      </c>
      <c r="AD244" s="3" t="str">
        <f>SUBSTITUTE(SUBSTITUTE(SUBSTITUTE(SUBSTITUTE('Sales_RAW(BEFORE)'!AB251,"st",""),"q",""),"Q",""),"uarter","")</f>
        <v>2</v>
      </c>
      <c r="AE244" s="3" t="str">
        <f>TEXT(IFERROR(DATEVALUE('Sales_RAW(BEFORE)'!AC251 &amp; " 1"), IFERROR(DATE(2025, 'Sales_RAW(BEFORE)'!AC251, 1), 'Sales_RAW(BEFORE)'!AC251)), "mmmm")</f>
        <v>May</v>
      </c>
      <c r="AF244" s="3">
        <f>_xlfn.LET(
  _xlpm.raw, TRIM(SUBSTITUTE('Sales_RAW(BEFORE)'!AD251, "'", "")),
  _xlpm.num, IFERROR(VALUE(_xlpm.raw), 0),
  IF(_xlpm.num &lt; 100, 2000 + _xlpm.num, _xlpm.num)
)</f>
        <v>2026</v>
      </c>
      <c r="AG244" s="3" t="str">
        <f>PROPER('Sales_RAW(BEFORE)'!AE251)</f>
        <v>15</v>
      </c>
      <c r="AH244" s="3" cm="1">
        <f t="array" ref="AH244">_xlfn.LET(
  _xlpm.val, LOWER(TRIM('Sales_RAW(BEFORE)'!AF251)),
  _xlfn.IFS(
    OR(_xlpm.val="", _xlpm.val="null", _xlpm.val="N/A", _xlpm.val="-", _xlpm.val="#N/A"), 0,
    ISNUMBER('Sales_RAW(BEFORE)'!AF251), 'Sales_RAW(BEFORE)'!AF251,
    TRUE, IFERROR(_xlfn.NUMBERVALUE(_xlpm.val), 0)
  )
)</f>
        <v>0</v>
      </c>
      <c r="AI244" s="5">
        <f>IF(IFERROR(VALUE(SUBSTITUTE(SUBSTITUTE(TRIM('Sales_RAW(BEFORE)'!AG251), "%", ""), ",", ".")), 0) &gt; 1, IFERROR(VALUE(SUBSTITUTE(SUBSTITUTE(TRIM('Sales_RAW(BEFORE)'!AG251), "%", ""), ",", ".")), 0) / 100, IFERROR(VALUE(SUBSTITUTE(SUBSTITUTE(TRIM('Sales_RAW(BEFORE)'!AG251), "%", ""), ",", ".")), 0))</f>
        <v>0.08</v>
      </c>
      <c r="AJ244" s="6">
        <f t="shared" si="16"/>
        <v>4528.6576000000005</v>
      </c>
      <c r="AK244" s="6">
        <f t="shared" si="17"/>
        <v>61136.8776</v>
      </c>
      <c r="AL244" s="6">
        <f>IFERROR(VALUE(SUBSTITUTE(SUBSTITUTE(SUBSTITUTE('Sales_RAW(BEFORE)'!AJ251,"$",""),"USD",""),",",".")),0)</f>
        <v>9.3699999999999992</v>
      </c>
      <c r="AM244" s="3" t="str">
        <f>SUBSTITUTE(SUBSTITUTE(PROPER('Sales_RAW(BEFORE)'!AK251), "Fed Ex", "FedEx"),"Fedex","FedEx")</f>
        <v>FedEx</v>
      </c>
      <c r="AN244" s="3" t="s">
        <v>4011</v>
      </c>
      <c r="AO244" s="3" t="str">
        <f>SUBSTITUTE('Sales_RAW(BEFORE)'!AM251,"kg","")</f>
        <v xml:space="preserve">9.5 </v>
      </c>
      <c r="AP244" s="3" t="str">
        <f>_xlfn.LET(
  _xlpm.raw, UPPER(TRIM('Sales_RAW(BEFORE)'!AN251)),
  _xlpm.clean, RIGHT(_xlpm.raw, 1),
  IF(OR(_xlpm.raw="", _xlpm.raw="null"), "N/A", _xlpm.clean)
)</f>
        <v>A</v>
      </c>
      <c r="AQ244" s="3">
        <v>163</v>
      </c>
      <c r="AR244" s="3" cm="1">
        <f t="array" ref="AR244">_xlfn.LET(
  _xlpm.raw, LOWER(TRIM('Sales_RAW(BEFORE)'!AP251)),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244" s="3"/>
      <c r="AT244" s="3"/>
      <c r="AU244" s="3"/>
      <c r="AV244" s="8">
        <f>IF(IFERROR(VALUE(SUBSTITUTE(SUBSTITUTE(TRIM('Sales_RAW(BEFORE)'!AT251), "%", ""), ",", ".")), 0) &gt; 1, IFERROR(VALUE(SUBSTITUTE(SUBSTITUTE(TRIM('Sales_RAW(BEFORE)'!AT251), "%", ""), ",", ".")), 0) / 100, IFERROR(VALUE(SUBSTITUTE(SUBSTITUTE(TRIM('Sales_RAW(BEFORE)'!AT251), "%", ""), ",", ".")), 0))</f>
        <v>0.3</v>
      </c>
      <c r="AW244" s="6">
        <f>BA244*(_xlfn.XLOOKUP(N244,Employees!$A$2:$A$26,Employees!$E$2:$E$26,2))</f>
        <v>2598.3172979999999</v>
      </c>
      <c r="AX244" s="3" t="str">
        <f>PROPER('Sales_RAW(BEFORE)'!AV251)</f>
        <v xml:space="preserve"> Emily Taylor</v>
      </c>
      <c r="AY244" s="3" t="str">
        <f t="shared" si="18"/>
        <v xml:space="preserve"> Emily Taylor</v>
      </c>
      <c r="AZ244" s="3"/>
      <c r="BA244" s="24">
        <f>AK244*(1-(_xlfn.XLOOKUP(G244, Exchange_Rates!$B$8:$F$8, Exchange_Rates!$B$9:$F$9, 0)+J244))</f>
        <v>51966.345959999999</v>
      </c>
      <c r="BB244" s="7" cm="1">
        <f t="array" ref="BB244">_xlfn.LET(
  _xlpm.raw_dt, SUBSTITUTE(TRIM(C244), ".", "/"),
  _xlpm.dt, IFERROR(DATEVALUE(_xlpm.raw_dt), C244),
  _xlpm.p_code, TRIM(E244),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47255</v>
      </c>
      <c r="BC244" s="25">
        <f t="shared" si="19"/>
        <v>15589.903788</v>
      </c>
    </row>
    <row r="245" spans="1:55" ht="15.75" thickBot="1" x14ac:dyDescent="0.3">
      <c r="A245" s="3" t="s">
        <v>4015</v>
      </c>
      <c r="B245" s="10">
        <v>45797</v>
      </c>
      <c r="C245" s="4">
        <f>DATE(2025,5,24)</f>
        <v>45801</v>
      </c>
      <c r="D245" s="3" t="str">
        <f>"P-" &amp; TEXT(VALUE(SUBSTITUTE(SUBSTITUTE(SUBSTITUTE(UPPER(TRIM('Sales_RAW(BEFORE)'!D252)), "P", ""), "-", ""), "_", "")),"000")</f>
        <v>P-039</v>
      </c>
      <c r="E245" s="3" t="str">
        <f>VLOOKUP(D245,Product_List!$A$2:$B$61,2,FALSE)</f>
        <v>Cable Plus 39</v>
      </c>
      <c r="F245" s="3" t="str">
        <f>_xlfn.XLOOKUP(E245,Product_List!$B$2:$B$61,Product_List!$E$2:$E$61,2)</f>
        <v>TechSupply Co</v>
      </c>
      <c r="G245" s="3" t="str">
        <f>VLOOKUP(E245,Product_List!$B$2:$C$61,2,FALSE)</f>
        <v>Software</v>
      </c>
      <c r="H245" s="3" t="str">
        <f>SUBSTITUTE(SUBSTITUTE('Sales_RAW(BEFORE)'!G252,"kom",""),".","")</f>
        <v>17</v>
      </c>
      <c r="I245" s="6">
        <f>VLOOKUP(E245,Product_List!$B$2:$D$61,3,FALSE)</f>
        <v>601.47</v>
      </c>
      <c r="J245" s="5">
        <f>IF(IFERROR(VALUE(SUBSTITUTE(SUBSTITUTE(TRIM('Sales_RAW(BEFORE)'!I252), "%", ""), ",", ".")), 0) &gt; 1, IFERROR(VALUE(SUBSTITUTE(SUBSTITUTE(TRIM('Sales_RAW(BEFORE)'!I252), "%", ""), ",", ".")), 0) / 100, IFERROR(VALUE(SUBSTITUTE(SUBSTITUTE(TRIM('Sales_RAW(BEFORE)'!I252), "%", ""), ",", ".")), 0))</f>
        <v>0.1</v>
      </c>
      <c r="K245" s="6">
        <f>(H245*I245)/(HLOOKUP(AE245,Exchange_Rates!$B$1:$M$2,2,FALSE))</f>
        <v>11066.006493506493</v>
      </c>
      <c r="L245" s="6" t="str" cm="1">
        <f t="array" ref="L245">_xlfn.LET(
  _xlpm.valuta, UPPER(TRIM('Sales_RAW(BEFORE)'!K252)),
  _xlfn.IFS(
    _xlpm.valuta = "", "",
    OR(_xlpm.valuta = "USD", _xlpm.valuta = "$"), "$",
    OR(_xlpm.valuta = "EUR", _xlpm.valuta = "€"), "€",
    TRUE, _xlpm.valuta
  )
)</f>
        <v>€</v>
      </c>
      <c r="M245" s="3" t="str">
        <f>"E" &amp; TEXT(VALUE(SUBSTITUTE(SUBSTITUTE(SUBSTITUTE(UPPER(TRIM('Sales_RAW(BEFORE)'!L252)), "EMP", ""), "E", ""), "-", "")),"000")</f>
        <v>E019</v>
      </c>
      <c r="N245" s="3" t="str">
        <f>_xlfn.XLOOKUP(M245,Employees!$D$2:$D$26,Employees!$A$2:$A$26)</f>
        <v>Sophia Taylor</v>
      </c>
      <c r="O245" s="3" t="str">
        <f>_xlfn.XLOOKUP(N245,Employees!$A$2:$A$26,Employees!$C$2:$C$26,2)</f>
        <v>Wholesale</v>
      </c>
      <c r="P245" s="3" t="str">
        <f>PROPER('Sales_RAW(BEFORE)'!N252)</f>
        <v>East</v>
      </c>
      <c r="Q245" s="3" t="str">
        <f>VLOOKUP(N245,Employees!$A$2:$B$26,2,FALSE)</f>
        <v>Los Angeles</v>
      </c>
      <c r="R245" s="3" t="str">
        <f>PROPER('Sales_RAW(BEFORE)'!P252)</f>
        <v xml:space="preserve">Vortex Inc  </v>
      </c>
      <c r="S245" s="3" t="str">
        <f>SUBSTITUTE(SUBSTITUTE('Sales_RAW(BEFORE)'!Q252,"EIN",""),":","")</f>
        <v>957377385</v>
      </c>
      <c r="T245" s="3" t="s">
        <v>1395</v>
      </c>
      <c r="U245" s="3" t="s">
        <v>4023</v>
      </c>
      <c r="V245" s="3" t="s">
        <v>4024</v>
      </c>
      <c r="W245" s="3" t="s">
        <v>4025</v>
      </c>
      <c r="X245" s="3" t="s">
        <v>173</v>
      </c>
      <c r="Y245" s="3" t="str">
        <f>PROPER('Sales_RAW(BEFORE)'!W252)</f>
        <v>Wire</v>
      </c>
      <c r="Z245" s="3" t="str">
        <f>PROPER('Sales_RAW(BEFORE)'!X252)</f>
        <v>Delivered</v>
      </c>
      <c r="AA245" s="3" t="str" cm="1">
        <f t="array" ref="AA245">_xlfn.LET(
  _xlpm.val, TRIM(LOWER('Sales_RAW(BEFORE)'!Y252)),
  _xlfn.IFS(
    OR(_xlpm.val="yes", _xlpm.val="paid"), "Paid",
    OR(_xlpm.val="no", _xlpm.val="unpaid"), "Unpaid",
    OR(_xlpm.val="partial", _xlpm.val="partial paid"), "Partial",
    _xlpm.val="", "",
    TRUE, 'Sales_RAW(BEFORE)'!AY252
  )
)</f>
        <v>Unpaid</v>
      </c>
      <c r="AB245" s="3" t="s">
        <v>4026</v>
      </c>
      <c r="AC245" s="3" t="str">
        <f>PROPER('Sales_RAW(BEFORE)'!AA252)</f>
        <v>Online</v>
      </c>
      <c r="AD245" s="3" t="str">
        <f>SUBSTITUTE(SUBSTITUTE(SUBSTITUTE(SUBSTITUTE('Sales_RAW(BEFORE)'!AB252,"st",""),"q",""),"Q",""),"uarter","")</f>
        <v>4</v>
      </c>
      <c r="AE245" s="3" t="str">
        <f>TEXT(IFERROR(DATEVALUE('Sales_RAW(BEFORE)'!AC252 &amp; " 1"), IFERROR(DATE(2025, 'Sales_RAW(BEFORE)'!AC252, 1), 'Sales_RAW(BEFORE)'!AC252)), "mmmm")</f>
        <v>May</v>
      </c>
      <c r="AF245" s="3">
        <f>_xlfn.LET(
  _xlpm.raw, TRIM(SUBSTITUTE('Sales_RAW(BEFORE)'!AD252, "'", "")),
  _xlpm.num, IFERROR(VALUE(_xlpm.raw), 0),
  IF(_xlpm.num &lt; 100, 2000 + _xlpm.num, _xlpm.num)
)</f>
        <v>2025</v>
      </c>
      <c r="AG245" s="3" t="str">
        <f>PROPER('Sales_RAW(BEFORE)'!AE252)</f>
        <v>Net 30</v>
      </c>
      <c r="AH245" s="3" cm="1">
        <f t="array" ref="AH245">_xlfn.LET(
  _xlpm.val, LOWER(TRIM('Sales_RAW(BEFORE)'!AF252)),
  _xlfn.IFS(
    OR(_xlpm.val="", _xlpm.val="null", _xlpm.val="N/A", _xlpm.val="-", _xlpm.val="#N/A"), 0,
    ISNUMBER('Sales_RAW(BEFORE)'!AF252), 'Sales_RAW(BEFORE)'!AF252,
    TRUE, IFERROR(_xlfn.NUMBERVALUE(_xlpm.val), 0)
  )
)</f>
        <v>69</v>
      </c>
      <c r="AI245" s="5">
        <f>IF(IFERROR(VALUE(SUBSTITUTE(SUBSTITUTE(TRIM('Sales_RAW(BEFORE)'!AG252), "%", ""), ",", ".")), 0) &gt; 1, IFERROR(VALUE(SUBSTITUTE(SUBSTITUTE(TRIM('Sales_RAW(BEFORE)'!AG252), "%", ""), ",", ".")), 0) / 100, IFERROR(VALUE(SUBSTITUTE(SUBSTITUTE(TRIM('Sales_RAW(BEFORE)'!AG252), "%", ""), ",", ".")), 0))</f>
        <v>0.08</v>
      </c>
      <c r="AJ245" s="6">
        <f t="shared" si="16"/>
        <v>885.2805194805195</v>
      </c>
      <c r="AK245" s="6">
        <f t="shared" si="17"/>
        <v>11951.287012987012</v>
      </c>
      <c r="AL245" s="6">
        <f>IFERROR(VALUE(SUBSTITUTE(SUBSTITUTE(SUBSTITUTE('Sales_RAW(BEFORE)'!AJ252,"$",""),"USD",""),",",".")),0)</f>
        <v>13.57</v>
      </c>
      <c r="AM245" s="3" t="str">
        <f>SUBSTITUTE(SUBSTITUTE(PROPER('Sales_RAW(BEFORE)'!AK252), "Fed Ex", "FedEx"),"Fedex","FedEx")</f>
        <v>Ups</v>
      </c>
      <c r="AN245" s="3" t="s">
        <v>4028</v>
      </c>
      <c r="AO245" s="3" t="str">
        <f>SUBSTITUTE('Sales_RAW(BEFORE)'!AM252,"kg","")</f>
        <v xml:space="preserve">10.6 </v>
      </c>
      <c r="AP245" s="3" t="str">
        <f>_xlfn.LET(
  _xlpm.raw, UPPER(TRIM('Sales_RAW(BEFORE)'!AN252)),
  _xlpm.clean, RIGHT(_xlpm.raw, 1),
  IF(OR(_xlpm.raw="", _xlpm.raw="null"), "N/A", _xlpm.clean)
)</f>
        <v>A</v>
      </c>
      <c r="AQ245" s="3">
        <v>393</v>
      </c>
      <c r="AR245" s="3" cm="1">
        <f t="array" ref="AR245">_xlfn.LET(
  _xlpm.raw, LOWER(TRIM('Sales_RAW(BEFORE)'!AP252)),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245" s="3"/>
      <c r="AT245" s="3"/>
      <c r="AU245" s="3"/>
      <c r="AV245" s="8">
        <f>IF(IFERROR(VALUE(SUBSTITUTE(SUBSTITUTE(TRIM('Sales_RAW(BEFORE)'!AT252), "%", ""), ",", ".")), 0) &gt; 1, IFERROR(VALUE(SUBSTITUTE(SUBSTITUTE(TRIM('Sales_RAW(BEFORE)'!AT252), "%", ""), ",", ".")), 0) / 100, IFERROR(VALUE(SUBSTITUTE(SUBSTITUTE(TRIM('Sales_RAW(BEFORE)'!AT252), "%", ""), ",", ".")), 0))</f>
        <v>0.18</v>
      </c>
      <c r="AW245" s="6">
        <f>BA245*(_xlfn.XLOOKUP(N245,Employees!$A$2:$A$26,Employees!$E$2:$E$26,2))</f>
        <v>268.90395779220773</v>
      </c>
      <c r="AX245" s="3" t="str">
        <f>PROPER('Sales_RAW(BEFORE)'!AV252)</f>
        <v xml:space="preserve"> Emily Williams</v>
      </c>
      <c r="AY245" s="3" t="str">
        <f t="shared" si="18"/>
        <v xml:space="preserve"> Emily Williams</v>
      </c>
      <c r="AZ245" s="3"/>
      <c r="BA245" s="24">
        <f>AK245*(1-(_xlfn.XLOOKUP(G245, Exchange_Rates!$B$8:$F$8, Exchange_Rates!$B$9:$F$9, 0)+J245))</f>
        <v>8963.4652597402583</v>
      </c>
      <c r="BB245" s="7" cm="1">
        <f t="array" ref="BB245">_xlfn.LET(
  _xlpm.raw_dt, SUBSTITUTE(TRIM(C245), ".", "/"),
  _xlpm.dt, IFERROR(DATEVALUE(_xlpm.raw_dt), C245),
  _xlpm.p_code, TRIM(E245),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46166</v>
      </c>
      <c r="BC245" s="25">
        <f t="shared" si="19"/>
        <v>1613.4237467532464</v>
      </c>
    </row>
    <row r="246" spans="1:55" ht="15.75" thickBot="1" x14ac:dyDescent="0.3">
      <c r="A246" s="3" t="s">
        <v>4031</v>
      </c>
      <c r="B246" s="10">
        <v>46173</v>
      </c>
      <c r="C246" s="4">
        <v>46271</v>
      </c>
      <c r="D246" s="3" t="str">
        <f>"P-" &amp; TEXT(VALUE(SUBSTITUTE(SUBSTITUTE(SUBSTITUTE(UPPER(TRIM('Sales_RAW(BEFORE)'!D253)), "P", ""), "-", ""), "_", "")),"000")</f>
        <v>P-008</v>
      </c>
      <c r="E246" s="3" t="str">
        <f>VLOOKUP(D246,Product_List!$A$2:$B$61,2,FALSE)</f>
        <v>Keyboard Pro 8</v>
      </c>
      <c r="F246" s="3" t="str">
        <f>_xlfn.XLOOKUP(E246,Product_List!$B$2:$B$61,Product_List!$E$2:$E$61,2)</f>
        <v>OfficeHub</v>
      </c>
      <c r="G246" s="3" t="str">
        <f>VLOOKUP(E246,Product_List!$B$2:$C$61,2,FALSE)</f>
        <v>Equipment</v>
      </c>
      <c r="H246" s="3" t="str">
        <f>SUBSTITUTE(SUBSTITUTE('Sales_RAW(BEFORE)'!G253,"kom",""),".","")</f>
        <v xml:space="preserve">12 </v>
      </c>
      <c r="I246" s="6">
        <f>VLOOKUP(E246,Product_List!$B$2:$D$61,3,FALSE)</f>
        <v>1288.4100000000001</v>
      </c>
      <c r="J246" s="5">
        <f>IF(IFERROR(VALUE(SUBSTITUTE(SUBSTITUTE(TRIM('Sales_RAW(BEFORE)'!I253), "%", ""), ",", ".")), 0) &gt; 1, IFERROR(VALUE(SUBSTITUTE(SUBSTITUTE(TRIM('Sales_RAW(BEFORE)'!I253), "%", ""), ",", ".")), 0) / 100, IFERROR(VALUE(SUBSTITUTE(SUBSTITUTE(TRIM('Sales_RAW(BEFORE)'!I253), "%", ""), ",", ".")), 0))</f>
        <v>0.1</v>
      </c>
      <c r="K246" s="6">
        <f t="shared" si="15"/>
        <v>15460.920000000002</v>
      </c>
      <c r="L246" s="6" t="str" cm="1">
        <f t="array" ref="L246">_xlfn.LET(
  _xlpm.valuta, UPPER(TRIM('Sales_RAW(BEFORE)'!K253)),
  _xlfn.IFS(
    _xlpm.valuta = "", "",
    OR(_xlpm.valuta = "USD", _xlpm.valuta = "$"), "$",
    OR(_xlpm.valuta = "EUR", _xlpm.valuta = "€"), "€",
    TRUE, _xlpm.valuta
  )
)</f>
        <v>$</v>
      </c>
      <c r="M246" s="3" t="str">
        <f>"E" &amp; TEXT(VALUE(SUBSTITUTE(SUBSTITUTE(SUBSTITUTE(UPPER(TRIM('Sales_RAW(BEFORE)'!L253)), "EMP", ""), "E", ""), "-", "")),"000")</f>
        <v>E019</v>
      </c>
      <c r="N246" s="3" t="str">
        <f>_xlfn.XLOOKUP(M246,Employees!$D$2:$D$26,Employees!$A$2:$A$26)</f>
        <v>Sophia Taylor</v>
      </c>
      <c r="O246" s="3" t="str">
        <f>_xlfn.XLOOKUP(N246,Employees!$A$2:$A$26,Employees!$C$2:$C$26,2)</f>
        <v>Wholesale</v>
      </c>
      <c r="P246" s="3" t="str">
        <f>PROPER('Sales_RAW(BEFORE)'!N253)</f>
        <v>North</v>
      </c>
      <c r="Q246" s="3" t="str">
        <f>VLOOKUP(N246,Employees!$A$2:$B$26,2,FALSE)</f>
        <v>Los Angeles</v>
      </c>
      <c r="R246" s="3" t="str">
        <f>PROPER('Sales_RAW(BEFORE)'!P253)</f>
        <v xml:space="preserve">   Acme Inc</v>
      </c>
      <c r="S246" s="3" t="str">
        <f>SUBSTITUTE(SUBSTITUTE('Sales_RAW(BEFORE)'!Q253,"EIN",""),":","")</f>
        <v>311127945</v>
      </c>
      <c r="T246" s="3" t="s">
        <v>201</v>
      </c>
      <c r="U246" s="3" t="s">
        <v>4039</v>
      </c>
      <c r="V246" s="3" t="s">
        <v>4040</v>
      </c>
      <c r="W246" s="3" t="s">
        <v>163</v>
      </c>
      <c r="X246" s="3" t="s">
        <v>173</v>
      </c>
      <c r="Y246" s="3" t="str">
        <f>PROPER('Sales_RAW(BEFORE)'!W253)</f>
        <v>Wire Transfer</v>
      </c>
      <c r="Z246" s="3" t="str">
        <f>PROPER('Sales_RAW(BEFORE)'!X253)</f>
        <v>Delivered</v>
      </c>
      <c r="AA246" s="3" t="str" cm="1">
        <f t="array" ref="AA246">_xlfn.LET(
  _xlpm.val, TRIM(LOWER('Sales_RAW(BEFORE)'!Y253)),
  _xlfn.IFS(
    OR(_xlpm.val="yes", _xlpm.val="paid"), "Paid",
    OR(_xlpm.val="no", _xlpm.val="unpaid"), "Unpaid",
    OR(_xlpm.val="partial", _xlpm.val="partial paid"), "Partial",
    _xlpm.val="", "",
    TRUE, 'Sales_RAW(BEFORE)'!AY253
  )
)</f>
        <v>Paid</v>
      </c>
      <c r="AB246" s="3" t="s">
        <v>4041</v>
      </c>
      <c r="AC246" s="3" t="str">
        <f>PROPER('Sales_RAW(BEFORE)'!AA253)</f>
        <v>Store</v>
      </c>
      <c r="AD246" s="3" t="str">
        <f>SUBSTITUTE(SUBSTITUTE(SUBSTITUTE(SUBSTITUTE('Sales_RAW(BEFORE)'!AB253,"st",""),"q",""),"Q",""),"uarter","")</f>
        <v xml:space="preserve">1 </v>
      </c>
      <c r="AE246" s="3" t="str">
        <f>TEXT(IFERROR(DATEVALUE('Sales_RAW(BEFORE)'!AC253 &amp; " 1"), IFERROR(DATE(2025, 'Sales_RAW(BEFORE)'!AC253, 1), 'Sales_RAW(BEFORE)'!AC253)), "mmmm")</f>
        <v>May</v>
      </c>
      <c r="AF246" s="3">
        <f>_xlfn.LET(
  _xlpm.raw, TRIM(SUBSTITUTE('Sales_RAW(BEFORE)'!AD253, "'", "")),
  _xlpm.num, IFERROR(VALUE(_xlpm.raw), 0),
  IF(_xlpm.num &lt; 100, 2000 + _xlpm.num, _xlpm.num)
)</f>
        <v>2026</v>
      </c>
      <c r="AG246" s="3" t="str">
        <f>PROPER('Sales_RAW(BEFORE)'!AE253)</f>
        <v>Immediate</v>
      </c>
      <c r="AH246" s="3" cm="1">
        <f t="array" ref="AH246">_xlfn.LET(
  _xlpm.val, LOWER(TRIM('Sales_RAW(BEFORE)'!AF253)),
  _xlfn.IFS(
    OR(_xlpm.val="", _xlpm.val="null", _xlpm.val="N/A", _xlpm.val="-", _xlpm.val="#N/A"), 0,
    ISNUMBER('Sales_RAW(BEFORE)'!AF253), 'Sales_RAW(BEFORE)'!AF253,
    TRUE, IFERROR(_xlfn.NUMBERVALUE(_xlpm.val), 0)
  )
)</f>
        <v>5</v>
      </c>
      <c r="AI246" s="5">
        <f>IF(IFERROR(VALUE(SUBSTITUTE(SUBSTITUTE(TRIM('Sales_RAW(BEFORE)'!AG253), "%", ""), ",", ".")), 0) &gt; 1, IFERROR(VALUE(SUBSTITUTE(SUBSTITUTE(TRIM('Sales_RAW(BEFORE)'!AG253), "%", ""), ",", ".")), 0) / 100, IFERROR(VALUE(SUBSTITUTE(SUBSTITUTE(TRIM('Sales_RAW(BEFORE)'!AG253), "%", ""), ",", ".")), 0))</f>
        <v>0.08</v>
      </c>
      <c r="AJ246" s="6">
        <f t="shared" si="16"/>
        <v>1236.8736000000001</v>
      </c>
      <c r="AK246" s="6">
        <f t="shared" si="17"/>
        <v>16697.793600000001</v>
      </c>
      <c r="AL246" s="6">
        <f>IFERROR(VALUE(SUBSTITUTE(SUBSTITUTE(SUBSTITUTE('Sales_RAW(BEFORE)'!AJ253,"$",""),"USD",""),",",".")),0)</f>
        <v>0</v>
      </c>
      <c r="AM246" s="3" t="str">
        <f>SUBSTITUTE(SUBSTITUTE(PROPER('Sales_RAW(BEFORE)'!AK253), "Fed Ex", "FedEx"),"Fedex","FedEx")</f>
        <v>FedEx</v>
      </c>
      <c r="AN246" s="3" t="s">
        <v>4042</v>
      </c>
      <c r="AO246" s="3" t="str">
        <f>SUBSTITUTE('Sales_RAW(BEFORE)'!AM253,"kg","")</f>
        <v xml:space="preserve">17.3 </v>
      </c>
      <c r="AP246" s="3" t="str">
        <f>_xlfn.LET(
  _xlpm.raw, UPPER(TRIM('Sales_RAW(BEFORE)'!AN253)),
  _xlpm.clean, RIGHT(_xlpm.raw, 1),
  IF(OR(_xlpm.raw="", _xlpm.raw="null"), "N/A", _xlpm.clean)
)</f>
        <v>B</v>
      </c>
      <c r="AQ246" s="3">
        <v>58</v>
      </c>
      <c r="AR246" s="3" cm="1">
        <f t="array" ref="AR246">_xlfn.LET(
  _xlpm.raw, LOWER(TRIM('Sales_RAW(BEFORE)'!AP253)),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246" s="3"/>
      <c r="AT246" s="3"/>
      <c r="AU246" s="3"/>
      <c r="AV246" s="8">
        <f>IF(IFERROR(VALUE(SUBSTITUTE(SUBSTITUTE(TRIM('Sales_RAW(BEFORE)'!AT253), "%", ""), ",", ".")), 0) &gt; 1, IFERROR(VALUE(SUBSTITUTE(SUBSTITUTE(TRIM('Sales_RAW(BEFORE)'!AT253), "%", ""), ",", ".")), 0) / 100, IFERROR(VALUE(SUBSTITUTE(SUBSTITUTE(TRIM('Sales_RAW(BEFORE)'!AT253), "%", ""), ",", ".")), 0))</f>
        <v>0.3</v>
      </c>
      <c r="AW246" s="6">
        <f>BA246*(_xlfn.XLOOKUP(N246,Employees!$A$2:$A$26,Employees!$E$2:$E$26,2))</f>
        <v>400.74704640000004</v>
      </c>
      <c r="AX246" s="3" t="str">
        <f>PROPER('Sales_RAW(BEFORE)'!AV253)</f>
        <v>Laura Taylor</v>
      </c>
      <c r="AY246" s="3" t="str">
        <f t="shared" si="18"/>
        <v>Laura Taylor</v>
      </c>
      <c r="AZ246" s="3"/>
      <c r="BA246" s="24">
        <f>AK246*(1-(_xlfn.XLOOKUP(G246, Exchange_Rates!$B$8:$F$8, Exchange_Rates!$B$9:$F$9, 0)+J246))</f>
        <v>13358.234880000002</v>
      </c>
      <c r="BB246" s="7" cm="1">
        <f t="array" ref="BB246">_xlfn.LET(
  _xlpm.raw_dt, SUBSTITUTE(TRIM(C246), ".", "/"),
  _xlpm.dt, IFERROR(DATEVALUE(_xlpm.raw_dt), C246),
  _xlpm.p_code, TRIM(E246),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47367</v>
      </c>
      <c r="BC246" s="25">
        <f t="shared" si="19"/>
        <v>4007.4704640000004</v>
      </c>
    </row>
    <row r="247" spans="1:55" ht="15.75" thickBot="1" x14ac:dyDescent="0.3">
      <c r="A247" s="3" t="s">
        <v>4045</v>
      </c>
      <c r="B247" s="10">
        <v>45771</v>
      </c>
      <c r="C247" s="4">
        <v>45772</v>
      </c>
      <c r="D247" s="3" t="str">
        <f>"P-" &amp; TEXT(VALUE(SUBSTITUTE(SUBSTITUTE(SUBSTITUTE(UPPER(TRIM('Sales_RAW(BEFORE)'!D255)), "P", ""), "-", ""), "_", "")),"000")</f>
        <v>P-038</v>
      </c>
      <c r="E247" s="3" t="str">
        <f>VLOOKUP(D247,Product_List!$A$2:$B$61,2,FALSE)</f>
        <v>Cable Max 38</v>
      </c>
      <c r="F247" s="3" t="str">
        <f>_xlfn.XLOOKUP(E247,Product_List!$B$2:$B$61,Product_List!$E$2:$E$61,2)</f>
        <v>TechSupply Co</v>
      </c>
      <c r="G247" s="3" t="str">
        <f>VLOOKUP(E247,Product_List!$B$2:$C$61,2,FALSE)</f>
        <v>Electronics</v>
      </c>
      <c r="H247" s="3" t="str">
        <f>SUBSTITUTE(SUBSTITUTE('Sales_RAW(BEFORE)'!G255,"kom",""),".","")</f>
        <v xml:space="preserve">2 </v>
      </c>
      <c r="I247" s="6">
        <f>VLOOKUP(E247,Product_List!$B$2:$D$61,3,FALSE)</f>
        <v>687.68</v>
      </c>
      <c r="J247" s="5">
        <f>IF(IFERROR(VALUE(SUBSTITUTE(SUBSTITUTE(TRIM('Sales_RAW(BEFORE)'!I255), "%", ""), ",", ".")), 0) &gt; 1, IFERROR(VALUE(SUBSTITUTE(SUBSTITUTE(TRIM('Sales_RAW(BEFORE)'!I255), "%", ""), ",", ".")), 0) / 100, IFERROR(VALUE(SUBSTITUTE(SUBSTITUTE(TRIM('Sales_RAW(BEFORE)'!I255), "%", ""), ",", ".")), 0))</f>
        <v>0.1</v>
      </c>
      <c r="K247" s="6">
        <f t="shared" si="15"/>
        <v>1375.36</v>
      </c>
      <c r="L247" s="6" t="str" cm="1">
        <f t="array" ref="L247">_xlfn.LET(
  _xlpm.valuta, UPPER(TRIM('Sales_RAW(BEFORE)'!K255)),
  _xlfn.IFS(
    _xlpm.valuta = "", "",
    OR(_xlpm.valuta = "USD", _xlpm.valuta = "$"), "$",
    OR(_xlpm.valuta = "EUR", _xlpm.valuta = "€"), "€",
    TRUE, _xlpm.valuta
  )
)</f>
        <v>$</v>
      </c>
      <c r="M247" s="3" t="str">
        <f>"E" &amp; TEXT(VALUE(SUBSTITUTE(SUBSTITUTE(SUBSTITUTE(UPPER(TRIM('Sales_RAW(BEFORE)'!L255)), "EMP", ""), "E", ""), "-", "")),"000")</f>
        <v>E015</v>
      </c>
      <c r="N247" s="3" t="str">
        <f>_xlfn.XLOOKUP(M247,Employees!$D$2:$D$26,Employees!$A$2:$A$26)</f>
        <v>Sarah Jones</v>
      </c>
      <c r="O247" s="3" t="str">
        <f>_xlfn.XLOOKUP(N247,Employees!$A$2:$A$26,Employees!$C$2:$C$26,2)</f>
        <v>Wholesale</v>
      </c>
      <c r="P247" s="3" t="str">
        <f>PROPER('Sales_RAW(BEFORE)'!N255)</f>
        <v>North</v>
      </c>
      <c r="Q247" s="3" t="str">
        <f>VLOOKUP(N247,Employees!$A$2:$B$26,2,FALSE)</f>
        <v>Boston</v>
      </c>
      <c r="R247" s="3" t="str">
        <f>PROPER('Sales_RAW(BEFORE)'!P255)</f>
        <v xml:space="preserve">Umbrella Inc   </v>
      </c>
      <c r="S247" s="3" t="str">
        <f>SUBSTITUTE(SUBSTITUTE('Sales_RAW(BEFORE)'!Q255,"EIN",""),":","")</f>
        <v>790050425</v>
      </c>
      <c r="T247" s="3" t="s">
        <v>2076</v>
      </c>
      <c r="U247" s="3" t="s">
        <v>4054</v>
      </c>
      <c r="V247" s="3" t="s">
        <v>1273</v>
      </c>
      <c r="W247" s="3" t="s">
        <v>4055</v>
      </c>
      <c r="X247" s="3" t="s">
        <v>173</v>
      </c>
      <c r="Y247" s="3" t="str">
        <f>PROPER('Sales_RAW(BEFORE)'!W255)</f>
        <v>Wire</v>
      </c>
      <c r="Z247" s="3" t="str">
        <f>PROPER('Sales_RAW(BEFORE)'!X255)</f>
        <v>Cancelled</v>
      </c>
      <c r="AA247" s="3" t="str" cm="1">
        <f t="array" ref="AA247">_xlfn.LET(
  _xlpm.val, TRIM(LOWER('Sales_RAW(BEFORE)'!Y255)),
  _xlfn.IFS(
    OR(_xlpm.val="yes", _xlpm.val="paid"), "Paid",
    OR(_xlpm.val="no", _xlpm.val="unpaid"), "Unpaid",
    OR(_xlpm.val="partial", _xlpm.val="partial paid"), "Partial",
    _xlpm.val="", "",
    TRUE, 'Sales_RAW(BEFORE)'!AY255
  )
)</f>
        <v>Paid</v>
      </c>
      <c r="AB247" s="3" t="s">
        <v>4056</v>
      </c>
      <c r="AC247" s="3" t="str">
        <f>PROPER('Sales_RAW(BEFORE)'!AA255)</f>
        <v>Web</v>
      </c>
      <c r="AD247" s="3" t="str">
        <f>SUBSTITUTE(SUBSTITUTE(SUBSTITUTE(SUBSTITUTE('Sales_RAW(BEFORE)'!AB255,"st",""),"q",""),"Q",""),"uarter","")</f>
        <v>3</v>
      </c>
      <c r="AE247" s="3" t="str">
        <f>TEXT(IFERROR(DATEVALUE('Sales_RAW(BEFORE)'!AC255 &amp; " 1"), IFERROR(DATE(2025, 'Sales_RAW(BEFORE)'!AC255, 1), 'Sales_RAW(BEFORE)'!AC255)), "mmmm")</f>
        <v>April</v>
      </c>
      <c r="AF247" s="3">
        <f>_xlfn.LET(
  _xlpm.raw, TRIM(SUBSTITUTE('Sales_RAW(BEFORE)'!AD255, "'", "")),
  _xlpm.num, IFERROR(VALUE(_xlpm.raw), 0),
  IF(_xlpm.num &lt; 100, 2000 + _xlpm.num, _xlpm.num)
)</f>
        <v>2025</v>
      </c>
      <c r="AG247" s="3" t="str">
        <f>PROPER('Sales_RAW(BEFORE)'!AE255)</f>
        <v>Net 30</v>
      </c>
      <c r="AH247" s="3" cm="1">
        <f t="array" ref="AH247">_xlfn.LET(
  _xlpm.val, LOWER(TRIM('Sales_RAW(BEFORE)'!AF255)),
  _xlfn.IFS(
    OR(_xlpm.val="", _xlpm.val="null", _xlpm.val="N/A", _xlpm.val="-", _xlpm.val="#N/A"), 0,
    ISNUMBER('Sales_RAW(BEFORE)'!AF255), 'Sales_RAW(BEFORE)'!AF255,
    TRUE, IFERROR(_xlfn.NUMBERVALUE(_xlpm.val), 0)
  )
)</f>
        <v>42</v>
      </c>
      <c r="AI247" s="5">
        <f>IF(IFERROR(VALUE(SUBSTITUTE(SUBSTITUTE(TRIM('Sales_RAW(BEFORE)'!AG255), "%", ""), ",", ".")), 0) &gt; 1, IFERROR(VALUE(SUBSTITUTE(SUBSTITUTE(TRIM('Sales_RAW(BEFORE)'!AG255), "%", ""), ",", ".")), 0) / 100, IFERROR(VALUE(SUBSTITUTE(SUBSTITUTE(TRIM('Sales_RAW(BEFORE)'!AG255), "%", ""), ",", ".")), 0))</f>
        <v>0.08</v>
      </c>
      <c r="AJ247" s="6">
        <f t="shared" si="16"/>
        <v>110.02879999999999</v>
      </c>
      <c r="AK247" s="6">
        <f t="shared" si="17"/>
        <v>1485.3887999999999</v>
      </c>
      <c r="AL247" s="6">
        <f>IFERROR(VALUE(SUBSTITUTE(SUBSTITUTE(SUBSTITUTE('Sales_RAW(BEFORE)'!AJ255,"$",""),"USD",""),",",".")),0)</f>
        <v>3.53</v>
      </c>
      <c r="AM247" s="3" t="str">
        <f>SUBSTITUTE(SUBSTITUTE(PROPER('Sales_RAW(BEFORE)'!AK255), "Fed Ex", "FedEx"),"Fedex","FedEx")</f>
        <v>Ups</v>
      </c>
      <c r="AN247" s="3" t="s">
        <v>4058</v>
      </c>
      <c r="AO247" s="3" t="str">
        <f>SUBSTITUTE('Sales_RAW(BEFORE)'!AM255,"kg","")</f>
        <v>5,71</v>
      </c>
      <c r="AP247" s="3" t="str">
        <f>_xlfn.LET(
  _xlpm.raw, UPPER(TRIM('Sales_RAW(BEFORE)'!AN255)),
  _xlpm.clean, RIGHT(_xlpm.raw, 1),
  IF(OR(_xlpm.raw="", _xlpm.raw="null"), "N/A", _xlpm.clean)
)</f>
        <v>C</v>
      </c>
      <c r="AQ247" s="3">
        <v>279</v>
      </c>
      <c r="AR247" s="3" cm="1">
        <f t="array" ref="AR247">_xlfn.LET(
  _xlpm.raw, LOWER(TRIM('Sales_RAW(BEFORE)'!AP255)),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247" s="3"/>
      <c r="AT247" s="3"/>
      <c r="AU247" s="3"/>
      <c r="AV247" s="8">
        <f>IF(IFERROR(VALUE(SUBSTITUTE(SUBSTITUTE(TRIM('Sales_RAW(BEFORE)'!AT255), "%", ""), ",", ".")), 0) &gt; 1, IFERROR(VALUE(SUBSTITUTE(SUBSTITUTE(TRIM('Sales_RAW(BEFORE)'!AT255), "%", ""), ",", ".")), 0) / 100, IFERROR(VALUE(SUBSTITUTE(SUBSTITUTE(TRIM('Sales_RAW(BEFORE)'!AT255), "%", ""), ",", ".")), 0))</f>
        <v>0.25</v>
      </c>
      <c r="AW247" s="6">
        <f>BA247*(_xlfn.XLOOKUP(N247,Employees!$A$2:$A$26,Employees!$E$2:$E$26,2))</f>
        <v>35.649331199999999</v>
      </c>
      <c r="AX247" s="3" t="str">
        <f>PROPER('Sales_RAW(BEFORE)'!AV255)</f>
        <v xml:space="preserve"> Michael Davis   </v>
      </c>
      <c r="AY247" s="3" t="str">
        <f t="shared" si="18"/>
        <v xml:space="preserve"> Michael Davis   </v>
      </c>
      <c r="AZ247" s="3"/>
      <c r="BA247" s="24">
        <f>AK247*(1-(_xlfn.XLOOKUP(G247, Exchange_Rates!$B$8:$F$8, Exchange_Rates!$B$9:$F$9, 0)+J247))</f>
        <v>1188.31104</v>
      </c>
      <c r="BB247" s="7" cm="1">
        <f t="array" ref="BB247">_xlfn.LET(
  _xlpm.raw_dt, SUBSTITUTE(TRIM(C247), ".", "/"),
  _xlpm.dt, IFERROR(DATEVALUE(_xlpm.raw_dt), C247),
  _xlpm.p_code, TRIM(E247),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46502</v>
      </c>
      <c r="BC247" s="25">
        <f t="shared" si="19"/>
        <v>297.07776000000001</v>
      </c>
    </row>
    <row r="248" spans="1:55" ht="15.75" thickBot="1" x14ac:dyDescent="0.3">
      <c r="A248" s="3" t="s">
        <v>4061</v>
      </c>
      <c r="B248" s="10">
        <v>45988</v>
      </c>
      <c r="C248" s="4">
        <v>46000</v>
      </c>
      <c r="D248" s="3" t="str">
        <f>"P-" &amp; TEXT(VALUE(SUBSTITUTE(SUBSTITUTE(SUBSTITUTE(UPPER(TRIM('Sales_RAW(BEFORE)'!D256)), "P", ""), "-", ""), "_", "")),"000")</f>
        <v>P-013</v>
      </c>
      <c r="E248" s="3" t="str">
        <f>VLOOKUP(D248,Product_List!$A$2:$B$61,2,FALSE)</f>
        <v>Monitor Max 13</v>
      </c>
      <c r="F248" s="3" t="str">
        <f>_xlfn.XLOOKUP(E248,Product_List!$B$2:$B$61,Product_List!$E$2:$E$61,2)</f>
        <v>OfficeHub</v>
      </c>
      <c r="G248" s="3" t="str">
        <f>VLOOKUP(E248,Product_List!$B$2:$C$61,2,FALSE)</f>
        <v>Electronics</v>
      </c>
      <c r="H248" s="3" t="str">
        <f>SUBSTITUTE(SUBSTITUTE('Sales_RAW(BEFORE)'!G256,"kom",""),".","")</f>
        <v xml:space="preserve">28 </v>
      </c>
      <c r="I248" s="6">
        <f>VLOOKUP(E248,Product_List!$B$2:$D$61,3,FALSE)</f>
        <v>930.42</v>
      </c>
      <c r="J248" s="5">
        <f>IF(IFERROR(VALUE(SUBSTITUTE(SUBSTITUTE(TRIM('Sales_RAW(BEFORE)'!I256), "%", ""), ",", ".")), 0) &gt; 1, IFERROR(VALUE(SUBSTITUTE(SUBSTITUTE(TRIM('Sales_RAW(BEFORE)'!I256), "%", ""), ",", ".")), 0) / 100, IFERROR(VALUE(SUBSTITUTE(SUBSTITUTE(TRIM('Sales_RAW(BEFORE)'!I256), "%", ""), ",", ".")), 0))</f>
        <v>0.1</v>
      </c>
      <c r="K248" s="6">
        <f t="shared" si="15"/>
        <v>26051.759999999998</v>
      </c>
      <c r="L248" s="6" t="str" cm="1">
        <f t="array" ref="L248">_xlfn.LET(
  _xlpm.valuta, UPPER(TRIM('Sales_RAW(BEFORE)'!K256)),
  _xlfn.IFS(
    _xlpm.valuta = "", "",
    OR(_xlpm.valuta = "USD", _xlpm.valuta = "$"), "$",
    OR(_xlpm.valuta = "EUR", _xlpm.valuta = "€"), "€",
    TRUE, _xlpm.valuta
  )
)</f>
        <v>$</v>
      </c>
      <c r="M248" s="3" t="str">
        <f>"E" &amp; TEXT(VALUE(SUBSTITUTE(SUBSTITUTE(SUBSTITUTE(UPPER(TRIM('Sales_RAW(BEFORE)'!L256)), "EMP", ""), "E", ""), "-", "")),"000")</f>
        <v>E009</v>
      </c>
      <c r="N248" s="3" t="str">
        <f>_xlfn.XLOOKUP(M248,Employees!$D$2:$D$26,Employees!$A$2:$A$26)</f>
        <v>Olivia Wilson</v>
      </c>
      <c r="O248" s="3" t="str">
        <f>_xlfn.XLOOKUP(N248,Employees!$A$2:$A$26,Employees!$C$2:$C$26,2)</f>
        <v>Wholesale</v>
      </c>
      <c r="P248" s="3" t="str">
        <f>PROPER('Sales_RAW(BEFORE)'!N256)</f>
        <v>East</v>
      </c>
      <c r="Q248" s="3" t="str">
        <f>VLOOKUP(N248,Employees!$A$2:$B$26,2,FALSE)</f>
        <v>Miami</v>
      </c>
      <c r="R248" s="3" t="str">
        <f>PROPER('Sales_RAW(BEFORE)'!P256)</f>
        <v>Vortex Inc</v>
      </c>
      <c r="S248" s="3" t="str">
        <f>SUBSTITUTE(SUBSTITUTE('Sales_RAW(BEFORE)'!Q256,"EIN",""),":","")</f>
        <v>922778594</v>
      </c>
      <c r="T248" s="3" t="s">
        <v>1178</v>
      </c>
      <c r="U248" s="3" t="s">
        <v>4071</v>
      </c>
      <c r="V248" s="3" t="s">
        <v>4072</v>
      </c>
      <c r="W248" s="3" t="s">
        <v>4073</v>
      </c>
      <c r="X248" s="3" t="s">
        <v>173</v>
      </c>
      <c r="Y248" s="3" t="str">
        <f>PROPER('Sales_RAW(BEFORE)'!W256)</f>
        <v>Credit Card</v>
      </c>
      <c r="Z248" s="3" t="str">
        <f>PROPER('Sales_RAW(BEFORE)'!X256)</f>
        <v>Cancelled</v>
      </c>
      <c r="AA248" s="3" t="str" cm="1">
        <f t="array" ref="AA248">_xlfn.LET(
  _xlpm.val, TRIM(LOWER('Sales_RAW(BEFORE)'!Y256)),
  _xlfn.IFS(
    OR(_xlpm.val="yes", _xlpm.val="paid"), "Paid",
    OR(_xlpm.val="no", _xlpm.val="unpaid"), "Unpaid",
    OR(_xlpm.val="partial", _xlpm.val="partial paid"), "Partial",
    _xlpm.val="", "",
    TRUE, 'Sales_RAW(BEFORE)'!AY256
  )
)</f>
        <v>Paid</v>
      </c>
      <c r="AB248" s="3" t="s">
        <v>4074</v>
      </c>
      <c r="AC248" s="3" t="str">
        <f>PROPER('Sales_RAW(BEFORE)'!AA256)</f>
        <v>Online</v>
      </c>
      <c r="AD248" s="3" t="str">
        <f>SUBSTITUTE(SUBSTITUTE(SUBSTITUTE(SUBSTITUTE('Sales_RAW(BEFORE)'!AB256,"st",""),"q",""),"Q",""),"uarter","")</f>
        <v>1</v>
      </c>
      <c r="AE248" s="3" t="str">
        <f>TEXT(IFERROR(DATEVALUE('Sales_RAW(BEFORE)'!AC256 &amp; " 1"), IFERROR(DATE(2025, 'Sales_RAW(BEFORE)'!AC256, 1), 'Sales_RAW(BEFORE)'!AC256)), "mmmm")</f>
        <v>November</v>
      </c>
      <c r="AF248" s="3">
        <f>_xlfn.LET(
  _xlpm.raw, TRIM(SUBSTITUTE('Sales_RAW(BEFORE)'!AD256, "'", "")),
  _xlpm.num, IFERROR(VALUE(_xlpm.raw), 0),
  IF(_xlpm.num &lt; 100, 2000 + _xlpm.num, _xlpm.num)
)</f>
        <v>2025</v>
      </c>
      <c r="AG248" s="3" t="str">
        <f>PROPER('Sales_RAW(BEFORE)'!AE256)</f>
        <v>15</v>
      </c>
      <c r="AH248" s="3" cm="1">
        <f t="array" ref="AH248">_xlfn.LET(
  _xlpm.val, LOWER(TRIM('Sales_RAW(BEFORE)'!AF256)),
  _xlfn.IFS(
    OR(_xlpm.val="", _xlpm.val="null", _xlpm.val="N/A", _xlpm.val="-", _xlpm.val="#N/A"), 0,
    ISNUMBER('Sales_RAW(BEFORE)'!AF256), 'Sales_RAW(BEFORE)'!AF256,
    TRUE, IFERROR(_xlfn.NUMBERVALUE(_xlpm.val), 0)
  )
)</f>
        <v>66</v>
      </c>
      <c r="AI248" s="5">
        <f>IF(IFERROR(VALUE(SUBSTITUTE(SUBSTITUTE(TRIM('Sales_RAW(BEFORE)'!AG256), "%", ""), ",", ".")), 0) &gt; 1, IFERROR(VALUE(SUBSTITUTE(SUBSTITUTE(TRIM('Sales_RAW(BEFORE)'!AG256), "%", ""), ",", ".")), 0) / 100, IFERROR(VALUE(SUBSTITUTE(SUBSTITUTE(TRIM('Sales_RAW(BEFORE)'!AG256), "%", ""), ",", ".")), 0))</f>
        <v>0.08</v>
      </c>
      <c r="AJ248" s="6">
        <f t="shared" si="16"/>
        <v>2084.1408000000001</v>
      </c>
      <c r="AK248" s="6">
        <f t="shared" si="17"/>
        <v>28135.900799999999</v>
      </c>
      <c r="AL248" s="6">
        <f>IFERROR(VALUE(SUBSTITUTE(SUBSTITUTE(SUBSTITUTE('Sales_RAW(BEFORE)'!AJ256,"$",""),"USD",""),",",".")),0)</f>
        <v>22.19</v>
      </c>
      <c r="AM248" s="3" t="str">
        <f>SUBSTITUTE(SUBSTITUTE(PROPER('Sales_RAW(BEFORE)'!AK256), "Fed Ex", "FedEx"),"Fedex","FedEx")</f>
        <v>Dhl</v>
      </c>
      <c r="AN248" s="3" t="s">
        <v>4075</v>
      </c>
      <c r="AO248" s="3" t="str">
        <f>SUBSTITUTE('Sales_RAW(BEFORE)'!AM256,"kg","")</f>
        <v>15.83</v>
      </c>
      <c r="AP248" s="3" t="str">
        <f>_xlfn.LET(
  _xlpm.raw, UPPER(TRIM('Sales_RAW(BEFORE)'!AN256)),
  _xlpm.clean, RIGHT(_xlpm.raw, 1),
  IF(OR(_xlpm.raw="", _xlpm.raw="null"), "N/A", _xlpm.clean)
)</f>
        <v>B</v>
      </c>
      <c r="AQ248" s="3">
        <v>356</v>
      </c>
      <c r="AR248" s="3" t="str" cm="1">
        <f t="array" ref="AR248">_xlfn.LET(
  _xlpm.raw, LOWER(TRIM('Sales_RAW(BEFORE)'!AP256)),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248" s="3"/>
      <c r="AT248" s="3"/>
      <c r="AU248" s="3"/>
      <c r="AV248" s="8">
        <f>IF(IFERROR(VALUE(SUBSTITUTE(SUBSTITUTE(TRIM('Sales_RAW(BEFORE)'!AT256), "%", ""), ",", ".")), 0) &gt; 1, IFERROR(VALUE(SUBSTITUTE(SUBSTITUTE(TRIM('Sales_RAW(BEFORE)'!AT256), "%", ""), ",", ".")), 0) / 100, IFERROR(VALUE(SUBSTITUTE(SUBSTITUTE(TRIM('Sales_RAW(BEFORE)'!AT256), "%", ""), ",", ".")), 0))</f>
        <v>0</v>
      </c>
      <c r="AW248" s="6">
        <f>BA248*(_xlfn.XLOOKUP(N248,Employees!$A$2:$A$26,Employees!$E$2:$E$26,2))</f>
        <v>675.26161919999993</v>
      </c>
      <c r="AX248" s="3" t="str">
        <f>PROPER('Sales_RAW(BEFORE)'!AV256)</f>
        <v xml:space="preserve">Chris Wilson  </v>
      </c>
      <c r="AY248" s="3" t="str">
        <f t="shared" si="18"/>
        <v xml:space="preserve">Chris Wilson  </v>
      </c>
      <c r="AZ248" s="3"/>
      <c r="BA248" s="24">
        <f>AK248*(1-(_xlfn.XLOOKUP(G248, Exchange_Rates!$B$8:$F$8, Exchange_Rates!$B$9:$F$9, 0)+J248))</f>
        <v>22508.72064</v>
      </c>
      <c r="BB248" s="7" cm="1">
        <f t="array" ref="BB248">_xlfn.LET(
  _xlpm.raw_dt, SUBSTITUTE(TRIM(C248), ".", "/"),
  _xlpm.dt, IFERROR(DATEVALUE(_xlpm.raw_dt), C248),
  _xlpm.p_code, TRIM(E248),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47096</v>
      </c>
      <c r="BC248" s="25">
        <f t="shared" si="19"/>
        <v>0</v>
      </c>
    </row>
    <row r="249" spans="1:55" ht="15.75" thickBot="1" x14ac:dyDescent="0.3">
      <c r="A249" s="3" t="s">
        <v>4078</v>
      </c>
      <c r="B249" s="10">
        <v>45709</v>
      </c>
      <c r="C249" s="4">
        <v>45719</v>
      </c>
      <c r="D249" s="3" t="str">
        <f>"P-" &amp; TEXT(VALUE(SUBSTITUTE(SUBSTITUTE(SUBSTITUTE(UPPER(TRIM('Sales_RAW(BEFORE)'!D257)), "P", ""), "-", ""), "_", "")),"000")</f>
        <v>P-060</v>
      </c>
      <c r="E249" s="3" t="str">
        <f>VLOOKUP(D249,Product_List!$A$2:$B$61,2,FALSE)</f>
        <v>Desk Basic 60</v>
      </c>
      <c r="F249" s="3" t="str">
        <f>_xlfn.XLOOKUP(E249,Product_List!$B$2:$B$61,Product_List!$E$2:$E$61,2)</f>
        <v>Global Distrib</v>
      </c>
      <c r="G249" s="3" t="str">
        <f>VLOOKUP(E249,Product_List!$B$2:$C$61,2,FALSE)</f>
        <v>Electronics</v>
      </c>
      <c r="H249" s="3" t="str">
        <f>SUBSTITUTE(SUBSTITUTE('Sales_RAW(BEFORE)'!G257,"kom",""),".","")</f>
        <v>6</v>
      </c>
      <c r="I249" s="6">
        <f>VLOOKUP(E249,Product_List!$B$2:$D$61,3,FALSE)</f>
        <v>334.59</v>
      </c>
      <c r="J249" s="5">
        <f>IF(IFERROR(VALUE(SUBSTITUTE(SUBSTITUTE(TRIM('Sales_RAW(BEFORE)'!I257), "%", ""), ",", ".")), 0) &gt; 1, IFERROR(VALUE(SUBSTITUTE(SUBSTITUTE(TRIM('Sales_RAW(BEFORE)'!I257), "%", ""), ",", ".")), 0) / 100, IFERROR(VALUE(SUBSTITUTE(SUBSTITUTE(TRIM('Sales_RAW(BEFORE)'!I257), "%", ""), ",", ".")), 0))</f>
        <v>0.1</v>
      </c>
      <c r="K249" s="6">
        <f t="shared" si="15"/>
        <v>2007.54</v>
      </c>
      <c r="L249" s="6" t="str" cm="1">
        <f t="array" ref="L249">_xlfn.LET(
  _xlpm.valuta, UPPER(TRIM('Sales_RAW(BEFORE)'!K257)),
  _xlfn.IFS(
    _xlpm.valuta = "", "",
    OR(_xlpm.valuta = "USD", _xlpm.valuta = "$"), "$",
    OR(_xlpm.valuta = "EUR", _xlpm.valuta = "€"), "€",
    TRUE, _xlpm.valuta
  )
)</f>
        <v>$</v>
      </c>
      <c r="M249" s="3" t="str">
        <f>"E" &amp; TEXT(VALUE(SUBSTITUTE(SUBSTITUTE(SUBSTITUTE(UPPER(TRIM('Sales_RAW(BEFORE)'!L257)), "EMP", ""), "E", ""), "-", "")),"000")</f>
        <v>E008</v>
      </c>
      <c r="N249" s="3" t="str">
        <f>_xlfn.XLOOKUP(M249,Employees!$D$2:$D$26,Employees!$A$2:$A$26)</f>
        <v>Michael Williams</v>
      </c>
      <c r="O249" s="3" t="str">
        <f>_xlfn.XLOOKUP(N249,Employees!$A$2:$A$26,Employees!$C$2:$C$26,2)</f>
        <v>Wholesale</v>
      </c>
      <c r="P249" s="3" t="str">
        <f>PROPER('Sales_RAW(BEFORE)'!N257)</f>
        <v>South</v>
      </c>
      <c r="Q249" s="3" t="str">
        <f>VLOOKUP(N249,Employees!$A$2:$B$26,2,FALSE)</f>
        <v>New York</v>
      </c>
      <c r="R249" s="3" t="str">
        <f>PROPER('Sales_RAW(BEFORE)'!P257)</f>
        <v xml:space="preserve">  Globex Llc</v>
      </c>
      <c r="S249" s="3" t="str">
        <f>SUBSTITUTE(SUBSTITUTE('Sales_RAW(BEFORE)'!Q257,"EIN",""),":","")</f>
        <v>562199804</v>
      </c>
      <c r="T249" s="3" t="s">
        <v>646</v>
      </c>
      <c r="U249" s="3" t="s">
        <v>4084</v>
      </c>
      <c r="V249" s="3" t="s">
        <v>4085</v>
      </c>
      <c r="W249" s="3" t="s">
        <v>4086</v>
      </c>
      <c r="X249" s="3" t="s">
        <v>173</v>
      </c>
      <c r="Y249" s="3" t="str">
        <f>PROPER('Sales_RAW(BEFORE)'!W257)</f>
        <v>Cash</v>
      </c>
      <c r="Z249" s="3" t="str">
        <f>PROPER('Sales_RAW(BEFORE)'!X257)</f>
        <v>Delivered</v>
      </c>
      <c r="AA249" s="3" t="str" cm="1">
        <f t="array" ref="AA249">_xlfn.LET(
  _xlpm.val, TRIM(LOWER('Sales_RAW(BEFORE)'!Y257)),
  _xlfn.IFS(
    OR(_xlpm.val="yes", _xlpm.val="paid"), "Paid",
    OR(_xlpm.val="no", _xlpm.val="unpaid"), "Unpaid",
    OR(_xlpm.val="partial", _xlpm.val="partial paid"), "Partial",
    _xlpm.val="", "",
    TRUE, 'Sales_RAW(BEFORE)'!AY257
  )
)</f>
        <v>Partial</v>
      </c>
      <c r="AB249" s="3" t="s">
        <v>4087</v>
      </c>
      <c r="AC249" s="3" t="str">
        <f>PROPER('Sales_RAW(BEFORE)'!AA257)</f>
        <v>Online</v>
      </c>
      <c r="AD249" s="3" t="str">
        <f>SUBSTITUTE(SUBSTITUTE(SUBSTITUTE(SUBSTITUTE('Sales_RAW(BEFORE)'!AB257,"st",""),"q",""),"Q",""),"uarter","")</f>
        <v>3</v>
      </c>
      <c r="AE249" s="3" t="str">
        <f>TEXT(IFERROR(DATEVALUE('Sales_RAW(BEFORE)'!AC257 &amp; " 1"), IFERROR(DATE(2025, 'Sales_RAW(BEFORE)'!AC257, 1), 'Sales_RAW(BEFORE)'!AC257)), "mmmm")</f>
        <v>February</v>
      </c>
      <c r="AF249" s="3">
        <f>_xlfn.LET(
  _xlpm.raw, TRIM(SUBSTITUTE('Sales_RAW(BEFORE)'!AD257, "'", "")),
  _xlpm.num, IFERROR(VALUE(_xlpm.raw), 0),
  IF(_xlpm.num &lt; 100, 2000 + _xlpm.num, _xlpm.num)
)</f>
        <v>2025</v>
      </c>
      <c r="AG249" s="3" t="str">
        <f>PROPER('Sales_RAW(BEFORE)'!AE257)</f>
        <v>Net 60</v>
      </c>
      <c r="AH249" s="3" cm="1">
        <f t="array" ref="AH249">_xlfn.LET(
  _xlpm.val, LOWER(TRIM('Sales_RAW(BEFORE)'!AF257)),
  _xlfn.IFS(
    OR(_xlpm.val="", _xlpm.val="null", _xlpm.val="N/A", _xlpm.val="-", _xlpm.val="#N/A"), 0,
    ISNUMBER('Sales_RAW(BEFORE)'!AF257), 'Sales_RAW(BEFORE)'!AF257,
    TRUE, IFERROR(_xlfn.NUMBERVALUE(_xlpm.val), 0)
  )
)</f>
        <v>12</v>
      </c>
      <c r="AI249" s="5">
        <f>IF(IFERROR(VALUE(SUBSTITUTE(SUBSTITUTE(TRIM('Sales_RAW(BEFORE)'!AG257), "%", ""), ",", ".")), 0) &gt; 1, IFERROR(VALUE(SUBSTITUTE(SUBSTITUTE(TRIM('Sales_RAW(BEFORE)'!AG257), "%", ""), ",", ".")), 0) / 100, IFERROR(VALUE(SUBSTITUTE(SUBSTITUTE(TRIM('Sales_RAW(BEFORE)'!AG257), "%", ""), ",", ".")), 0))</f>
        <v>0.08</v>
      </c>
      <c r="AJ249" s="6">
        <f t="shared" si="16"/>
        <v>160.60319999999999</v>
      </c>
      <c r="AK249" s="6">
        <f t="shared" si="17"/>
        <v>2168.1432</v>
      </c>
      <c r="AL249" s="6">
        <f>IFERROR(VALUE(SUBSTITUTE(SUBSTITUTE(SUBSTITUTE('Sales_RAW(BEFORE)'!AJ257,"$",""),"USD",""),",",".")),0)</f>
        <v>12.27</v>
      </c>
      <c r="AM249" s="3" t="str">
        <f>SUBSTITUTE(SUBSTITUTE(PROPER('Sales_RAW(BEFORE)'!AK257), "Fed Ex", "FedEx"),"Fedex","FedEx")</f>
        <v>Usps</v>
      </c>
      <c r="AN249" s="3" t="s">
        <v>4089</v>
      </c>
      <c r="AO249" s="3" t="str">
        <f>SUBSTITUTE('Sales_RAW(BEFORE)'!AM257,"kg","")</f>
        <v>12,57</v>
      </c>
      <c r="AP249" s="3" t="str">
        <f>_xlfn.LET(
  _xlpm.raw, UPPER(TRIM('Sales_RAW(BEFORE)'!AN257)),
  _xlpm.clean, RIGHT(_xlpm.raw, 1),
  IF(OR(_xlpm.raw="", _xlpm.raw="null"), "N/A", _xlpm.clean)
)</f>
        <v>A</v>
      </c>
      <c r="AQ249" s="3">
        <v>77</v>
      </c>
      <c r="AR249" s="3" cm="1">
        <f t="array" ref="AR249">_xlfn.LET(
  _xlpm.raw, LOWER(TRIM('Sales_RAW(BEFORE)'!AP257)),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249" s="3"/>
      <c r="AT249" s="3"/>
      <c r="AU249" s="3"/>
      <c r="AV249" s="8">
        <f>IF(IFERROR(VALUE(SUBSTITUTE(SUBSTITUTE(TRIM('Sales_RAW(BEFORE)'!AT257), "%", ""), ",", ".")), 0) &gt; 1, IFERROR(VALUE(SUBSTITUTE(SUBSTITUTE(TRIM('Sales_RAW(BEFORE)'!AT257), "%", ""), ",", ".")), 0) / 100, IFERROR(VALUE(SUBSTITUTE(SUBSTITUTE(TRIM('Sales_RAW(BEFORE)'!AT257), "%", ""), ",", ".")), 0))</f>
        <v>0</v>
      </c>
      <c r="AW249" s="6">
        <f>BA249*(_xlfn.XLOOKUP(N249,Employees!$A$2:$A$26,Employees!$E$2:$E$26,2))</f>
        <v>86.725728000000004</v>
      </c>
      <c r="AX249" s="3" t="str">
        <f>PROPER('Sales_RAW(BEFORE)'!AV257)</f>
        <v xml:space="preserve">   Ryan Williams</v>
      </c>
      <c r="AY249" s="3" t="str">
        <f t="shared" si="18"/>
        <v xml:space="preserve">   Ryan Williams</v>
      </c>
      <c r="AZ249" s="3"/>
      <c r="BA249" s="24">
        <f>AK249*(1-(_xlfn.XLOOKUP(G249, Exchange_Rates!$B$8:$F$8, Exchange_Rates!$B$9:$F$9, 0)+J249))</f>
        <v>1734.5145600000001</v>
      </c>
      <c r="BB249" s="7" cm="1">
        <f t="array" ref="BB249">_xlfn.LET(
  _xlpm.raw_dt, SUBSTITUTE(TRIM(C249), ".", "/"),
  _xlpm.dt, IFERROR(DATEVALUE(_xlpm.raw_dt), C249),
  _xlpm.p_code, TRIM(E249),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46815</v>
      </c>
      <c r="BC249" s="25">
        <f t="shared" si="19"/>
        <v>0</v>
      </c>
    </row>
    <row r="250" spans="1:55" ht="15.75" thickBot="1" x14ac:dyDescent="0.3">
      <c r="A250" s="3" t="s">
        <v>4091</v>
      </c>
      <c r="B250" s="10">
        <v>45844</v>
      </c>
      <c r="C250" s="4">
        <v>45855</v>
      </c>
      <c r="D250" s="3" t="str">
        <f>"P-" &amp; TEXT(VALUE(SUBSTITUTE(SUBSTITUTE(SUBSTITUTE(UPPER(TRIM('Sales_RAW(BEFORE)'!D258)), "P", ""), "-", ""), "_", "")),"000")</f>
        <v>P-030</v>
      </c>
      <c r="E250" s="3" t="str">
        <f>VLOOKUP(D250,Product_List!$A$2:$B$61,2,FALSE)</f>
        <v>License Pro 30</v>
      </c>
      <c r="F250" s="3" t="str">
        <f>_xlfn.XLOOKUP(E250,Product_List!$B$2:$B$61,Product_List!$E$2:$E$61,2)</f>
        <v>BestParts</v>
      </c>
      <c r="G250" s="3" t="str">
        <f>VLOOKUP(E250,Product_List!$B$2:$C$61,2,FALSE)</f>
        <v>Office</v>
      </c>
      <c r="H250" s="3" t="str">
        <f>SUBSTITUTE(SUBSTITUTE('Sales_RAW(BEFORE)'!G258,"kom",""),".","")</f>
        <v xml:space="preserve">3 </v>
      </c>
      <c r="I250" s="6">
        <f>VLOOKUP(E250,Product_List!$B$2:$D$61,3,FALSE)</f>
        <v>676.54</v>
      </c>
      <c r="J250" s="5">
        <f>IF(IFERROR(VALUE(SUBSTITUTE(SUBSTITUTE(TRIM('Sales_RAW(BEFORE)'!I258), "%", ""), ",", ".")), 0) &gt; 1, IFERROR(VALUE(SUBSTITUTE(SUBSTITUTE(TRIM('Sales_RAW(BEFORE)'!I258), "%", ""), ",", ".")), 0) / 100, IFERROR(VALUE(SUBSTITUTE(SUBSTITUTE(TRIM('Sales_RAW(BEFORE)'!I258), "%", ""), ",", ".")), 0))</f>
        <v>0</v>
      </c>
      <c r="K250" s="6">
        <f t="shared" si="15"/>
        <v>2029.62</v>
      </c>
      <c r="L250" s="6" t="str" cm="1">
        <f t="array" ref="L250">_xlfn.LET(
  _xlpm.valuta, UPPER(TRIM('Sales_RAW(BEFORE)'!K258)),
  _xlfn.IFS(
    _xlpm.valuta = "", "",
    OR(_xlpm.valuta = "USD", _xlpm.valuta = "$"), "$",
    OR(_xlpm.valuta = "EUR", _xlpm.valuta = "€"), "€",
    TRUE, _xlpm.valuta
  )
)</f>
        <v>$</v>
      </c>
      <c r="M250" s="3" t="str">
        <f>"E" &amp; TEXT(VALUE(SUBSTITUTE(SUBSTITUTE(SUBSTITUTE(UPPER(TRIM('Sales_RAW(BEFORE)'!L258)), "EMP", ""), "E", ""), "-", "")),"000")</f>
        <v>E023</v>
      </c>
      <c r="N250" s="3" t="str">
        <f>_xlfn.XLOOKUP(M250,Employees!$D$2:$D$26,Employees!$A$2:$A$26)</f>
        <v>Laura Anderson</v>
      </c>
      <c r="O250" s="3" t="str">
        <f>_xlfn.XLOOKUP(N250,Employees!$A$2:$A$26,Employees!$C$2:$C$26,2)</f>
        <v>Sales</v>
      </c>
      <c r="P250" s="3" t="str">
        <f>PROPER('Sales_RAW(BEFORE)'!N258)</f>
        <v>North</v>
      </c>
      <c r="Q250" s="3" t="str">
        <f>VLOOKUP(N250,Employees!$A$2:$B$26,2,FALSE)</f>
        <v>Seattle</v>
      </c>
      <c r="R250" s="3" t="str">
        <f>PROPER('Sales_RAW(BEFORE)'!P258)</f>
        <v>Wayne Llc</v>
      </c>
      <c r="S250" s="3" t="str">
        <f>SUBSTITUTE(SUBSTITUTE('Sales_RAW(BEFORE)'!Q258,"EIN",""),":","")</f>
        <v xml:space="preserve"> 245111362</v>
      </c>
      <c r="T250" s="3" t="s">
        <v>484</v>
      </c>
      <c r="U250" s="3" t="s">
        <v>4099</v>
      </c>
      <c r="V250" s="3" t="s">
        <v>4100</v>
      </c>
      <c r="W250" s="3" t="s">
        <v>4101</v>
      </c>
      <c r="X250" s="3" t="s">
        <v>173</v>
      </c>
      <c r="Y250" s="3" t="str">
        <f>PROPER('Sales_RAW(BEFORE)'!W258)</f>
        <v>Credit Card</v>
      </c>
      <c r="Z250" s="3" t="str">
        <f>PROPER('Sales_RAW(BEFORE)'!X258)</f>
        <v>Pending</v>
      </c>
      <c r="AA250" s="3" t="str" cm="1">
        <f t="array" ref="AA250">_xlfn.LET(
  _xlpm.val, TRIM(LOWER('Sales_RAW(BEFORE)'!Y258)),
  _xlfn.IFS(
    OR(_xlpm.val="yes", _xlpm.val="paid"), "Paid",
    OR(_xlpm.val="no", _xlpm.val="unpaid"), "Unpaid",
    OR(_xlpm.val="partial", _xlpm.val="partial paid"), "Partial",
    _xlpm.val="", "",
    TRUE, 'Sales_RAW(BEFORE)'!AY258
  )
)</f>
        <v>Paid</v>
      </c>
      <c r="AB250" s="3" t="s">
        <v>4102</v>
      </c>
      <c r="AC250" s="3" t="str">
        <f>PROPER('Sales_RAW(BEFORE)'!AA258)</f>
        <v>Store</v>
      </c>
      <c r="AD250" s="3" t="str">
        <f>SUBSTITUTE(SUBSTITUTE(SUBSTITUTE(SUBSTITUTE('Sales_RAW(BEFORE)'!AB258,"st",""),"q",""),"Q",""),"uarter","")</f>
        <v>4</v>
      </c>
      <c r="AE250" s="3" t="str">
        <f>TEXT(IFERROR(DATEVALUE('Sales_RAW(BEFORE)'!AC258 &amp; " 1"), IFERROR(DATE(2025, 'Sales_RAW(BEFORE)'!AC258, 1), 'Sales_RAW(BEFORE)'!AC258)), "mmmm")</f>
        <v>July</v>
      </c>
      <c r="AF250" s="3">
        <f>_xlfn.LET(
  _xlpm.raw, TRIM(SUBSTITUTE('Sales_RAW(BEFORE)'!AD258, "'", "")),
  _xlpm.num, IFERROR(VALUE(_xlpm.raw), 0),
  IF(_xlpm.num &lt; 100, 2000 + _xlpm.num, _xlpm.num)
)</f>
        <v>2025</v>
      </c>
      <c r="AG250" s="3" t="str">
        <f>PROPER('Sales_RAW(BEFORE)'!AE258)</f>
        <v>Immediate</v>
      </c>
      <c r="AH250" s="3" cm="1">
        <f t="array" ref="AH250">_xlfn.LET(
  _xlpm.val, LOWER(TRIM('Sales_RAW(BEFORE)'!AF258)),
  _xlfn.IFS(
    OR(_xlpm.val="", _xlpm.val="null", _xlpm.val="N/A", _xlpm.val="-", _xlpm.val="#N/A"), 0,
    ISNUMBER('Sales_RAW(BEFORE)'!AF258), 'Sales_RAW(BEFORE)'!AF258,
    TRUE, IFERROR(_xlfn.NUMBERVALUE(_xlpm.val), 0)
  )
)</f>
        <v>45</v>
      </c>
      <c r="AI250" s="5">
        <f>IF(IFERROR(VALUE(SUBSTITUTE(SUBSTITUTE(TRIM('Sales_RAW(BEFORE)'!AG258), "%", ""), ",", ".")), 0) &gt; 1, IFERROR(VALUE(SUBSTITUTE(SUBSTITUTE(TRIM('Sales_RAW(BEFORE)'!AG258), "%", ""), ",", ".")), 0) / 100, IFERROR(VALUE(SUBSTITUTE(SUBSTITUTE(TRIM('Sales_RAW(BEFORE)'!AG258), "%", ""), ",", ".")), 0))</f>
        <v>0.08</v>
      </c>
      <c r="AJ250" s="6">
        <f t="shared" si="16"/>
        <v>162.36959999999999</v>
      </c>
      <c r="AK250" s="6">
        <f t="shared" si="17"/>
        <v>2191.9895999999999</v>
      </c>
      <c r="AL250" s="6">
        <f>IFERROR(VALUE(SUBSTITUTE(SUBSTITUTE(SUBSTITUTE('Sales_RAW(BEFORE)'!AJ258,"$",""),"USD",""),",",".")),0)</f>
        <v>13.14</v>
      </c>
      <c r="AM250" s="3" t="str">
        <f>SUBSTITUTE(SUBSTITUTE(PROPER('Sales_RAW(BEFORE)'!AK258), "Fed Ex", "FedEx"),"Fedex","FedEx")</f>
        <v>Dhl</v>
      </c>
      <c r="AN250" s="3" t="s">
        <v>4103</v>
      </c>
      <c r="AO250" s="3" t="str">
        <f>SUBSTITUTE('Sales_RAW(BEFORE)'!AM258,"kg","")</f>
        <v>28.73</v>
      </c>
      <c r="AP250" s="3" t="str">
        <f>_xlfn.LET(
  _xlpm.raw, UPPER(TRIM('Sales_RAW(BEFORE)'!AN258)),
  _xlpm.clean, RIGHT(_xlpm.raw, 1),
  IF(OR(_xlpm.raw="", _xlpm.raw="null"), "N/A", _xlpm.clean)
)</f>
        <v>A</v>
      </c>
      <c r="AQ250" s="3">
        <v>59</v>
      </c>
      <c r="AR250" s="3" cm="1">
        <f t="array" ref="AR250">_xlfn.LET(
  _xlpm.raw, LOWER(TRIM('Sales_RAW(BEFORE)'!AP258)),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250" s="3"/>
      <c r="AT250" s="3"/>
      <c r="AU250" s="3"/>
      <c r="AV250" s="8">
        <f>IF(IFERROR(VALUE(SUBSTITUTE(SUBSTITUTE(TRIM('Sales_RAW(BEFORE)'!AT258), "%", ""), ",", ".")), 0) &gt; 1, IFERROR(VALUE(SUBSTITUTE(SUBSTITUTE(TRIM('Sales_RAW(BEFORE)'!AT258), "%", ""), ",", ".")), 0) / 100, IFERROR(VALUE(SUBSTITUTE(SUBSTITUTE(TRIM('Sales_RAW(BEFORE)'!AT258), "%", ""), ",", ".")), 0))</f>
        <v>0.25</v>
      </c>
      <c r="AW250" s="6">
        <f>BA250*(_xlfn.XLOOKUP(N250,Employees!$A$2:$A$26,Employees!$E$2:$E$26,2))</f>
        <v>39.455812799999997</v>
      </c>
      <c r="AX250" s="3" t="str">
        <f>PROPER('Sales_RAW(BEFORE)'!AV258)</f>
        <v xml:space="preserve">   John Anderson</v>
      </c>
      <c r="AY250" s="3" t="str">
        <f t="shared" si="18"/>
        <v xml:space="preserve">   John Anderson</v>
      </c>
      <c r="AZ250" s="3"/>
      <c r="BA250" s="24">
        <f>AK250*(1-(_xlfn.XLOOKUP(G250, Exchange_Rates!$B$8:$F$8, Exchange_Rates!$B$9:$F$9, 0)+J250))</f>
        <v>1972.7906399999999</v>
      </c>
      <c r="BB250" s="7" cm="1">
        <f t="array" ref="BB250">_xlfn.LET(
  _xlpm.raw_dt, SUBSTITUTE(TRIM(C250), ".", "/"),
  _xlpm.dt, IFERROR(DATEVALUE(_xlpm.raw_dt), C250),
  _xlpm.p_code, TRIM(E250),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46585</v>
      </c>
      <c r="BC250" s="25">
        <f t="shared" si="19"/>
        <v>493.19765999999998</v>
      </c>
    </row>
    <row r="251" spans="1:55" ht="15.75" thickBot="1" x14ac:dyDescent="0.3">
      <c r="A251" s="3" t="s">
        <v>4105</v>
      </c>
      <c r="B251" s="10">
        <v>45854</v>
      </c>
      <c r="C251" s="4">
        <v>45858</v>
      </c>
      <c r="D251" s="3" t="str">
        <f>"P-" &amp; TEXT(VALUE(SUBSTITUTE(SUBSTITUTE(SUBSTITUTE(UPPER(TRIM('Sales_RAW(BEFORE)'!D259)), "P", ""), "-", ""), "_", "")),"000")</f>
        <v>P-035</v>
      </c>
      <c r="E251" s="3" t="str">
        <f>VLOOKUP(D251,Product_List!$A$2:$B$61,2,FALSE)</f>
        <v>Headphones X 35</v>
      </c>
      <c r="F251" s="3" t="str">
        <f>_xlfn.XLOOKUP(E251,Product_List!$B$2:$B$61,Product_List!$E$2:$E$61,2)</f>
        <v>BestParts</v>
      </c>
      <c r="G251" s="3" t="str">
        <f>VLOOKUP(E251,Product_List!$B$2:$C$61,2,FALSE)</f>
        <v>Furniture</v>
      </c>
      <c r="H251" s="3" t="str">
        <f>SUBSTITUTE(SUBSTITUTE('Sales_RAW(BEFORE)'!G259,"kom",""),".","")</f>
        <v xml:space="preserve">12 </v>
      </c>
      <c r="I251" s="6">
        <f>VLOOKUP(E251,Product_List!$B$2:$D$61,3,FALSE)</f>
        <v>426.49</v>
      </c>
      <c r="J251" s="5">
        <f>IF(IFERROR(VALUE(SUBSTITUTE(SUBSTITUTE(TRIM('Sales_RAW(BEFORE)'!I259), "%", ""), ",", ".")), 0) &gt; 1, IFERROR(VALUE(SUBSTITUTE(SUBSTITUTE(TRIM('Sales_RAW(BEFORE)'!I259), "%", ""), ",", ".")), 0) / 100, IFERROR(VALUE(SUBSTITUTE(SUBSTITUTE(TRIM('Sales_RAW(BEFORE)'!I259), "%", ""), ",", ".")), 0))</f>
        <v>0</v>
      </c>
      <c r="K251" s="6">
        <f t="shared" si="15"/>
        <v>5117.88</v>
      </c>
      <c r="L251" s="6" t="str" cm="1">
        <f t="array" ref="L251">_xlfn.LET(
  _xlpm.valuta, UPPER(TRIM('Sales_RAW(BEFORE)'!K259)),
  _xlfn.IFS(
    _xlpm.valuta = "", "",
    OR(_xlpm.valuta = "USD", _xlpm.valuta = "$"), "$",
    OR(_xlpm.valuta = "EUR", _xlpm.valuta = "€"), "€",
    TRUE, _xlpm.valuta
  )
)</f>
        <v>$</v>
      </c>
      <c r="M251" s="3" t="str">
        <f>"E" &amp; TEXT(VALUE(SUBSTITUTE(SUBSTITUTE(SUBSTITUTE(UPPER(TRIM('Sales_RAW(BEFORE)'!L259)), "EMP", ""), "E", ""), "-", "")),"000")</f>
        <v>E004</v>
      </c>
      <c r="N251" s="3" t="str">
        <f>_xlfn.XLOOKUP(M251,Employees!$D$2:$D$26,Employees!$A$2:$A$26)</f>
        <v>Sophia Johnson</v>
      </c>
      <c r="O251" s="3" t="str">
        <f>_xlfn.XLOOKUP(N251,Employees!$A$2:$A$26,Employees!$C$2:$C$26,2)</f>
        <v>Wholesale</v>
      </c>
      <c r="P251" s="3" t="str">
        <f>PROPER('Sales_RAW(BEFORE)'!N259)</f>
        <v>South</v>
      </c>
      <c r="Q251" s="3" t="str">
        <f>VLOOKUP(N251,Employees!$A$2:$B$26,2,FALSE)</f>
        <v>Houston</v>
      </c>
      <c r="R251" s="3" t="str">
        <f>PROPER('Sales_RAW(BEFORE)'!P259)</f>
        <v>Umbrella Inc</v>
      </c>
      <c r="S251" s="3" t="str">
        <f>SUBSTITUTE(SUBSTITUTE('Sales_RAW(BEFORE)'!Q259,"EIN",""),":","")</f>
        <v>459265082</v>
      </c>
      <c r="T251" s="3" t="s">
        <v>378</v>
      </c>
      <c r="U251" s="3" t="s">
        <v>4112</v>
      </c>
      <c r="V251" s="3" t="s">
        <v>4113</v>
      </c>
      <c r="W251" s="3" t="s">
        <v>4114</v>
      </c>
      <c r="X251" s="3" t="s">
        <v>173</v>
      </c>
      <c r="Y251" s="3" t="str">
        <f>PROPER('Sales_RAW(BEFORE)'!W259)</f>
        <v>Paypal</v>
      </c>
      <c r="Z251" s="3" t="str">
        <f>PROPER('Sales_RAW(BEFORE)'!X259)</f>
        <v>Delivered</v>
      </c>
      <c r="AA251" s="3" t="str" cm="1">
        <f t="array" ref="AA251">_xlfn.LET(
  _xlpm.val, TRIM(LOWER('Sales_RAW(BEFORE)'!Y259)),
  _xlfn.IFS(
    OR(_xlpm.val="yes", _xlpm.val="paid"), "Paid",
    OR(_xlpm.val="no", _xlpm.val="unpaid"), "Unpaid",
    OR(_xlpm.val="partial", _xlpm.val="partial paid"), "Partial",
    _xlpm.val="", "",
    TRUE, 'Sales_RAW(BEFORE)'!AY259
  )
)</f>
        <v>Unpaid</v>
      </c>
      <c r="AB251" s="3" t="s">
        <v>4115</v>
      </c>
      <c r="AC251" s="3" t="str">
        <f>PROPER('Sales_RAW(BEFORE)'!AA259)</f>
        <v>Phone</v>
      </c>
      <c r="AD251" s="3" t="str">
        <f>SUBSTITUTE(SUBSTITUTE(SUBSTITUTE(SUBSTITUTE('Sales_RAW(BEFORE)'!AB259,"st",""),"q",""),"Q",""),"uarter","")</f>
        <v xml:space="preserve">1 </v>
      </c>
      <c r="AE251" s="3" t="str">
        <f>TEXT(IFERROR(DATEVALUE('Sales_RAW(BEFORE)'!AC259 &amp; " 1"), IFERROR(DATE(2025, 'Sales_RAW(BEFORE)'!AC259, 1), 'Sales_RAW(BEFORE)'!AC259)), "mmmm")</f>
        <v>July</v>
      </c>
      <c r="AF251" s="3">
        <f>_xlfn.LET(
  _xlpm.raw, TRIM(SUBSTITUTE('Sales_RAW(BEFORE)'!AD259, "'", "")),
  _xlpm.num, IFERROR(VALUE(_xlpm.raw), 0),
  IF(_xlpm.num &lt; 100, 2000 + _xlpm.num, _xlpm.num)
)</f>
        <v>2025</v>
      </c>
      <c r="AG251" s="3" t="str">
        <f>PROPER('Sales_RAW(BEFORE)'!AE259)</f>
        <v>Immediate</v>
      </c>
      <c r="AH251" s="3" cm="1">
        <f t="array" ref="AH251">_xlfn.LET(
  _xlpm.val, LOWER(TRIM('Sales_RAW(BEFORE)'!AF259)),
  _xlfn.IFS(
    OR(_xlpm.val="", _xlpm.val="null", _xlpm.val="N/A", _xlpm.val="-", _xlpm.val="#N/A"), 0,
    ISNUMBER('Sales_RAW(BEFORE)'!AF259), 'Sales_RAW(BEFORE)'!AF259,
    TRUE, IFERROR(_xlfn.NUMBERVALUE(_xlpm.val), 0)
  )
)</f>
        <v>0</v>
      </c>
      <c r="AI251" s="5">
        <f>IF(IFERROR(VALUE(SUBSTITUTE(SUBSTITUTE(TRIM('Sales_RAW(BEFORE)'!AG259), "%", ""), ",", ".")), 0) &gt; 1, IFERROR(VALUE(SUBSTITUTE(SUBSTITUTE(TRIM('Sales_RAW(BEFORE)'!AG259), "%", ""), ",", ".")), 0) / 100, IFERROR(VALUE(SUBSTITUTE(SUBSTITUTE(TRIM('Sales_RAW(BEFORE)'!AG259), "%", ""), ",", ".")), 0))</f>
        <v>0.08</v>
      </c>
      <c r="AJ251" s="6">
        <f t="shared" si="16"/>
        <v>409.43040000000002</v>
      </c>
      <c r="AK251" s="6">
        <f t="shared" si="17"/>
        <v>5527.3104000000003</v>
      </c>
      <c r="AL251" s="6">
        <f>IFERROR(VALUE(SUBSTITUTE(SUBSTITUTE(SUBSTITUTE('Sales_RAW(BEFORE)'!AJ259,"$",""),"USD",""),",",".")),0)</f>
        <v>45</v>
      </c>
      <c r="AM251" s="3" t="str">
        <f>SUBSTITUTE(SUBSTITUTE(PROPER('Sales_RAW(BEFORE)'!AK259), "Fed Ex", "FedEx"),"Fedex","FedEx")</f>
        <v>FedEx</v>
      </c>
      <c r="AN251" s="3" t="s">
        <v>4117</v>
      </c>
      <c r="AO251" s="3" t="str">
        <f>SUBSTITUTE('Sales_RAW(BEFORE)'!AM259,"kg","")</f>
        <v>18.49</v>
      </c>
      <c r="AP251" s="3" t="str">
        <f>_xlfn.LET(
  _xlpm.raw, UPPER(TRIM('Sales_RAW(BEFORE)'!AN259)),
  _xlpm.clean, RIGHT(_xlpm.raw, 1),
  IF(OR(_xlpm.raw="", _xlpm.raw="null"), "N/A", _xlpm.clean)
)</f>
        <v>A</v>
      </c>
      <c r="AQ251" s="3">
        <v>78</v>
      </c>
      <c r="AR251" s="3" t="str" cm="1">
        <f t="array" ref="AR251">_xlfn.LET(
  _xlpm.raw, LOWER(TRIM('Sales_RAW(BEFORE)'!AP259)),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251" s="3"/>
      <c r="AT251" s="3"/>
      <c r="AU251" s="3"/>
      <c r="AV251" s="8">
        <f>IF(IFERROR(VALUE(SUBSTITUTE(SUBSTITUTE(TRIM('Sales_RAW(BEFORE)'!AT259), "%", ""), ",", ".")), 0) &gt; 1, IFERROR(VALUE(SUBSTITUTE(SUBSTITUTE(TRIM('Sales_RAW(BEFORE)'!AT259), "%", ""), ",", ".")), 0) / 100, IFERROR(VALUE(SUBSTITUTE(SUBSTITUTE(TRIM('Sales_RAW(BEFORE)'!AT259), "%", ""), ",", ".")), 0))</f>
        <v>0.15</v>
      </c>
      <c r="AW251" s="6">
        <f>BA251*(_xlfn.XLOOKUP(N251,Employees!$A$2:$A$26,Employees!$E$2:$E$26,2))</f>
        <v>248.72896800000004</v>
      </c>
      <c r="AX251" s="3" t="str">
        <f>PROPER('Sales_RAW(BEFORE)'!AV259)</f>
        <v>Emma Smith</v>
      </c>
      <c r="AY251" s="3" t="str">
        <f t="shared" si="18"/>
        <v>Emma Smith</v>
      </c>
      <c r="AZ251" s="3"/>
      <c r="BA251" s="24">
        <f>AK251*(1-(_xlfn.XLOOKUP(G251, Exchange_Rates!$B$8:$F$8, Exchange_Rates!$B$9:$F$9, 0)+J251))</f>
        <v>4974.5793600000006</v>
      </c>
      <c r="BB251" s="7" cm="1">
        <f t="array" ref="BB251">_xlfn.LET(
  _xlpm.raw_dt, SUBSTITUTE(TRIM(C251), ".", "/"),
  _xlpm.dt, IFERROR(DATEVALUE(_xlpm.raw_dt), C251),
  _xlpm.p_code, TRIM(E251),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46588</v>
      </c>
      <c r="BC251" s="25">
        <f t="shared" si="19"/>
        <v>746.18690400000003</v>
      </c>
    </row>
    <row r="252" spans="1:55" ht="15.75" thickBot="1" x14ac:dyDescent="0.3">
      <c r="A252" s="3" t="s">
        <v>4118</v>
      </c>
      <c r="B252" s="10">
        <f>DATE(2025,12,2)</f>
        <v>45993</v>
      </c>
      <c r="C252" s="4">
        <v>46003</v>
      </c>
      <c r="D252" s="3" t="str">
        <f>"P-" &amp; TEXT(VALUE(SUBSTITUTE(SUBSTITUTE(SUBSTITUTE(UPPER(TRIM('Sales_RAW(BEFORE)'!D260)), "P", ""), "-", ""), "_", "")),"000")</f>
        <v>P-004</v>
      </c>
      <c r="E252" s="3" t="str">
        <f>VLOOKUP(D252,Product_List!$A$2:$B$61,2,FALSE)</f>
        <v>Printer Plus 4</v>
      </c>
      <c r="F252" s="3" t="str">
        <f>_xlfn.XLOOKUP(E252,Product_List!$B$2:$B$61,Product_List!$E$2:$E$61,2)</f>
        <v>OfficeHub</v>
      </c>
      <c r="G252" s="3" t="str">
        <f>VLOOKUP(E252,Product_List!$B$2:$C$61,2,FALSE)</f>
        <v>Electronics</v>
      </c>
      <c r="H252" s="3" t="str">
        <f>SUBSTITUTE(SUBSTITUTE('Sales_RAW(BEFORE)'!G260,"kom",""),".","")</f>
        <v xml:space="preserve">24 </v>
      </c>
      <c r="I252" s="6">
        <f>VLOOKUP(E252,Product_List!$B$2:$D$61,3,FALSE)</f>
        <v>364.79</v>
      </c>
      <c r="J252" s="5">
        <f>IF(IFERROR(VALUE(SUBSTITUTE(SUBSTITUTE(TRIM('Sales_RAW(BEFORE)'!I260), "%", ""), ",", ".")), 0) &gt; 1, IFERROR(VALUE(SUBSTITUTE(SUBSTITUTE(TRIM('Sales_RAW(BEFORE)'!I260), "%", ""), ",", ".")), 0) / 100, IFERROR(VALUE(SUBSTITUTE(SUBSTITUTE(TRIM('Sales_RAW(BEFORE)'!I260), "%", ""), ",", ".")), 0))</f>
        <v>0.05</v>
      </c>
      <c r="K252" s="6">
        <f t="shared" si="15"/>
        <v>8754.9600000000009</v>
      </c>
      <c r="L252" s="6" t="str" cm="1">
        <f t="array" ref="L252">_xlfn.LET(
  _xlpm.valuta, UPPER(TRIM('Sales_RAW(BEFORE)'!K260)),
  _xlfn.IFS(
    _xlpm.valuta = "", "",
    OR(_xlpm.valuta = "USD", _xlpm.valuta = "$"), "$",
    OR(_xlpm.valuta = "EUR", _xlpm.valuta = "€"), "€",
    TRUE, _xlpm.valuta
  )
)</f>
        <v>$</v>
      </c>
      <c r="M252" s="3" t="str">
        <f>"E" &amp; TEXT(VALUE(SUBSTITUTE(SUBSTITUTE(SUBSTITUTE(UPPER(TRIM('Sales_RAW(BEFORE)'!L260)), "EMP", ""), "E", ""), "-", "")),"000")</f>
        <v>E017</v>
      </c>
      <c r="N252" s="3" t="str">
        <f>_xlfn.XLOOKUP(M252,Employees!$D$2:$D$26,Employees!$A$2:$A$26)</f>
        <v>Robert Davis</v>
      </c>
      <c r="O252" s="3" t="str">
        <f>_xlfn.XLOOKUP(N252,Employees!$A$2:$A$26,Employees!$C$2:$C$26,2)</f>
        <v>Wholesale</v>
      </c>
      <c r="P252" s="3" t="str">
        <f>PROPER('Sales_RAW(BEFORE)'!N260)</f>
        <v>North</v>
      </c>
      <c r="Q252" s="3" t="str">
        <f>VLOOKUP(N252,Employees!$A$2:$B$26,2,FALSE)</f>
        <v>Miami</v>
      </c>
      <c r="R252" s="3" t="str">
        <f>PROPER('Sales_RAW(BEFORE)'!P260)</f>
        <v xml:space="preserve">  Initech Llc</v>
      </c>
      <c r="S252" s="3" t="str">
        <f>SUBSTITUTE(SUBSTITUTE('Sales_RAW(BEFORE)'!Q260,"EIN",""),":","")</f>
        <v>673589146</v>
      </c>
      <c r="T252" s="3" t="s">
        <v>66</v>
      </c>
      <c r="U252" s="3" t="s">
        <v>4125</v>
      </c>
      <c r="V252" s="3" t="s">
        <v>4126</v>
      </c>
      <c r="W252" s="3" t="s">
        <v>4127</v>
      </c>
      <c r="X252" s="3" t="s">
        <v>173</v>
      </c>
      <c r="Y252" s="3" t="str">
        <f>PROPER('Sales_RAW(BEFORE)'!W260)</f>
        <v>Wire Transfer</v>
      </c>
      <c r="Z252" s="3" t="str">
        <f>PROPER('Sales_RAW(BEFORE)'!X260)</f>
        <v>Cancelled</v>
      </c>
      <c r="AA252" s="3" t="str" cm="1">
        <f t="array" ref="AA252">_xlfn.LET(
  _xlpm.val, TRIM(LOWER('Sales_RAW(BEFORE)'!Y260)),
  _xlfn.IFS(
    OR(_xlpm.val="yes", _xlpm.val="paid"), "Paid",
    OR(_xlpm.val="no", _xlpm.val="unpaid"), "Unpaid",
    OR(_xlpm.val="partial", _xlpm.val="partial paid"), "Partial",
    _xlpm.val="", "",
    TRUE, 'Sales_RAW(BEFORE)'!AY260
  )
)</f>
        <v>Partial</v>
      </c>
      <c r="AB252" s="3" t="s">
        <v>4128</v>
      </c>
      <c r="AC252" s="3" t="str">
        <f>PROPER('Sales_RAW(BEFORE)'!AA260)</f>
        <v>Web</v>
      </c>
      <c r="AD252" s="3" t="str">
        <f>SUBSTITUTE(SUBSTITUTE(SUBSTITUTE(SUBSTITUTE('Sales_RAW(BEFORE)'!AB260,"st",""),"q",""),"Q",""),"uarter","")</f>
        <v>4</v>
      </c>
      <c r="AE252" s="3" t="str">
        <f>TEXT(IFERROR(DATEVALUE('Sales_RAW(BEFORE)'!AC260 &amp; " 1"), IFERROR(DATE(2025, 'Sales_RAW(BEFORE)'!AC260, 1), 'Sales_RAW(BEFORE)'!AC260)), "mmmm")</f>
        <v>December</v>
      </c>
      <c r="AF252" s="3">
        <f>_xlfn.LET(
  _xlpm.raw, TRIM(SUBSTITUTE('Sales_RAW(BEFORE)'!AD260, "'", "")),
  _xlpm.num, IFERROR(VALUE(_xlpm.raw), 0),
  IF(_xlpm.num &lt; 100, 2000 + _xlpm.num, _xlpm.num)
)</f>
        <v>2025</v>
      </c>
      <c r="AG252" s="3" t="str">
        <f>PROPER('Sales_RAW(BEFORE)'!AE260)</f>
        <v>Net 60</v>
      </c>
      <c r="AH252" s="3" cm="1">
        <f t="array" ref="AH252">_xlfn.LET(
  _xlpm.val, LOWER(TRIM('Sales_RAW(BEFORE)'!AF260)),
  _xlfn.IFS(
    OR(_xlpm.val="", _xlpm.val="null", _xlpm.val="N/A", _xlpm.val="-", _xlpm.val="#N/A"), 0,
    ISNUMBER('Sales_RAW(BEFORE)'!AF260), 'Sales_RAW(BEFORE)'!AF260,
    TRUE, IFERROR(_xlfn.NUMBERVALUE(_xlpm.val), 0)
  )
)</f>
        <v>34</v>
      </c>
      <c r="AI252" s="5">
        <f>IF(IFERROR(VALUE(SUBSTITUTE(SUBSTITUTE(TRIM('Sales_RAW(BEFORE)'!AG260), "%", ""), ",", ".")), 0) &gt; 1, IFERROR(VALUE(SUBSTITUTE(SUBSTITUTE(TRIM('Sales_RAW(BEFORE)'!AG260), "%", ""), ",", ".")), 0) / 100, IFERROR(VALUE(SUBSTITUTE(SUBSTITUTE(TRIM('Sales_RAW(BEFORE)'!AG260), "%", ""), ",", ".")), 0))</f>
        <v>0.08</v>
      </c>
      <c r="AJ252" s="6">
        <f t="shared" si="16"/>
        <v>700.3968000000001</v>
      </c>
      <c r="AK252" s="6">
        <f t="shared" si="17"/>
        <v>9455.3568000000014</v>
      </c>
      <c r="AL252" s="6">
        <f>IFERROR(VALUE(SUBSTITUTE(SUBSTITUTE(SUBSTITUTE('Sales_RAW(BEFORE)'!AJ260,"$",""),"USD",""),",",".")),0)</f>
        <v>0</v>
      </c>
      <c r="AM252" s="3" t="str">
        <f>SUBSTITUTE(SUBSTITUTE(PROPER('Sales_RAW(BEFORE)'!AK260), "Fed Ex", "FedEx"),"Fedex","FedEx")</f>
        <v>Dhl</v>
      </c>
      <c r="AN252" s="3" t="s">
        <v>4129</v>
      </c>
      <c r="AO252" s="3" t="str">
        <f>SUBSTITUTE('Sales_RAW(BEFORE)'!AM260,"kg","")</f>
        <v>7.38</v>
      </c>
      <c r="AP252" s="3" t="str">
        <f>_xlfn.LET(
  _xlpm.raw, UPPER(TRIM('Sales_RAW(BEFORE)'!AN260)),
  _xlpm.clean, RIGHT(_xlpm.raw, 1),
  IF(OR(_xlpm.raw="", _xlpm.raw="null"), "N/A", _xlpm.clean)
)</f>
        <v>B</v>
      </c>
      <c r="AQ252" s="3">
        <v>419</v>
      </c>
      <c r="AR252" s="3" cm="1">
        <f t="array" ref="AR252">_xlfn.LET(
  _xlpm.raw, LOWER(TRIM('Sales_RAW(BEFORE)'!AP260)),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252" s="3"/>
      <c r="AT252" s="3"/>
      <c r="AU252" s="3"/>
      <c r="AV252" s="8">
        <f>IF(IFERROR(VALUE(SUBSTITUTE(SUBSTITUTE(TRIM('Sales_RAW(BEFORE)'!AT260), "%", ""), ",", ".")), 0) &gt; 1, IFERROR(VALUE(SUBSTITUTE(SUBSTITUTE(TRIM('Sales_RAW(BEFORE)'!AT260), "%", ""), ",", ".")), 0) / 100, IFERROR(VALUE(SUBSTITUTE(SUBSTITUTE(TRIM('Sales_RAW(BEFORE)'!AT260), "%", ""), ",", ".")), 0))</f>
        <v>0.18</v>
      </c>
      <c r="AW252" s="6">
        <f>BA252*(_xlfn.XLOOKUP(N252,Employees!$A$2:$A$26,Employees!$E$2:$E$26,2))</f>
        <v>241.11159840000002</v>
      </c>
      <c r="AX252" s="3" t="str">
        <f>PROPER('Sales_RAW(BEFORE)'!AV260)</f>
        <v xml:space="preserve">Daniel Smith  </v>
      </c>
      <c r="AY252" s="3" t="str">
        <f t="shared" si="18"/>
        <v xml:space="preserve">Daniel Smith  </v>
      </c>
      <c r="AZ252" s="3"/>
      <c r="BA252" s="24">
        <f>AK252*(1-(_xlfn.XLOOKUP(G252, Exchange_Rates!$B$8:$F$8, Exchange_Rates!$B$9:$F$9, 0)+J252))</f>
        <v>8037.053280000001</v>
      </c>
      <c r="BB252" s="7" cm="1">
        <f t="array" ref="BB252">_xlfn.LET(
  _xlpm.raw_dt, SUBSTITUTE(TRIM(C252), ".", "/"),
  _xlpm.dt, IFERROR(DATEVALUE(_xlpm.raw_dt), C252),
  _xlpm.p_code, TRIM(E252),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46733</v>
      </c>
      <c r="BC252" s="25">
        <f t="shared" si="19"/>
        <v>1446.6695904000001</v>
      </c>
    </row>
    <row r="253" spans="1:55" ht="15.75" thickBot="1" x14ac:dyDescent="0.3">
      <c r="A253" s="3" t="s">
        <v>4131</v>
      </c>
      <c r="B253" s="10">
        <f>DATE(2026,6,4)</f>
        <v>46177</v>
      </c>
      <c r="C253" s="4" t="s">
        <v>142</v>
      </c>
      <c r="D253" s="3" t="str">
        <f>"P-" &amp; TEXT(VALUE(SUBSTITUTE(SUBSTITUTE(SUBSTITUTE(UPPER(TRIM('Sales_RAW(BEFORE)'!D261)), "P", ""), "-", ""), "_", "")),"000")</f>
        <v>P-056</v>
      </c>
      <c r="E253" s="3" t="str">
        <f>VLOOKUP(D253,Product_List!$A$2:$B$61,2,FALSE)</f>
        <v>Keyboard X 56</v>
      </c>
      <c r="F253" s="3" t="str">
        <f>_xlfn.XLOOKUP(E253,Product_List!$B$2:$B$61,Product_List!$E$2:$E$61,2)</f>
        <v>OfficeHub</v>
      </c>
      <c r="G253" s="3" t="str">
        <f>VLOOKUP(E253,Product_List!$B$2:$C$61,2,FALSE)</f>
        <v>Software</v>
      </c>
      <c r="H253" s="3" t="str">
        <f>SUBSTITUTE(SUBSTITUTE('Sales_RAW(BEFORE)'!G261,"kom",""),".","")</f>
        <v xml:space="preserve">6 </v>
      </c>
      <c r="I253" s="6">
        <f>VLOOKUP(E253,Product_List!$B$2:$D$61,3,FALSE)</f>
        <v>1111.1099999999999</v>
      </c>
      <c r="J253" s="5">
        <f>IF(IFERROR(VALUE(SUBSTITUTE(SUBSTITUTE(TRIM('Sales_RAW(BEFORE)'!I261), "%", ""), ",", ".")), 0) &gt; 1, IFERROR(VALUE(SUBSTITUTE(SUBSTITUTE(TRIM('Sales_RAW(BEFORE)'!I261), "%", ""), ",", ".")), 0) / 100, IFERROR(VALUE(SUBSTITUTE(SUBSTITUTE(TRIM('Sales_RAW(BEFORE)'!I261), "%", ""), ",", ".")), 0))</f>
        <v>0.1</v>
      </c>
      <c r="K253" s="6">
        <f>(H253*I253)/(HLOOKUP(AE253,Exchange_Rates!$B$1:$M$2,2,FALSE))</f>
        <v>7199.4168466522669</v>
      </c>
      <c r="L253" s="6" t="str" cm="1">
        <f t="array" ref="L253">_xlfn.LET(
  _xlpm.valuta, UPPER(TRIM('Sales_RAW(BEFORE)'!K261)),
  _xlfn.IFS(
    _xlpm.valuta = "", "",
    OR(_xlpm.valuta = "USD", _xlpm.valuta = "$"), "$",
    OR(_xlpm.valuta = "EUR", _xlpm.valuta = "€"), "€",
    TRUE, _xlpm.valuta
  )
)</f>
        <v>€</v>
      </c>
      <c r="M253" s="3" t="str">
        <f>"E" &amp; TEXT(VALUE(SUBSTITUTE(SUBSTITUTE(SUBSTITUTE(UPPER(TRIM('Sales_RAW(BEFORE)'!L261)), "EMP", ""), "E", ""), "-", "")),"000")</f>
        <v>E014</v>
      </c>
      <c r="N253" s="3" t="str">
        <f>_xlfn.XLOOKUP(M253,Employees!$D$2:$D$26,Employees!$A$2:$A$26)</f>
        <v>Sophia Brown</v>
      </c>
      <c r="O253" s="3" t="str">
        <f>_xlfn.XLOOKUP(N253,Employees!$A$2:$A$26,Employees!$C$2:$C$26,2)</f>
        <v>Online</v>
      </c>
      <c r="P253" s="3" t="str">
        <f>PROPER('Sales_RAW(BEFORE)'!N261)</f>
        <v>South</v>
      </c>
      <c r="Q253" s="3" t="str">
        <f>VLOOKUP(N253,Employees!$A$2:$B$26,2,FALSE)</f>
        <v>New York</v>
      </c>
      <c r="R253" s="3" t="str">
        <f>PROPER('Sales_RAW(BEFORE)'!P261)</f>
        <v xml:space="preserve"> Vortex Llc</v>
      </c>
      <c r="S253" s="3" t="str">
        <f>SUBSTITUTE(SUBSTITUTE('Sales_RAW(BEFORE)'!Q261,"EIN",""),":","")</f>
        <v xml:space="preserve"> 853703743</v>
      </c>
      <c r="T253" s="3" t="s">
        <v>134</v>
      </c>
      <c r="U253" s="3" t="s">
        <v>4137</v>
      </c>
      <c r="V253" s="3" t="s">
        <v>4138</v>
      </c>
      <c r="W253" s="3" t="s">
        <v>4139</v>
      </c>
      <c r="X253" s="3" t="s">
        <v>173</v>
      </c>
      <c r="Y253" s="3" t="str">
        <f>PROPER('Sales_RAW(BEFORE)'!W261)</f>
        <v>Paypal</v>
      </c>
      <c r="Z253" s="3" t="str">
        <f>PROPER('Sales_RAW(BEFORE)'!X261)</f>
        <v>Delivered</v>
      </c>
      <c r="AA253" s="3" t="str" cm="1">
        <f t="array" ref="AA253">_xlfn.LET(
  _xlpm.val, TRIM(LOWER('Sales_RAW(BEFORE)'!Y261)),
  _xlfn.IFS(
    OR(_xlpm.val="yes", _xlpm.val="paid"), "Paid",
    OR(_xlpm.val="no", _xlpm.val="unpaid"), "Unpaid",
    OR(_xlpm.val="partial", _xlpm.val="partial paid"), "Partial",
    _xlpm.val="", "",
    TRUE, 'Sales_RAW(BEFORE)'!AY261
  )
)</f>
        <v>Unpaid</v>
      </c>
      <c r="AB253" s="3" t="s">
        <v>4140</v>
      </c>
      <c r="AC253" s="3" t="str">
        <f>PROPER('Sales_RAW(BEFORE)'!AA261)</f>
        <v>Store</v>
      </c>
      <c r="AD253" s="3" t="str">
        <f>SUBSTITUTE(SUBSTITUTE(SUBSTITUTE(SUBSTITUTE('Sales_RAW(BEFORE)'!AB261,"st",""),"q",""),"Q",""),"uarter","")</f>
        <v>4</v>
      </c>
      <c r="AE253" s="3" t="str">
        <f>TEXT(IFERROR(DATEVALUE('Sales_RAW(BEFORE)'!AC261 &amp; " 1"), IFERROR(DATE(2025, 'Sales_RAW(BEFORE)'!AC261, 1), 'Sales_RAW(BEFORE)'!AC261)), "mmmm")</f>
        <v>June</v>
      </c>
      <c r="AF253" s="3">
        <f>_xlfn.LET(
  _xlpm.raw, TRIM(SUBSTITUTE('Sales_RAW(BEFORE)'!AD261, "'", "")),
  _xlpm.num, IFERROR(VALUE(_xlpm.raw), 0),
  IF(_xlpm.num &lt; 100, 2000 + _xlpm.num, _xlpm.num)
)</f>
        <v>2026</v>
      </c>
      <c r="AG253" s="3" t="str">
        <f>PROPER('Sales_RAW(BEFORE)'!AE261)</f>
        <v>Net 30</v>
      </c>
      <c r="AH253" s="3" cm="1">
        <f t="array" ref="AH253">_xlfn.LET(
  _xlpm.val, LOWER(TRIM('Sales_RAW(BEFORE)'!AF261)),
  _xlfn.IFS(
    OR(_xlpm.val="", _xlpm.val="null", _xlpm.val="N/A", _xlpm.val="-", _xlpm.val="#N/A"), 0,
    ISNUMBER('Sales_RAW(BEFORE)'!AF261), 'Sales_RAW(BEFORE)'!AF261,
    TRUE, IFERROR(_xlfn.NUMBERVALUE(_xlpm.val), 0)
  )
)</f>
        <v>0</v>
      </c>
      <c r="AI253" s="5">
        <f>IF(IFERROR(VALUE(SUBSTITUTE(SUBSTITUTE(TRIM('Sales_RAW(BEFORE)'!AG261), "%", ""), ",", ".")), 0) &gt; 1, IFERROR(VALUE(SUBSTITUTE(SUBSTITUTE(TRIM('Sales_RAW(BEFORE)'!AG261), "%", ""), ",", ".")), 0) / 100, IFERROR(VALUE(SUBSTITUTE(SUBSTITUTE(TRIM('Sales_RAW(BEFORE)'!AG261), "%", ""), ",", ".")), 0))</f>
        <v>0.08</v>
      </c>
      <c r="AJ253" s="6">
        <f t="shared" ref="AJ253:AJ315" si="20">K253*AI253</f>
        <v>575.95334773218133</v>
      </c>
      <c r="AK253" s="6">
        <f t="shared" ref="AK253:AK315" si="21">AJ253+K253</f>
        <v>7775.370194384448</v>
      </c>
      <c r="AL253" s="6">
        <f>IFERROR(VALUE(SUBSTITUTE(SUBSTITUTE(SUBSTITUTE('Sales_RAW(BEFORE)'!AJ261,"$",""),"USD",""),",",".")),0)</f>
        <v>17</v>
      </c>
      <c r="AM253" s="3" t="str">
        <f>SUBSTITUTE(SUBSTITUTE(PROPER('Sales_RAW(BEFORE)'!AK261), "Fed Ex", "FedEx"),"Fedex","FedEx")</f>
        <v>Dhl</v>
      </c>
      <c r="AN253" s="3" t="s">
        <v>4141</v>
      </c>
      <c r="AO253" s="3" t="str">
        <f>SUBSTITUTE('Sales_RAW(BEFORE)'!AM261,"kg","")</f>
        <v>16,31</v>
      </c>
      <c r="AP253" s="3" t="str">
        <f>_xlfn.LET(
  _xlpm.raw, UPPER(TRIM('Sales_RAW(BEFORE)'!AN261)),
  _xlpm.clean, RIGHT(_xlpm.raw, 1),
  IF(OR(_xlpm.raw="", _xlpm.raw="null"), "N/A", _xlpm.clean)
)</f>
        <v>A</v>
      </c>
      <c r="AQ253" s="3">
        <v>118</v>
      </c>
      <c r="AR253" s="3" t="str" cm="1">
        <f t="array" ref="AR253">_xlfn.LET(
  _xlpm.raw, LOWER(TRIM('Sales_RAW(BEFORE)'!AP261)),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253" s="3"/>
      <c r="AT253" s="3"/>
      <c r="AU253" s="3"/>
      <c r="AV253" s="8">
        <f>IF(IFERROR(VALUE(SUBSTITUTE(SUBSTITUTE(TRIM('Sales_RAW(BEFORE)'!AT261), "%", ""), ",", ".")), 0) &gt; 1, IFERROR(VALUE(SUBSTITUTE(SUBSTITUTE(TRIM('Sales_RAW(BEFORE)'!AT261), "%", ""), ",", ".")), 0) / 100, IFERROR(VALUE(SUBSTITUTE(SUBSTITUTE(TRIM('Sales_RAW(BEFORE)'!AT261), "%", ""), ",", ".")), 0))</f>
        <v>0.3</v>
      </c>
      <c r="AW253" s="6">
        <f>BA253*(_xlfn.XLOOKUP(N253,Employees!$A$2:$A$26,Employees!$E$2:$E$26,2))</f>
        <v>174.94582937365007</v>
      </c>
      <c r="AX253" s="3" t="str">
        <f>PROPER('Sales_RAW(BEFORE)'!AV261)</f>
        <v xml:space="preserve">   Robert Brown</v>
      </c>
      <c r="AY253" s="3" t="str">
        <f t="shared" si="18"/>
        <v xml:space="preserve">   Robert Brown</v>
      </c>
      <c r="AZ253" s="3"/>
      <c r="BA253" s="24">
        <f>AK253*(1-(_xlfn.XLOOKUP(G253, Exchange_Rates!$B$8:$F$8, Exchange_Rates!$B$9:$F$9, 0)+J253))</f>
        <v>5831.5276457883356</v>
      </c>
      <c r="BB253" s="7" t="str" cm="1">
        <f t="array" ref="BB253">_xlfn.LET(
  _xlpm.raw_dt, SUBSTITUTE(TRIM(C253), ".", "/"),
  _xlpm.dt, IFERROR(DATEVALUE(_xlpm.raw_dt), C253),
  _xlpm.p_code, TRIM(E253),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Empty</v>
      </c>
      <c r="BC253" s="25">
        <f t="shared" si="19"/>
        <v>1749.4582937365005</v>
      </c>
    </row>
    <row r="254" spans="1:55" ht="15.75" thickBot="1" x14ac:dyDescent="0.3">
      <c r="A254" s="3" t="s">
        <v>1680</v>
      </c>
      <c r="B254" s="10">
        <v>46176</v>
      </c>
      <c r="C254" s="4">
        <v>46240</v>
      </c>
      <c r="D254" s="3" t="str">
        <f>"P-" &amp; TEXT(VALUE(SUBSTITUTE(SUBSTITUTE(SUBSTITUTE(UPPER(TRIM('Sales_RAW(BEFORE)'!D262)), "P", ""), "-", ""), "_", "")),"000")</f>
        <v>P-038</v>
      </c>
      <c r="E254" s="3" t="str">
        <f>VLOOKUP(D254,Product_List!$A$2:$B$61,2,FALSE)</f>
        <v>Cable Max 38</v>
      </c>
      <c r="F254" s="3" t="str">
        <f>_xlfn.XLOOKUP(E254,Product_List!$B$2:$B$61,Product_List!$E$2:$E$61,2)</f>
        <v>TechSupply Co</v>
      </c>
      <c r="G254" s="3" t="str">
        <f>VLOOKUP(E254,Product_List!$B$2:$C$61,2,FALSE)</f>
        <v>Electronics</v>
      </c>
      <c r="H254" s="3" t="str">
        <f>SUBSTITUTE(SUBSTITUTE('Sales_RAW(BEFORE)'!G262,"kom",""),".","")</f>
        <v xml:space="preserve">3 </v>
      </c>
      <c r="I254" s="6">
        <f>VLOOKUP(E254,Product_List!$B$2:$D$61,3,FALSE)</f>
        <v>687.68</v>
      </c>
      <c r="J254" s="5">
        <f>IF(IFERROR(VALUE(SUBSTITUTE(SUBSTITUTE(TRIM('Sales_RAW(BEFORE)'!I262), "%", ""), ",", ".")), 0) &gt; 1, IFERROR(VALUE(SUBSTITUTE(SUBSTITUTE(TRIM('Sales_RAW(BEFORE)'!I262), "%", ""), ",", ".")), 0) / 100, IFERROR(VALUE(SUBSTITUTE(SUBSTITUTE(TRIM('Sales_RAW(BEFORE)'!I262), "%", ""), ",", ".")), 0))</f>
        <v>0.1</v>
      </c>
      <c r="K254" s="6">
        <f t="shared" ref="K254:K315" si="22">IFERROR(H254*I254,0)</f>
        <v>2063.04</v>
      </c>
      <c r="L254" s="6" t="str" cm="1">
        <f t="array" ref="L254">_xlfn.LET(
  _xlpm.valuta, UPPER(TRIM('Sales_RAW(BEFORE)'!K262)),
  _xlfn.IFS(
    _xlpm.valuta = "", "",
    OR(_xlpm.valuta = "USD", _xlpm.valuta = "$"), "$",
    OR(_xlpm.valuta = "EUR", _xlpm.valuta = "€"), "€",
    TRUE, _xlpm.valuta
  )
)</f>
        <v>$</v>
      </c>
      <c r="M254" s="3" t="str">
        <f>"E" &amp; TEXT(VALUE(SUBSTITUTE(SUBSTITUTE(SUBSTITUTE(UPPER(TRIM('Sales_RAW(BEFORE)'!L262)), "EMP", ""), "E", ""), "-", "")),"000")</f>
        <v>E006</v>
      </c>
      <c r="N254" s="3" t="str">
        <f>_xlfn.XLOOKUP(M254,Employees!$D$2:$D$26,Employees!$A$2:$A$26)</f>
        <v>Emily Davis</v>
      </c>
      <c r="O254" s="3" t="str">
        <f>_xlfn.XLOOKUP(N254,Employees!$A$2:$A$26,Employees!$C$2:$C$26,2)</f>
        <v>Retail</v>
      </c>
      <c r="P254" s="3" t="str">
        <f>PROPER('Sales_RAW(BEFORE)'!N262)</f>
        <v>East</v>
      </c>
      <c r="Q254" s="3" t="str">
        <f>VLOOKUP(N254,Employees!$A$2:$B$26,2,FALSE)</f>
        <v>Houston</v>
      </c>
      <c r="R254" s="3" t="str">
        <f>PROPER('Sales_RAW(BEFORE)'!P262)</f>
        <v>Acme Llc</v>
      </c>
      <c r="S254" s="3" t="str">
        <f>SUBSTITUTE(SUBSTITUTE('Sales_RAW(BEFORE)'!Q262,"EIN",""),":","")</f>
        <v xml:space="preserve"> 224975322</v>
      </c>
      <c r="T254" s="3" t="s">
        <v>484</v>
      </c>
      <c r="U254" s="3" t="s">
        <v>1689</v>
      </c>
      <c r="V254" s="3" t="s">
        <v>1690</v>
      </c>
      <c r="W254" s="3" t="s">
        <v>1691</v>
      </c>
      <c r="X254" s="3" t="s">
        <v>173</v>
      </c>
      <c r="Y254" s="3" t="str">
        <f>PROPER('Sales_RAW(BEFORE)'!W262)</f>
        <v>Wire Transfer</v>
      </c>
      <c r="Z254" s="3" t="str">
        <f>PROPER('Sales_RAW(BEFORE)'!X262)</f>
        <v>Pending</v>
      </c>
      <c r="AA254" s="3" t="str" cm="1">
        <f t="array" ref="AA254">_xlfn.LET(
  _xlpm.val, TRIM(LOWER('Sales_RAW(BEFORE)'!Y262)),
  _xlfn.IFS(
    OR(_xlpm.val="yes", _xlpm.val="paid"), "Paid",
    OR(_xlpm.val="no", _xlpm.val="unpaid"), "Unpaid",
    OR(_xlpm.val="partial", _xlpm.val="partial paid"), "Partial",
    _xlpm.val="", "",
    TRUE, 'Sales_RAW(BEFORE)'!AY262
  )
)</f>
        <v>Partial</v>
      </c>
      <c r="AB254" s="3" t="s">
        <v>1692</v>
      </c>
      <c r="AC254" s="3" t="str">
        <f>PROPER('Sales_RAW(BEFORE)'!AA262)</f>
        <v>Store</v>
      </c>
      <c r="AD254" s="3" t="str">
        <f>SUBSTITUTE(SUBSTITUTE(SUBSTITUTE(SUBSTITUTE('Sales_RAW(BEFORE)'!AB262,"st",""),"q",""),"Q",""),"uarter","")</f>
        <v>1</v>
      </c>
      <c r="AE254" s="3" t="str">
        <f>TEXT(IFERROR(DATEVALUE('Sales_RAW(BEFORE)'!AC262 &amp; " 1"), IFERROR(DATE(2025, 'Sales_RAW(BEFORE)'!AC262, 1), 'Sales_RAW(BEFORE)'!AC262)), "mmmm")</f>
        <v>June</v>
      </c>
      <c r="AF254" s="3">
        <f>_xlfn.LET(
  _xlpm.raw, TRIM(SUBSTITUTE('Sales_RAW(BEFORE)'!AD262, "'", "")),
  _xlpm.num, IFERROR(VALUE(_xlpm.raw), 0),
  IF(_xlpm.num &lt; 100, 2000 + _xlpm.num, _xlpm.num)
)</f>
        <v>2026</v>
      </c>
      <c r="AG254" s="3" t="str">
        <f>PROPER('Sales_RAW(BEFORE)'!AE262)</f>
        <v>15</v>
      </c>
      <c r="AH254" s="3" cm="1">
        <f t="array" ref="AH254">_xlfn.LET(
  _xlpm.val, LOWER(TRIM('Sales_RAW(BEFORE)'!AF262)),
  _xlfn.IFS(
    OR(_xlpm.val="", _xlpm.val="null", _xlpm.val="N/A", _xlpm.val="-", _xlpm.val="#N/A"), 0,
    ISNUMBER('Sales_RAW(BEFORE)'!AF262), 'Sales_RAW(BEFORE)'!AF262,
    TRUE, IFERROR(_xlfn.NUMBERVALUE(_xlpm.val), 0)
  )
)</f>
        <v>87</v>
      </c>
      <c r="AI254" s="5">
        <f>IF(IFERROR(VALUE(SUBSTITUTE(SUBSTITUTE(TRIM('Sales_RAW(BEFORE)'!AG262), "%", ""), ",", ".")), 0) &gt; 1, IFERROR(VALUE(SUBSTITUTE(SUBSTITUTE(TRIM('Sales_RAW(BEFORE)'!AG262), "%", ""), ",", ".")), 0) / 100, IFERROR(VALUE(SUBSTITUTE(SUBSTITUTE(TRIM('Sales_RAW(BEFORE)'!AG262), "%", ""), ",", ".")), 0))</f>
        <v>0.08</v>
      </c>
      <c r="AJ254" s="6">
        <f t="shared" si="20"/>
        <v>165.04320000000001</v>
      </c>
      <c r="AK254" s="6">
        <f t="shared" si="21"/>
        <v>2228.0832</v>
      </c>
      <c r="AL254" s="6">
        <f>IFERROR(VALUE(SUBSTITUTE(SUBSTITUTE(SUBSTITUTE('Sales_RAW(BEFORE)'!AJ262,"$",""),"USD",""),",",".")),0)</f>
        <v>24.6</v>
      </c>
      <c r="AM254" s="3" t="str">
        <f>SUBSTITUTE(SUBSTITUTE(PROPER('Sales_RAW(BEFORE)'!AK262), "Fed Ex", "FedEx"),"Fedex","FedEx")</f>
        <v>Dhl</v>
      </c>
      <c r="AN254" s="3" t="s">
        <v>1693</v>
      </c>
      <c r="AO254" s="3" t="str">
        <f>SUBSTITUTE('Sales_RAW(BEFORE)'!AM262,"kg","")</f>
        <v>3,97</v>
      </c>
      <c r="AP254" s="3" t="str">
        <f>_xlfn.LET(
  _xlpm.raw, UPPER(TRIM('Sales_RAW(BEFORE)'!AN262)),
  _xlpm.clean, RIGHT(_xlpm.raw, 1),
  IF(OR(_xlpm.raw="", _xlpm.raw="null"), "N/A", _xlpm.clean)
)</f>
        <v>B</v>
      </c>
      <c r="AQ254" s="3">
        <v>374</v>
      </c>
      <c r="AR254" s="3" cm="1">
        <f t="array" ref="AR254">_xlfn.LET(
  _xlpm.raw, LOWER(TRIM('Sales_RAW(BEFORE)'!AP262)),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254" s="3"/>
      <c r="AT254" s="3"/>
      <c r="AU254" s="3"/>
      <c r="AV254" s="8">
        <f>IF(IFERROR(VALUE(SUBSTITUTE(SUBSTITUTE(TRIM('Sales_RAW(BEFORE)'!AT262), "%", ""), ",", ".")), 0) &gt; 1, IFERROR(VALUE(SUBSTITUTE(SUBSTITUTE(TRIM('Sales_RAW(BEFORE)'!AT262), "%", ""), ",", ".")), 0) / 100, IFERROR(VALUE(SUBSTITUTE(SUBSTITUTE(TRIM('Sales_RAW(BEFORE)'!AT262), "%", ""), ",", ".")), 0))</f>
        <v>0.18</v>
      </c>
      <c r="AW254" s="6">
        <f>BA254*(_xlfn.XLOOKUP(N254,Employees!$A$2:$A$26,Employees!$E$2:$E$26,2))</f>
        <v>89.123328000000015</v>
      </c>
      <c r="AX254" s="3" t="str">
        <f>PROPER('Sales_RAW(BEFORE)'!AV262)</f>
        <v xml:space="preserve">John Williams   </v>
      </c>
      <c r="AY254" s="3" t="str">
        <f t="shared" ref="AY254:AY316" si="23">AX254</f>
        <v xml:space="preserve">John Williams   </v>
      </c>
      <c r="AZ254" s="3"/>
      <c r="BA254" s="24">
        <f>AK254*(1-(_xlfn.XLOOKUP(G254, Exchange_Rates!$B$8:$F$8, Exchange_Rates!$B$9:$F$9, 0)+J254))</f>
        <v>1782.4665600000001</v>
      </c>
      <c r="BB254" s="7" cm="1">
        <f t="array" ref="BB254">_xlfn.LET(
  _xlpm.raw_dt, SUBSTITUTE(TRIM(C254), ".", "/"),
  _xlpm.dt, IFERROR(DATEVALUE(_xlpm.raw_dt), C254),
  _xlpm.p_code, TRIM(E254),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46971</v>
      </c>
      <c r="BC254" s="25">
        <f t="shared" ref="BC254:BC316" si="24">BA254*AV254</f>
        <v>320.8439808</v>
      </c>
    </row>
    <row r="255" spans="1:55" ht="15.75" thickBot="1" x14ac:dyDescent="0.3">
      <c r="A255" s="3" t="s">
        <v>4145</v>
      </c>
      <c r="B255" s="10">
        <f>DATE(2025,8,8)</f>
        <v>45877</v>
      </c>
      <c r="C255" s="4">
        <v>45883</v>
      </c>
      <c r="D255" s="3" t="str">
        <f>"P-" &amp; TEXT(VALUE(SUBSTITUTE(SUBSTITUTE(SUBSTITUTE(UPPER(TRIM('Sales_RAW(BEFORE)'!D263)), "P", ""), "-", ""), "_", "")),"000")</f>
        <v>P-050</v>
      </c>
      <c r="E255" s="3" t="str">
        <f>VLOOKUP(D255,Product_List!$A$2:$B$61,2,FALSE)</f>
        <v>License X 50</v>
      </c>
      <c r="F255" s="3" t="str">
        <f>_xlfn.XLOOKUP(E255,Product_List!$B$2:$B$61,Product_List!$E$2:$E$61,2)</f>
        <v>BestParts</v>
      </c>
      <c r="G255" s="3" t="str">
        <f>VLOOKUP(E255,Product_List!$B$2:$C$61,2,FALSE)</f>
        <v>Equipment</v>
      </c>
      <c r="H255" s="3" t="str">
        <f>SUBSTITUTE(SUBSTITUTE('Sales_RAW(BEFORE)'!G263,"kom",""),".","")</f>
        <v>14</v>
      </c>
      <c r="I255" s="6">
        <f>VLOOKUP(E255,Product_List!$B$2:$D$61,3,FALSE)</f>
        <v>39.53</v>
      </c>
      <c r="J255" s="5">
        <f>IF(IFERROR(VALUE(SUBSTITUTE(SUBSTITUTE(TRIM('Sales_RAW(BEFORE)'!I263), "%", ""), ",", ".")), 0) &gt; 1, IFERROR(VALUE(SUBSTITUTE(SUBSTITUTE(TRIM('Sales_RAW(BEFORE)'!I263), "%", ""), ",", ".")), 0) / 100, IFERROR(VALUE(SUBSTITUTE(SUBSTITUTE(TRIM('Sales_RAW(BEFORE)'!I263), "%", ""), ",", ".")), 0))</f>
        <v>0.05</v>
      </c>
      <c r="K255" s="6">
        <f t="shared" si="22"/>
        <v>553.42000000000007</v>
      </c>
      <c r="L255" s="6" t="str" cm="1">
        <f t="array" ref="L255">_xlfn.LET(
  _xlpm.valuta, UPPER(TRIM('Sales_RAW(BEFORE)'!K263)),
  _xlfn.IFS(
    _xlpm.valuta = "", "",
    OR(_xlpm.valuta = "USD", _xlpm.valuta = "$"), "$",
    OR(_xlpm.valuta = "EUR", _xlpm.valuta = "€"), "€",
    TRUE, _xlpm.valuta
  )
)</f>
        <v>$</v>
      </c>
      <c r="M255" s="3" t="str">
        <f>"E" &amp; TEXT(VALUE(SUBSTITUTE(SUBSTITUTE(SUBSTITUTE(UPPER(TRIM('Sales_RAW(BEFORE)'!L263)), "EMP", ""), "E", ""), "-", "")),"000")</f>
        <v>E025</v>
      </c>
      <c r="N255" s="3" t="str">
        <f>_xlfn.XLOOKUP(M255,Employees!$D$2:$D$26,Employees!$A$2:$A$26)</f>
        <v>Chris Johnson</v>
      </c>
      <c r="O255" s="3" t="str">
        <f>_xlfn.XLOOKUP(N255,Employees!$A$2:$A$26,Employees!$C$2:$C$26,2)</f>
        <v>Sales</v>
      </c>
      <c r="P255" s="3" t="str">
        <f>PROPER('Sales_RAW(BEFORE)'!N263)</f>
        <v>North</v>
      </c>
      <c r="Q255" s="3" t="str">
        <f>VLOOKUP(N255,Employees!$A$2:$B$26,2,FALSE)</f>
        <v>Boston</v>
      </c>
      <c r="R255" s="3" t="str">
        <f>PROPER('Sales_RAW(BEFORE)'!P263)</f>
        <v>Initech Inc</v>
      </c>
      <c r="S255" s="3" t="str">
        <f>SUBSTITUTE(SUBSTITUTE('Sales_RAW(BEFORE)'!Q263,"EIN",""),":","")</f>
        <v>373476170</v>
      </c>
      <c r="T255" s="3" t="s">
        <v>134</v>
      </c>
      <c r="U255" s="3" t="s">
        <v>4151</v>
      </c>
      <c r="V255" s="3" t="s">
        <v>4152</v>
      </c>
      <c r="W255" s="3" t="s">
        <v>4153</v>
      </c>
      <c r="X255" s="3" t="s">
        <v>173</v>
      </c>
      <c r="Y255" s="3" t="str">
        <f>PROPER('Sales_RAW(BEFORE)'!W263)</f>
        <v>Credit Card</v>
      </c>
      <c r="Z255" s="3" t="str">
        <f>PROPER('Sales_RAW(BEFORE)'!X263)</f>
        <v>Processing</v>
      </c>
      <c r="AA255" s="3" t="str" cm="1">
        <f t="array" ref="AA255">_xlfn.LET(
  _xlpm.val, TRIM(LOWER('Sales_RAW(BEFORE)'!Y263)),
  _xlfn.IFS(
    OR(_xlpm.val="yes", _xlpm.val="paid"), "Paid",
    OR(_xlpm.val="no", _xlpm.val="unpaid"), "Unpaid",
    OR(_xlpm.val="partial", _xlpm.val="partial paid"), "Partial",
    _xlpm.val="", "",
    TRUE, 'Sales_RAW(BEFORE)'!AY263
  )
)</f>
        <v>Partial</v>
      </c>
      <c r="AB255" s="3" t="s">
        <v>4154</v>
      </c>
      <c r="AC255" s="3" t="str">
        <f>PROPER('Sales_RAW(BEFORE)'!AA263)</f>
        <v>Online</v>
      </c>
      <c r="AD255" s="3" t="str">
        <f>SUBSTITUTE(SUBSTITUTE(SUBSTITUTE(SUBSTITUTE('Sales_RAW(BEFORE)'!AB263,"st",""),"q",""),"Q",""),"uarter","")</f>
        <v>1</v>
      </c>
      <c r="AE255" s="3" t="str">
        <f>TEXT(IFERROR(DATEVALUE('Sales_RAW(BEFORE)'!AC263 &amp; " 1"), IFERROR(DATE(2025, 'Sales_RAW(BEFORE)'!AC263, 1), 'Sales_RAW(BEFORE)'!AC263)), "mmmm")</f>
        <v>August</v>
      </c>
      <c r="AF255" s="3">
        <f>_xlfn.LET(
  _xlpm.raw, TRIM(SUBSTITUTE('Sales_RAW(BEFORE)'!AD263, "'", "")),
  _xlpm.num, IFERROR(VALUE(_xlpm.raw), 0),
  IF(_xlpm.num &lt; 100, 2000 + _xlpm.num, _xlpm.num)
)</f>
        <v>2025</v>
      </c>
      <c r="AG255" s="3" t="str">
        <f>PROPER('Sales_RAW(BEFORE)'!AE263)</f>
        <v>Net 60</v>
      </c>
      <c r="AH255" s="3" cm="1">
        <f t="array" ref="AH255">_xlfn.LET(
  _xlpm.val, LOWER(TRIM('Sales_RAW(BEFORE)'!AF263)),
  _xlfn.IFS(
    OR(_xlpm.val="", _xlpm.val="null", _xlpm.val="N/A", _xlpm.val="-", _xlpm.val="#N/A"), 0,
    ISNUMBER('Sales_RAW(BEFORE)'!AF263), 'Sales_RAW(BEFORE)'!AF263,
    TRUE, IFERROR(_xlfn.NUMBERVALUE(_xlpm.val), 0)
  )
)</f>
        <v>68</v>
      </c>
      <c r="AI255" s="5">
        <f>IF(IFERROR(VALUE(SUBSTITUTE(SUBSTITUTE(TRIM('Sales_RAW(BEFORE)'!AG263), "%", ""), ",", ".")), 0) &gt; 1, IFERROR(VALUE(SUBSTITUTE(SUBSTITUTE(TRIM('Sales_RAW(BEFORE)'!AG263), "%", ""), ",", ".")), 0) / 100, IFERROR(VALUE(SUBSTITUTE(SUBSTITUTE(TRIM('Sales_RAW(BEFORE)'!AG263), "%", ""), ",", ".")), 0))</f>
        <v>0.08</v>
      </c>
      <c r="AJ255" s="6">
        <f t="shared" si="20"/>
        <v>44.273600000000009</v>
      </c>
      <c r="AK255" s="6">
        <f t="shared" si="21"/>
        <v>597.69360000000006</v>
      </c>
      <c r="AL255" s="6">
        <f>IFERROR(VALUE(SUBSTITUTE(SUBSTITUTE(SUBSTITUTE('Sales_RAW(BEFORE)'!AJ263,"$",""),"USD",""),",",".")),0)</f>
        <v>10.68</v>
      </c>
      <c r="AM255" s="3" t="str">
        <f>SUBSTITUTE(SUBSTITUTE(PROPER('Sales_RAW(BEFORE)'!AK263), "Fed Ex", "FedEx"),"Fedex","FedEx")</f>
        <v>Usps</v>
      </c>
      <c r="AN255" s="3" t="s">
        <v>4156</v>
      </c>
      <c r="AO255" s="3" t="str">
        <f>SUBSTITUTE('Sales_RAW(BEFORE)'!AM263,"kg","")</f>
        <v>16.68</v>
      </c>
      <c r="AP255" s="3" t="str">
        <f>_xlfn.LET(
  _xlpm.raw, UPPER(TRIM('Sales_RAW(BEFORE)'!AN263)),
  _xlpm.clean, RIGHT(_xlpm.raw, 1),
  IF(OR(_xlpm.raw="", _xlpm.raw="null"), "N/A", _xlpm.clean)
)</f>
        <v>B</v>
      </c>
      <c r="AQ255" s="3">
        <v>51</v>
      </c>
      <c r="AR255" s="3" t="str" cm="1">
        <f t="array" ref="AR255">_xlfn.LET(
  _xlpm.raw, LOWER(TRIM('Sales_RAW(BEFORE)'!AP263)),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255" s="3"/>
      <c r="AT255" s="3"/>
      <c r="AU255" s="3"/>
      <c r="AV255" s="8">
        <f>IF(IFERROR(VALUE(SUBSTITUTE(SUBSTITUTE(TRIM('Sales_RAW(BEFORE)'!AT263), "%", ""), ",", ".")), 0) &gt; 1, IFERROR(VALUE(SUBSTITUTE(SUBSTITUTE(TRIM('Sales_RAW(BEFORE)'!AT263), "%", ""), ",", ".")), 0) / 100, IFERROR(VALUE(SUBSTITUTE(SUBSTITUTE(TRIM('Sales_RAW(BEFORE)'!AT263), "%", ""), ",", ".")), 0))</f>
        <v>0.25</v>
      </c>
      <c r="AW255" s="6">
        <f>BA255*(_xlfn.XLOOKUP(N255,Employees!$A$2:$A$26,Employees!$E$2:$E$26,2))</f>
        <v>25.401978000000003</v>
      </c>
      <c r="AX255" s="3" t="str">
        <f>PROPER('Sales_RAW(BEFORE)'!AV263)</f>
        <v>Laura Jones</v>
      </c>
      <c r="AY255" s="3" t="str">
        <f t="shared" si="23"/>
        <v>Laura Jones</v>
      </c>
      <c r="AZ255" s="3"/>
      <c r="BA255" s="24">
        <f>AK255*(1-(_xlfn.XLOOKUP(G255, Exchange_Rates!$B$8:$F$8, Exchange_Rates!$B$9:$F$9, 0)+J255))</f>
        <v>508.03956000000005</v>
      </c>
      <c r="BB255" s="7" cm="1">
        <f t="array" ref="BB255">_xlfn.LET(
  _xlpm.raw_dt, SUBSTITUTE(TRIM(C255), ".", "/"),
  _xlpm.dt, IFERROR(DATEVALUE(_xlpm.raw_dt), C255),
  _xlpm.p_code, TRIM(E255),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46248</v>
      </c>
      <c r="BC255" s="25">
        <f t="shared" si="24"/>
        <v>127.00989000000001</v>
      </c>
    </row>
    <row r="256" spans="1:55" ht="15.75" thickBot="1" x14ac:dyDescent="0.3">
      <c r="A256" s="3" t="s">
        <v>2978</v>
      </c>
      <c r="B256" s="10">
        <v>45864</v>
      </c>
      <c r="C256" s="4">
        <v>45875</v>
      </c>
      <c r="D256" s="3" t="str">
        <f>"P-" &amp; TEXT(VALUE(SUBSTITUTE(SUBSTITUTE(SUBSTITUTE(UPPER(TRIM('Sales_RAW(BEFORE)'!D264)), "P", ""), "-", ""), "_", "")),"000")</f>
        <v>P-051</v>
      </c>
      <c r="E256" s="3" t="str">
        <f>VLOOKUP(D256,Product_List!$A$2:$B$61,2,FALSE)</f>
        <v>Cable Basic 51</v>
      </c>
      <c r="F256" s="3" t="str">
        <f>_xlfn.XLOOKUP(E256,Product_List!$B$2:$B$61,Product_List!$E$2:$E$61,2)</f>
        <v>TechSupply Co</v>
      </c>
      <c r="G256" s="3" t="str">
        <f>VLOOKUP(E256,Product_List!$B$2:$C$61,2,FALSE)</f>
        <v>Office</v>
      </c>
      <c r="H256" s="3" t="str">
        <f>SUBSTITUTE(SUBSTITUTE('Sales_RAW(BEFORE)'!G264,"kom",""),".","")</f>
        <v>37</v>
      </c>
      <c r="I256" s="6">
        <f>VLOOKUP(E256,Product_List!$B$2:$D$61,3,FALSE)</f>
        <v>1036.6500000000001</v>
      </c>
      <c r="J256" s="5">
        <f>IF(IFERROR(VALUE(SUBSTITUTE(SUBSTITUTE(TRIM('Sales_RAW(BEFORE)'!I264), "%", ""), ",", ".")), 0) &gt; 1, IFERROR(VALUE(SUBSTITUTE(SUBSTITUTE(TRIM('Sales_RAW(BEFORE)'!I264), "%", ""), ",", ".")), 0) / 100, IFERROR(VALUE(SUBSTITUTE(SUBSTITUTE(TRIM('Sales_RAW(BEFORE)'!I264), "%", ""), ",", ".")), 0))</f>
        <v>0.05</v>
      </c>
      <c r="K256" s="6">
        <f t="shared" si="22"/>
        <v>38356.050000000003</v>
      </c>
      <c r="L256" s="6" t="str" cm="1">
        <f t="array" ref="L256">_xlfn.LET(
  _xlpm.valuta, UPPER(TRIM('Sales_RAW(BEFORE)'!K264)),
  _xlfn.IFS(
    _xlpm.valuta = "", "",
    OR(_xlpm.valuta = "USD", _xlpm.valuta = "$"), "$",
    OR(_xlpm.valuta = "EUR", _xlpm.valuta = "€"), "€",
    TRUE, _xlpm.valuta
  )
)</f>
        <v>$</v>
      </c>
      <c r="M256" s="3" t="str">
        <f>"E" &amp; TEXT(VALUE(SUBSTITUTE(SUBSTITUTE(SUBSTITUTE(UPPER(TRIM('Sales_RAW(BEFORE)'!L264)), "EMP", ""), "E", ""), "-", "")),"000")</f>
        <v>E025</v>
      </c>
      <c r="N256" s="3" t="str">
        <f>_xlfn.XLOOKUP(M256,Employees!$D$2:$D$26,Employees!$A$2:$A$26)</f>
        <v>Chris Johnson</v>
      </c>
      <c r="O256" s="3" t="str">
        <f>_xlfn.XLOOKUP(N256,Employees!$A$2:$A$26,Employees!$C$2:$C$26,2)</f>
        <v>Sales</v>
      </c>
      <c r="P256" s="3" t="str">
        <f>PROPER('Sales_RAW(BEFORE)'!N264)</f>
        <v>North</v>
      </c>
      <c r="Q256" s="3" t="str">
        <f>VLOOKUP(N256,Employees!$A$2:$B$26,2,FALSE)</f>
        <v>Boston</v>
      </c>
      <c r="R256" s="3" t="str">
        <f>PROPER('Sales_RAW(BEFORE)'!P264)</f>
        <v xml:space="preserve">  Acme Inc</v>
      </c>
      <c r="S256" s="3" t="str">
        <f>SUBSTITUTE(SUBSTITUTE('Sales_RAW(BEFORE)'!Q264,"EIN",""),":","")</f>
        <v>660706416</v>
      </c>
      <c r="T256" s="3" t="s">
        <v>646</v>
      </c>
      <c r="U256" s="3" t="s">
        <v>2984</v>
      </c>
      <c r="V256" s="3" t="s">
        <v>2985</v>
      </c>
      <c r="W256" s="3" t="s">
        <v>2986</v>
      </c>
      <c r="X256" s="3" t="s">
        <v>173</v>
      </c>
      <c r="Y256" s="3" t="str">
        <f>PROPER('Sales_RAW(BEFORE)'!W264)</f>
        <v>Wire Transfer</v>
      </c>
      <c r="Z256" s="3" t="str">
        <f>PROPER('Sales_RAW(BEFORE)'!X264)</f>
        <v>Delivered</v>
      </c>
      <c r="AA256" s="3" t="str" cm="1">
        <f t="array" ref="AA256">_xlfn.LET(
  _xlpm.val, TRIM(LOWER('Sales_RAW(BEFORE)'!Y264)),
  _xlfn.IFS(
    OR(_xlpm.val="yes", _xlpm.val="paid"), "Paid",
    OR(_xlpm.val="no", _xlpm.val="unpaid"), "Unpaid",
    OR(_xlpm.val="partial", _xlpm.val="partial paid"), "Partial",
    _xlpm.val="", "",
    TRUE, 'Sales_RAW(BEFORE)'!AY264
  )
)</f>
        <v>Partial</v>
      </c>
      <c r="AB256" s="3" t="s">
        <v>2987</v>
      </c>
      <c r="AC256" s="3" t="str">
        <f>PROPER('Sales_RAW(BEFORE)'!AA264)</f>
        <v>Phone</v>
      </c>
      <c r="AD256" s="3" t="str">
        <f>SUBSTITUTE(SUBSTITUTE(SUBSTITUTE(SUBSTITUTE('Sales_RAW(BEFORE)'!AB264,"st",""),"q",""),"Q",""),"uarter","")</f>
        <v>2</v>
      </c>
      <c r="AE256" s="3" t="str">
        <f>TEXT(IFERROR(DATEVALUE('Sales_RAW(BEFORE)'!AC264 &amp; " 1"), IFERROR(DATE(2025, 'Sales_RAW(BEFORE)'!AC264, 1), 'Sales_RAW(BEFORE)'!AC264)), "mmmm")</f>
        <v>July</v>
      </c>
      <c r="AF256" s="3">
        <f>_xlfn.LET(
  _xlpm.raw, TRIM(SUBSTITUTE('Sales_RAW(BEFORE)'!AD264, "'", "")),
  _xlpm.num, IFERROR(VALUE(_xlpm.raw), 0),
  IF(_xlpm.num &lt; 100, 2000 + _xlpm.num, _xlpm.num)
)</f>
        <v>2025</v>
      </c>
      <c r="AG256" s="3" t="str">
        <f>PROPER('Sales_RAW(BEFORE)'!AE264)</f>
        <v>Immediate</v>
      </c>
      <c r="AH256" s="3" cm="1">
        <f t="array" ref="AH256">_xlfn.LET(
  _xlpm.val, LOWER(TRIM('Sales_RAW(BEFORE)'!AF264)),
  _xlfn.IFS(
    OR(_xlpm.val="", _xlpm.val="null", _xlpm.val="N/A", _xlpm.val="-", _xlpm.val="#N/A"), 0,
    ISNUMBER('Sales_RAW(BEFORE)'!AF264), 'Sales_RAW(BEFORE)'!AF264,
    TRUE, IFERROR(_xlfn.NUMBERVALUE(_xlpm.val), 0)
  )
)</f>
        <v>87</v>
      </c>
      <c r="AI256" s="5">
        <f>IF(IFERROR(VALUE(SUBSTITUTE(SUBSTITUTE(TRIM('Sales_RAW(BEFORE)'!AG264), "%", ""), ",", ".")), 0) &gt; 1, IFERROR(VALUE(SUBSTITUTE(SUBSTITUTE(TRIM('Sales_RAW(BEFORE)'!AG264), "%", ""), ",", ".")), 0) / 100, IFERROR(VALUE(SUBSTITUTE(SUBSTITUTE(TRIM('Sales_RAW(BEFORE)'!AG264), "%", ""), ",", ".")), 0))</f>
        <v>0.08</v>
      </c>
      <c r="AJ256" s="6">
        <f t="shared" si="20"/>
        <v>3068.4840000000004</v>
      </c>
      <c r="AK256" s="6">
        <f t="shared" si="21"/>
        <v>41424.534</v>
      </c>
      <c r="AL256" s="6">
        <f>IFERROR(VALUE(SUBSTITUTE(SUBSTITUTE(SUBSTITUTE('Sales_RAW(BEFORE)'!AJ264,"$",""),"USD",""),",",".")),0)</f>
        <v>39.9</v>
      </c>
      <c r="AM256" s="3" t="str">
        <f>SUBSTITUTE(SUBSTITUTE(PROPER('Sales_RAW(BEFORE)'!AK264), "Fed Ex", "FedEx"),"Fedex","FedEx")</f>
        <v>Ups</v>
      </c>
      <c r="AN256" s="3" t="s">
        <v>2989</v>
      </c>
      <c r="AO256" s="3" t="str">
        <f>SUBSTITUTE('Sales_RAW(BEFORE)'!AM264,"kg","")</f>
        <v xml:space="preserve">10.8 </v>
      </c>
      <c r="AP256" s="3" t="str">
        <f>_xlfn.LET(
  _xlpm.raw, UPPER(TRIM('Sales_RAW(BEFORE)'!AN264)),
  _xlpm.clean, RIGHT(_xlpm.raw, 1),
  IF(OR(_xlpm.raw="", _xlpm.raw="null"), "N/A", _xlpm.clean)
)</f>
        <v>A</v>
      </c>
      <c r="AQ256" s="3">
        <v>305</v>
      </c>
      <c r="AR256" s="3" cm="1">
        <f t="array" ref="AR256">_xlfn.LET(
  _xlpm.raw, LOWER(TRIM('Sales_RAW(BEFORE)'!AP264)),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256" s="3"/>
      <c r="AT256" s="3"/>
      <c r="AU256" s="3"/>
      <c r="AV256" s="8">
        <f>IF(IFERROR(VALUE(SUBSTITUTE(SUBSTITUTE(TRIM('Sales_RAW(BEFORE)'!AT264), "%", ""), ",", ".")), 0) &gt; 1, IFERROR(VALUE(SUBSTITUTE(SUBSTITUTE(TRIM('Sales_RAW(BEFORE)'!AT264), "%", ""), ",", ".")), 0) / 100, IFERROR(VALUE(SUBSTITUTE(SUBSTITUTE(TRIM('Sales_RAW(BEFORE)'!AT264), "%", ""), ",", ".")), 0))</f>
        <v>0.25</v>
      </c>
      <c r="AW256" s="6">
        <f>BA256*(_xlfn.XLOOKUP(N256,Employees!$A$2:$A$26,Employees!$E$2:$E$26,2))</f>
        <v>1760.5426950000001</v>
      </c>
      <c r="AX256" s="3" t="str">
        <f>PROPER('Sales_RAW(BEFORE)'!AV264)</f>
        <v xml:space="preserve"> Ryan Johnson </v>
      </c>
      <c r="AY256" s="3" t="str">
        <f t="shared" si="23"/>
        <v xml:space="preserve"> Ryan Johnson </v>
      </c>
      <c r="AZ256" s="3"/>
      <c r="BA256" s="24">
        <f>AK256*(1-(_xlfn.XLOOKUP(G256, Exchange_Rates!$B$8:$F$8, Exchange_Rates!$B$9:$F$9, 0)+J256))</f>
        <v>35210.853900000002</v>
      </c>
      <c r="BB256" s="7" cm="1">
        <f t="array" ref="BB256">_xlfn.LET(
  _xlpm.raw_dt, SUBSTITUTE(TRIM(C256), ".", "/"),
  _xlpm.dt, IFERROR(DATEVALUE(_xlpm.raw_dt), C256),
  _xlpm.p_code, TRIM(E256),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46605</v>
      </c>
      <c r="BC256" s="25">
        <f t="shared" si="24"/>
        <v>8802.7134750000005</v>
      </c>
    </row>
    <row r="257" spans="1:55" ht="15.75" thickBot="1" x14ac:dyDescent="0.3">
      <c r="A257" s="3" t="s">
        <v>4159</v>
      </c>
      <c r="B257" s="10">
        <v>45718</v>
      </c>
      <c r="C257" s="4">
        <v>45723</v>
      </c>
      <c r="D257" s="3" t="str">
        <f>"P-" &amp; TEXT(VALUE(SUBSTITUTE(SUBSTITUTE(SUBSTITUTE(UPPER(TRIM('Sales_RAW(BEFORE)'!D265)), "P", ""), "-", ""), "_", "")),"000")</f>
        <v>P-040</v>
      </c>
      <c r="E257" s="3" t="str">
        <f>VLOOKUP(D257,Product_List!$A$2:$B$61,2,FALSE)</f>
        <v>Monitor Plus 40</v>
      </c>
      <c r="F257" s="3" t="str">
        <f>_xlfn.XLOOKUP(E257,Product_List!$B$2:$B$61,Product_List!$E$2:$E$61,2)</f>
        <v>TechSupply Co</v>
      </c>
      <c r="G257" s="3" t="str">
        <f>VLOOKUP(E257,Product_List!$B$2:$C$61,2,FALSE)</f>
        <v>Software</v>
      </c>
      <c r="H257" s="3" t="str">
        <f>SUBSTITUTE(SUBSTITUTE('Sales_RAW(BEFORE)'!G265,"kom",""),".","")</f>
        <v xml:space="preserve">29 </v>
      </c>
      <c r="I257" s="6">
        <f>VLOOKUP(E257,Product_List!$B$2:$D$61,3,FALSE)</f>
        <v>98.06</v>
      </c>
      <c r="J257" s="5">
        <f>IF(IFERROR(VALUE(SUBSTITUTE(SUBSTITUTE(TRIM('Sales_RAW(BEFORE)'!I265), "%", ""), ",", ".")), 0) &gt; 1, IFERROR(VALUE(SUBSTITUTE(SUBSTITUTE(TRIM('Sales_RAW(BEFORE)'!I265), "%", ""), ",", ".")), 0) / 100, IFERROR(VALUE(SUBSTITUTE(SUBSTITUTE(TRIM('Sales_RAW(BEFORE)'!I265), "%", ""), ",", ".")), 0))</f>
        <v>0.1</v>
      </c>
      <c r="K257" s="6">
        <f>(H257*I257)/(HLOOKUP(AE257,Exchange_Rates!$B$1:$M$2,2,FALSE))</f>
        <v>3057.7849462365593</v>
      </c>
      <c r="L257" s="6" t="str" cm="1">
        <f t="array" ref="L257">_xlfn.LET(
  _xlpm.valuta, UPPER(TRIM('Sales_RAW(BEFORE)'!K265)),
  _xlfn.IFS(
    _xlpm.valuta = "", "",
    OR(_xlpm.valuta = "USD", _xlpm.valuta = "$"), "$",
    OR(_xlpm.valuta = "EUR", _xlpm.valuta = "€"), "€",
    TRUE, _xlpm.valuta
  )
)</f>
        <v>€</v>
      </c>
      <c r="M257" s="3" t="str">
        <f>"E" &amp; TEXT(VALUE(SUBSTITUTE(SUBSTITUTE(SUBSTITUTE(UPPER(TRIM('Sales_RAW(BEFORE)'!L265)), "EMP", ""), "E", ""), "-", "")),"000")</f>
        <v>E005</v>
      </c>
      <c r="N257" s="3" t="str">
        <f>_xlfn.XLOOKUP(M257,Employees!$D$2:$D$26,Employees!$A$2:$A$26)</f>
        <v>Laura Williams</v>
      </c>
      <c r="O257" s="3" t="str">
        <f>_xlfn.XLOOKUP(N257,Employees!$A$2:$A$26,Employees!$C$2:$C$26,2)</f>
        <v>Online</v>
      </c>
      <c r="P257" s="3" t="str">
        <f>PROPER('Sales_RAW(BEFORE)'!N265)</f>
        <v>West</v>
      </c>
      <c r="Q257" s="3" t="str">
        <f>VLOOKUP(N257,Employees!$A$2:$B$26,2,FALSE)</f>
        <v>Houston</v>
      </c>
      <c r="R257" s="3" t="str">
        <f>PROPER('Sales_RAW(BEFORE)'!P265)</f>
        <v>Globex Inc.</v>
      </c>
      <c r="S257" s="3" t="str">
        <f>SUBSTITUTE(SUBSTITUTE('Sales_RAW(BEFORE)'!Q265,"EIN",""),":","")</f>
        <v>967299438</v>
      </c>
      <c r="T257" s="3" t="s">
        <v>505</v>
      </c>
      <c r="U257" s="3" t="s">
        <v>4166</v>
      </c>
      <c r="V257" s="3" t="s">
        <v>4167</v>
      </c>
      <c r="W257" s="3" t="s">
        <v>4168</v>
      </c>
      <c r="X257" s="3" t="s">
        <v>173</v>
      </c>
      <c r="Y257" s="3" t="str">
        <f>PROPER('Sales_RAW(BEFORE)'!W265)</f>
        <v>Wire Transfer</v>
      </c>
      <c r="Z257" s="3" t="str">
        <f>PROPER('Sales_RAW(BEFORE)'!X265)</f>
        <v>Processing</v>
      </c>
      <c r="AA257" s="3" t="str" cm="1">
        <f t="array" ref="AA257">_xlfn.LET(
  _xlpm.val, TRIM(LOWER('Sales_RAW(BEFORE)'!Y265)),
  _xlfn.IFS(
    OR(_xlpm.val="yes", _xlpm.val="paid"), "Paid",
    OR(_xlpm.val="no", _xlpm.val="unpaid"), "Unpaid",
    OR(_xlpm.val="partial", _xlpm.val="partial paid"), "Partial",
    _xlpm.val="", "",
    TRUE, 'Sales_RAW(BEFORE)'!AY265
  )
)</f>
        <v>Paid</v>
      </c>
      <c r="AB257" s="3" t="s">
        <v>4169</v>
      </c>
      <c r="AC257" s="3" t="str">
        <f>PROPER('Sales_RAW(BEFORE)'!AA265)</f>
        <v>Phone</v>
      </c>
      <c r="AD257" s="3" t="str">
        <f>SUBSTITUTE(SUBSTITUTE(SUBSTITUTE(SUBSTITUTE('Sales_RAW(BEFORE)'!AB265,"st",""),"q",""),"Q",""),"uarter","")</f>
        <v xml:space="preserve">1 </v>
      </c>
      <c r="AE257" s="3" t="str">
        <f>TEXT(IFERROR(DATEVALUE('Sales_RAW(BEFORE)'!AC265 &amp; " 1"), IFERROR(DATE(2025, 'Sales_RAW(BEFORE)'!AC265, 1), 'Sales_RAW(BEFORE)'!AC265)), "mmmm")</f>
        <v>March</v>
      </c>
      <c r="AF257" s="3">
        <f>_xlfn.LET(
  _xlpm.raw, TRIM(SUBSTITUTE('Sales_RAW(BEFORE)'!AD265, "'", "")),
  _xlpm.num, IFERROR(VALUE(_xlpm.raw), 0),
  IF(_xlpm.num &lt; 100, 2000 + _xlpm.num, _xlpm.num)
)</f>
        <v>2025</v>
      </c>
      <c r="AG257" s="3" t="str">
        <f>PROPER('Sales_RAW(BEFORE)'!AE265)</f>
        <v>Immediate</v>
      </c>
      <c r="AH257" s="3" cm="1">
        <f t="array" ref="AH257">_xlfn.LET(
  _xlpm.val, LOWER(TRIM('Sales_RAW(BEFORE)'!AF265)),
  _xlfn.IFS(
    OR(_xlpm.val="", _xlpm.val="null", _xlpm.val="N/A", _xlpm.val="-", _xlpm.val="#N/A"), 0,
    ISNUMBER('Sales_RAW(BEFORE)'!AF265), 'Sales_RAW(BEFORE)'!AF265,
    TRUE, IFERROR(_xlfn.NUMBERVALUE(_xlpm.val), 0)
  )
)</f>
        <v>37</v>
      </c>
      <c r="AI257" s="5">
        <f>IF(IFERROR(VALUE(SUBSTITUTE(SUBSTITUTE(TRIM('Sales_RAW(BEFORE)'!AG265), "%", ""), ",", ".")), 0) &gt; 1, IFERROR(VALUE(SUBSTITUTE(SUBSTITUTE(TRIM('Sales_RAW(BEFORE)'!AG265), "%", ""), ",", ".")), 0) / 100, IFERROR(VALUE(SUBSTITUTE(SUBSTITUTE(TRIM('Sales_RAW(BEFORE)'!AG265), "%", ""), ",", ".")), 0))</f>
        <v>0.08</v>
      </c>
      <c r="AJ257" s="6">
        <f t="shared" si="20"/>
        <v>244.62279569892476</v>
      </c>
      <c r="AK257" s="6">
        <f t="shared" si="21"/>
        <v>3302.407741935484</v>
      </c>
      <c r="AL257" s="6">
        <f>IFERROR(VALUE(SUBSTITUTE(SUBSTITUTE(SUBSTITUTE('Sales_RAW(BEFORE)'!AJ265,"$",""),"USD",""),",",".")),0)</f>
        <v>24.74</v>
      </c>
      <c r="AM257" s="3" t="str">
        <f>SUBSTITUTE(SUBSTITUTE(PROPER('Sales_RAW(BEFORE)'!AK265), "Fed Ex", "FedEx"),"Fedex","FedEx")</f>
        <v>FedEx</v>
      </c>
      <c r="AN257" s="3" t="s">
        <v>4171</v>
      </c>
      <c r="AO257" s="3" t="str">
        <f>SUBSTITUTE('Sales_RAW(BEFORE)'!AM265,"kg","")</f>
        <v>0,63</v>
      </c>
      <c r="AP257" s="3" t="str">
        <f>_xlfn.LET(
  _xlpm.raw, UPPER(TRIM('Sales_RAW(BEFORE)'!AN265)),
  _xlpm.clean, RIGHT(_xlpm.raw, 1),
  IF(OR(_xlpm.raw="", _xlpm.raw="null"), "N/A", _xlpm.clean)
)</f>
        <v>B</v>
      </c>
      <c r="AQ257" s="3">
        <v>287</v>
      </c>
      <c r="AR257" s="3" cm="1">
        <f t="array" ref="AR257">_xlfn.LET(
  _xlpm.raw, LOWER(TRIM('Sales_RAW(BEFORE)'!AP265)),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257" s="3"/>
      <c r="AT257" s="3"/>
      <c r="AU257" s="3"/>
      <c r="AV257" s="8">
        <f>IF(IFERROR(VALUE(SUBSTITUTE(SUBSTITUTE(TRIM('Sales_RAW(BEFORE)'!AT265), "%", ""), ",", ".")), 0) &gt; 1, IFERROR(VALUE(SUBSTITUTE(SUBSTITUTE(TRIM('Sales_RAW(BEFORE)'!AT265), "%", ""), ",", ".")), 0) / 100, IFERROR(VALUE(SUBSTITUTE(SUBSTITUTE(TRIM('Sales_RAW(BEFORE)'!AT265), "%", ""), ",", ".")), 0))</f>
        <v>0.3</v>
      </c>
      <c r="AW257" s="6">
        <f>BA257*(_xlfn.XLOOKUP(N257,Employees!$A$2:$A$26,Employees!$E$2:$E$26,2))</f>
        <v>74.304174193548391</v>
      </c>
      <c r="AX257" s="3" t="str">
        <f>PROPER('Sales_RAW(BEFORE)'!AV265)</f>
        <v xml:space="preserve">  Sophia Wilson</v>
      </c>
      <c r="AY257" s="3" t="str">
        <f t="shared" si="23"/>
        <v xml:space="preserve">  Sophia Wilson</v>
      </c>
      <c r="AZ257" s="3"/>
      <c r="BA257" s="24">
        <f>AK257*(1-(_xlfn.XLOOKUP(G257, Exchange_Rates!$B$8:$F$8, Exchange_Rates!$B$9:$F$9, 0)+J257))</f>
        <v>2476.8058064516131</v>
      </c>
      <c r="BB257" s="7" cm="1">
        <f t="array" ref="BB257">_xlfn.LET(
  _xlpm.raw_dt, SUBSTITUTE(TRIM(C257), ".", "/"),
  _xlpm.dt, IFERROR(DATEVALUE(_xlpm.raw_dt), C257),
  _xlpm.p_code, TRIM(E257),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46453</v>
      </c>
      <c r="BC257" s="25">
        <f t="shared" si="24"/>
        <v>743.04174193548386</v>
      </c>
    </row>
    <row r="258" spans="1:55" ht="15.75" thickBot="1" x14ac:dyDescent="0.3">
      <c r="A258" s="3" t="s">
        <v>4175</v>
      </c>
      <c r="B258" s="10">
        <f>DATE(2026,1,23)</f>
        <v>46045</v>
      </c>
      <c r="C258" s="4">
        <v>46059</v>
      </c>
      <c r="D258" s="3" t="str">
        <f>"P-" &amp; TEXT(VALUE(SUBSTITUTE(SUBSTITUTE(SUBSTITUTE(UPPER(TRIM('Sales_RAW(BEFORE)'!D266)), "P", ""), "-", ""), "_", "")),"000")</f>
        <v>P-024</v>
      </c>
      <c r="E258" s="3" t="str">
        <f>VLOOKUP(D258,Product_List!$A$2:$B$61,2,FALSE)</f>
        <v>Chair Plus 24</v>
      </c>
      <c r="F258" s="3" t="str">
        <f>_xlfn.XLOOKUP(E258,Product_List!$B$2:$B$61,Product_List!$E$2:$E$61,2)</f>
        <v>TechSupply Co</v>
      </c>
      <c r="G258" s="3" t="str">
        <f>VLOOKUP(E258,Product_List!$B$2:$C$61,2,FALSE)</f>
        <v>Electronics</v>
      </c>
      <c r="H258" s="3" t="str">
        <f>SUBSTITUTE(SUBSTITUTE('Sales_RAW(BEFORE)'!G266,"kom",""),".","")</f>
        <v xml:space="preserve">15 </v>
      </c>
      <c r="I258" s="6">
        <f>VLOOKUP(E258,Product_List!$B$2:$D$61,3,FALSE)</f>
        <v>95.7</v>
      </c>
      <c r="J258" s="5">
        <f>IF(IFERROR(VALUE(SUBSTITUTE(SUBSTITUTE(TRIM('Sales_RAW(BEFORE)'!I266), "%", ""), ",", ".")), 0) &gt; 1, IFERROR(VALUE(SUBSTITUTE(SUBSTITUTE(TRIM('Sales_RAW(BEFORE)'!I266), "%", ""), ",", ".")), 0) / 100, IFERROR(VALUE(SUBSTITUTE(SUBSTITUTE(TRIM('Sales_RAW(BEFORE)'!I266), "%", ""), ",", ".")), 0))</f>
        <v>0.1</v>
      </c>
      <c r="K258" s="6">
        <f t="shared" si="22"/>
        <v>1435.5</v>
      </c>
      <c r="L258" s="6" t="str" cm="1">
        <f t="array" ref="L258">_xlfn.LET(
  _xlpm.valuta, UPPER(TRIM('Sales_RAW(BEFORE)'!K266)),
  _xlfn.IFS(
    _xlpm.valuta = "", "",
    OR(_xlpm.valuta = "USD", _xlpm.valuta = "$"), "$",
    OR(_xlpm.valuta = "EUR", _xlpm.valuta = "€"), "€",
    TRUE, _xlpm.valuta
  )
)</f>
        <v>$</v>
      </c>
      <c r="M258" s="3" t="str">
        <f>"E" &amp; TEXT(VALUE(SUBSTITUTE(SUBSTITUTE(SUBSTITUTE(UPPER(TRIM('Sales_RAW(BEFORE)'!L266)), "EMP", ""), "E", ""), "-", "")),"000")</f>
        <v>E014</v>
      </c>
      <c r="N258" s="3" t="str">
        <f>_xlfn.XLOOKUP(M258,Employees!$D$2:$D$26,Employees!$A$2:$A$26)</f>
        <v>Sophia Brown</v>
      </c>
      <c r="O258" s="3" t="str">
        <f>_xlfn.XLOOKUP(N258,Employees!$A$2:$A$26,Employees!$C$2:$C$26,2)</f>
        <v>Online</v>
      </c>
      <c r="P258" s="3" t="str">
        <f>PROPER('Sales_RAW(BEFORE)'!N266)</f>
        <v>West</v>
      </c>
      <c r="Q258" s="3" t="str">
        <f>VLOOKUP(N258,Employees!$A$2:$B$26,2,FALSE)</f>
        <v>New York</v>
      </c>
      <c r="R258" s="3" t="str">
        <f>PROPER('Sales_RAW(BEFORE)'!P266)</f>
        <v>Globex Inc.</v>
      </c>
      <c r="S258" s="3" t="str">
        <f>SUBSTITUTE(SUBSTITUTE('Sales_RAW(BEFORE)'!Q266,"EIN",""),":","")</f>
        <v xml:space="preserve"> 102487431</v>
      </c>
      <c r="T258" s="3" t="s">
        <v>400</v>
      </c>
      <c r="U258" s="3" t="s">
        <v>4183</v>
      </c>
      <c r="V258" s="3" t="s">
        <v>4184</v>
      </c>
      <c r="W258" s="3" t="s">
        <v>4185</v>
      </c>
      <c r="X258" s="3" t="s">
        <v>173</v>
      </c>
      <c r="Y258" s="3" t="str">
        <f>PROPER('Sales_RAW(BEFORE)'!W266)</f>
        <v>Credit Card</v>
      </c>
      <c r="Z258" s="3" t="str">
        <f>PROPER('Sales_RAW(BEFORE)'!X266)</f>
        <v>Delivered</v>
      </c>
      <c r="AA258" s="3" t="str" cm="1">
        <f t="array" ref="AA258">_xlfn.LET(
  _xlpm.val, TRIM(LOWER('Sales_RAW(BEFORE)'!Y266)),
  _xlfn.IFS(
    OR(_xlpm.val="yes", _xlpm.val="paid"), "Paid",
    OR(_xlpm.val="no", _xlpm.val="unpaid"), "Unpaid",
    OR(_xlpm.val="partial", _xlpm.val="partial paid"), "Partial",
    _xlpm.val="", "",
    TRUE, 'Sales_RAW(BEFORE)'!AY266
  )
)</f>
        <v>Partial</v>
      </c>
      <c r="AB258" s="3" t="s">
        <v>4186</v>
      </c>
      <c r="AC258" s="3" t="str">
        <f>PROPER('Sales_RAW(BEFORE)'!AA266)</f>
        <v>Store</v>
      </c>
      <c r="AD258" s="3" t="str">
        <f>SUBSTITUTE(SUBSTITUTE(SUBSTITUTE(SUBSTITUTE('Sales_RAW(BEFORE)'!AB266,"st",""),"q",""),"Q",""),"uarter","")</f>
        <v xml:space="preserve">1 </v>
      </c>
      <c r="AE258" s="3" t="str">
        <f>TEXT(IFERROR(DATEVALUE('Sales_RAW(BEFORE)'!AC266 &amp; " 1"), IFERROR(DATE(2025, 'Sales_RAW(BEFORE)'!AC266, 1), 'Sales_RAW(BEFORE)'!AC266)), "mmmm")</f>
        <v>January</v>
      </c>
      <c r="AF258" s="3">
        <f>_xlfn.LET(
  _xlpm.raw, TRIM(SUBSTITUTE('Sales_RAW(BEFORE)'!AD266, "'", "")),
  _xlpm.num, IFERROR(VALUE(_xlpm.raw), 0),
  IF(_xlpm.num &lt; 100, 2000 + _xlpm.num, _xlpm.num)
)</f>
        <v>2026</v>
      </c>
      <c r="AG258" s="3" t="str">
        <f>PROPER('Sales_RAW(BEFORE)'!AE266)</f>
        <v>Immediate</v>
      </c>
      <c r="AH258" s="3" cm="1">
        <f t="array" ref="AH258">_xlfn.LET(
  _xlpm.val, LOWER(TRIM('Sales_RAW(BEFORE)'!AF266)),
  _xlfn.IFS(
    OR(_xlpm.val="", _xlpm.val="null", _xlpm.val="N/A", _xlpm.val="-", _xlpm.val="#N/A"), 0,
    ISNUMBER('Sales_RAW(BEFORE)'!AF266), 'Sales_RAW(BEFORE)'!AF266,
    TRUE, IFERROR(_xlfn.NUMBERVALUE(_xlpm.val), 0)
  )
)</f>
        <v>54</v>
      </c>
      <c r="AI258" s="5">
        <f>IF(IFERROR(VALUE(SUBSTITUTE(SUBSTITUTE(TRIM('Sales_RAW(BEFORE)'!AG266), "%", ""), ",", ".")), 0) &gt; 1, IFERROR(VALUE(SUBSTITUTE(SUBSTITUTE(TRIM('Sales_RAW(BEFORE)'!AG266), "%", ""), ",", ".")), 0) / 100, IFERROR(VALUE(SUBSTITUTE(SUBSTITUTE(TRIM('Sales_RAW(BEFORE)'!AG266), "%", ""), ",", ".")), 0))</f>
        <v>0.08</v>
      </c>
      <c r="AJ258" s="6">
        <f t="shared" si="20"/>
        <v>114.84</v>
      </c>
      <c r="AK258" s="6">
        <f t="shared" si="21"/>
        <v>1550.34</v>
      </c>
      <c r="AL258" s="6">
        <f>IFERROR(VALUE(SUBSTITUTE(SUBSTITUTE(SUBSTITUTE('Sales_RAW(BEFORE)'!AJ266,"$",""),"USD",""),",",".")),0)</f>
        <v>33</v>
      </c>
      <c r="AM258" s="3" t="str">
        <f>SUBSTITUTE(SUBSTITUTE(PROPER('Sales_RAW(BEFORE)'!AK266), "Fed Ex", "FedEx"),"Fedex","FedEx")</f>
        <v>Usps</v>
      </c>
      <c r="AN258" s="3" t="s">
        <v>4187</v>
      </c>
      <c r="AO258" s="3" t="str">
        <f>SUBSTITUTE('Sales_RAW(BEFORE)'!AM266,"kg","")</f>
        <v xml:space="preserve">5.3 </v>
      </c>
      <c r="AP258" s="3" t="str">
        <f>_xlfn.LET(
  _xlpm.raw, UPPER(TRIM('Sales_RAW(BEFORE)'!AN266)),
  _xlpm.clean, RIGHT(_xlpm.raw, 1),
  IF(OR(_xlpm.raw="", _xlpm.raw="null"), "N/A", _xlpm.clean)
)</f>
        <v>B</v>
      </c>
      <c r="AQ258" s="3">
        <v>78</v>
      </c>
      <c r="AR258" s="3" t="str" cm="1">
        <f t="array" ref="AR258">_xlfn.LET(
  _xlpm.raw, LOWER(TRIM('Sales_RAW(BEFORE)'!AP266)),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258" s="3"/>
      <c r="AT258" s="3"/>
      <c r="AU258" s="3"/>
      <c r="AV258" s="8">
        <f>IF(IFERROR(VALUE(SUBSTITUTE(SUBSTITUTE(TRIM('Sales_RAW(BEFORE)'!AT266), "%", ""), ",", ".")), 0) &gt; 1, IFERROR(VALUE(SUBSTITUTE(SUBSTITUTE(TRIM('Sales_RAW(BEFORE)'!AT266), "%", ""), ",", ".")), 0) / 100, IFERROR(VALUE(SUBSTITUTE(SUBSTITUTE(TRIM('Sales_RAW(BEFORE)'!AT266), "%", ""), ",", ".")), 0))</f>
        <v>0.15</v>
      </c>
      <c r="AW258" s="6">
        <f>BA258*(_xlfn.XLOOKUP(N258,Employees!$A$2:$A$26,Employees!$E$2:$E$26,2))</f>
        <v>37.208159999999999</v>
      </c>
      <c r="AX258" s="3" t="str">
        <f>PROPER('Sales_RAW(BEFORE)'!AV266)</f>
        <v xml:space="preserve"> David Miller</v>
      </c>
      <c r="AY258" s="3" t="str">
        <f t="shared" si="23"/>
        <v xml:space="preserve"> David Miller</v>
      </c>
      <c r="AZ258" s="3"/>
      <c r="BA258" s="24">
        <f>AK258*(1-(_xlfn.XLOOKUP(G258, Exchange_Rates!$B$8:$F$8, Exchange_Rates!$B$9:$F$9, 0)+J258))</f>
        <v>1240.2719999999999</v>
      </c>
      <c r="BB258" s="7" cm="1">
        <f t="array" ref="BB258">_xlfn.LET(
  _xlpm.raw_dt, SUBSTITUTE(TRIM(C258), ".", "/"),
  _xlpm.dt, IFERROR(DATEVALUE(_xlpm.raw_dt), C258),
  _xlpm.p_code, TRIM(E258),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46789</v>
      </c>
      <c r="BC258" s="25">
        <f t="shared" si="24"/>
        <v>186.04079999999999</v>
      </c>
    </row>
    <row r="259" spans="1:55" ht="15.75" thickBot="1" x14ac:dyDescent="0.3">
      <c r="A259" s="3" t="s">
        <v>4190</v>
      </c>
      <c r="B259" s="10">
        <v>45689</v>
      </c>
      <c r="C259" s="4">
        <v>45963</v>
      </c>
      <c r="D259" s="3" t="str">
        <f>"P-" &amp; TEXT(VALUE(SUBSTITUTE(SUBSTITUTE(SUBSTITUTE(UPPER(TRIM('Sales_RAW(BEFORE)'!D267)), "P", ""), "-", ""), "_", "")),"000")</f>
        <v>P-046</v>
      </c>
      <c r="E259" s="3" t="str">
        <f>VLOOKUP(D259,Product_List!$A$2:$B$61,2,FALSE)</f>
        <v>Chair Basic 46</v>
      </c>
      <c r="F259" s="3" t="str">
        <f>_xlfn.XLOOKUP(E259,Product_List!$B$2:$B$61,Product_List!$E$2:$E$61,2)</f>
        <v>Global Distrib</v>
      </c>
      <c r="G259" s="3" t="str">
        <f>VLOOKUP(E259,Product_List!$B$2:$C$61,2,FALSE)</f>
        <v>Equipment</v>
      </c>
      <c r="H259" s="3" t="str">
        <f>SUBSTITUTE(SUBSTITUTE('Sales_RAW(BEFORE)'!G267,"kom",""),".","")</f>
        <v xml:space="preserve">27 </v>
      </c>
      <c r="I259" s="6">
        <f>VLOOKUP(E259,Product_List!$B$2:$D$61,3,FALSE)</f>
        <v>549.41999999999996</v>
      </c>
      <c r="J259" s="5">
        <f>IF(IFERROR(VALUE(SUBSTITUTE(SUBSTITUTE(TRIM('Sales_RAW(BEFORE)'!I267), "%", ""), ",", ".")), 0) &gt; 1, IFERROR(VALUE(SUBSTITUTE(SUBSTITUTE(TRIM('Sales_RAW(BEFORE)'!I267), "%", ""), ",", ".")), 0) / 100, IFERROR(VALUE(SUBSTITUTE(SUBSTITUTE(TRIM('Sales_RAW(BEFORE)'!I267), "%", ""), ",", ".")), 0))</f>
        <v>0.1</v>
      </c>
      <c r="K259" s="6">
        <f t="shared" si="22"/>
        <v>14834.339999999998</v>
      </c>
      <c r="L259" s="6" t="str" cm="1">
        <f t="array" ref="L259">_xlfn.LET(
  _xlpm.valuta, UPPER(TRIM('Sales_RAW(BEFORE)'!K267)),
  _xlfn.IFS(
    _xlpm.valuta = "", "",
    OR(_xlpm.valuta = "USD", _xlpm.valuta = "$"), "$",
    OR(_xlpm.valuta = "EUR", _xlpm.valuta = "€"), "€",
    TRUE, _xlpm.valuta
  )
)</f>
        <v>$</v>
      </c>
      <c r="M259" s="3" t="str">
        <f>"E" &amp; TEXT(VALUE(SUBSTITUTE(SUBSTITUTE(SUBSTITUTE(UPPER(TRIM('Sales_RAW(BEFORE)'!L267)), "EMP", ""), "E", ""), "-", "")),"000")</f>
        <v>E016</v>
      </c>
      <c r="N259" s="3" t="str">
        <f>_xlfn.XLOOKUP(M259,Employees!$D$2:$D$26,Employees!$A$2:$A$26)</f>
        <v>Chris Anderson</v>
      </c>
      <c r="O259" s="3" t="str">
        <f>_xlfn.XLOOKUP(N259,Employees!$A$2:$A$26,Employees!$C$2:$C$26,2)</f>
        <v>Online</v>
      </c>
      <c r="P259" s="3" t="str">
        <f>PROPER('Sales_RAW(BEFORE)'!N267)</f>
        <v>South</v>
      </c>
      <c r="Q259" s="3" t="str">
        <f>VLOOKUP(N259,Employees!$A$2:$B$26,2,FALSE)</f>
        <v>Chicago</v>
      </c>
      <c r="R259" s="3" t="str">
        <f>PROPER('Sales_RAW(BEFORE)'!P267)</f>
        <v>Umbrella Llc</v>
      </c>
      <c r="S259" s="3" t="str">
        <f>SUBSTITUTE(SUBSTITUTE('Sales_RAW(BEFORE)'!Q267,"EIN",""),":","")</f>
        <v>351242005</v>
      </c>
      <c r="T259" s="3" t="s">
        <v>420</v>
      </c>
      <c r="U259" s="3" t="s">
        <v>4197</v>
      </c>
      <c r="V259" s="3" t="s">
        <v>4198</v>
      </c>
      <c r="W259" s="3" t="s">
        <v>4199</v>
      </c>
      <c r="X259" s="3" t="s">
        <v>173</v>
      </c>
      <c r="Y259" s="3" t="str">
        <f>PROPER('Sales_RAW(BEFORE)'!W267)</f>
        <v>Credit Card</v>
      </c>
      <c r="Z259" s="3" t="str">
        <f>PROPER('Sales_RAW(BEFORE)'!X267)</f>
        <v>Delivered</v>
      </c>
      <c r="AA259" s="3" t="str" cm="1">
        <f t="array" ref="AA259">_xlfn.LET(
  _xlpm.val, TRIM(LOWER('Sales_RAW(BEFORE)'!Y267)),
  _xlfn.IFS(
    OR(_xlpm.val="yes", _xlpm.val="paid"), "Paid",
    OR(_xlpm.val="no", _xlpm.val="unpaid"), "Unpaid",
    OR(_xlpm.val="partial", _xlpm.val="partial paid"), "Partial",
    _xlpm.val="", "",
    TRUE, 'Sales_RAW(BEFORE)'!AY267
  )
)</f>
        <v>Paid</v>
      </c>
      <c r="AB259" s="3" t="s">
        <v>4200</v>
      </c>
      <c r="AC259" s="3" t="str">
        <f>PROPER('Sales_RAW(BEFORE)'!AA267)</f>
        <v>Phone</v>
      </c>
      <c r="AD259" s="3" t="str">
        <f>SUBSTITUTE(SUBSTITUTE(SUBSTITUTE(SUBSTITUTE('Sales_RAW(BEFORE)'!AB267,"st",""),"q",""),"Q",""),"uarter","")</f>
        <v xml:space="preserve">1 </v>
      </c>
      <c r="AE259" s="3" t="str">
        <f>TEXT(IFERROR(DATEVALUE('Sales_RAW(BEFORE)'!AC267 &amp; " 1"), IFERROR(DATE(2025, 'Sales_RAW(BEFORE)'!AC267, 1), 'Sales_RAW(BEFORE)'!AC267)), "mmmm")</f>
        <v>February</v>
      </c>
      <c r="AF259" s="3">
        <f>_xlfn.LET(
  _xlpm.raw, TRIM(SUBSTITUTE('Sales_RAW(BEFORE)'!AD267, "'", "")),
  _xlpm.num, IFERROR(VALUE(_xlpm.raw), 0),
  IF(_xlpm.num &lt; 100, 2000 + _xlpm.num, _xlpm.num)
)</f>
        <v>2025</v>
      </c>
      <c r="AG259" s="3" t="str">
        <f>PROPER('Sales_RAW(BEFORE)'!AE267)</f>
        <v>Net 30</v>
      </c>
      <c r="AH259" s="3" cm="1">
        <f t="array" ref="AH259">_xlfn.LET(
  _xlpm.val, LOWER(TRIM('Sales_RAW(BEFORE)'!AF267)),
  _xlfn.IFS(
    OR(_xlpm.val="", _xlpm.val="null", _xlpm.val="N/A", _xlpm.val="-", _xlpm.val="#N/A"), 0,
    ISNUMBER('Sales_RAW(BEFORE)'!AF267), 'Sales_RAW(BEFORE)'!AF267,
    TRUE, IFERROR(_xlfn.NUMBERVALUE(_xlpm.val), 0)
  )
)</f>
        <v>33</v>
      </c>
      <c r="AI259" s="5">
        <f>IF(IFERROR(VALUE(SUBSTITUTE(SUBSTITUTE(TRIM('Sales_RAW(BEFORE)'!AG267), "%", ""), ",", ".")), 0) &gt; 1, IFERROR(VALUE(SUBSTITUTE(SUBSTITUTE(TRIM('Sales_RAW(BEFORE)'!AG267), "%", ""), ",", ".")), 0) / 100, IFERROR(VALUE(SUBSTITUTE(SUBSTITUTE(TRIM('Sales_RAW(BEFORE)'!AG267), "%", ""), ",", ".")), 0))</f>
        <v>0.08</v>
      </c>
      <c r="AJ259" s="6">
        <f t="shared" si="20"/>
        <v>1186.7471999999998</v>
      </c>
      <c r="AK259" s="6">
        <f t="shared" si="21"/>
        <v>16021.087199999998</v>
      </c>
      <c r="AL259" s="6">
        <f>IFERROR(VALUE(SUBSTITUTE(SUBSTITUTE(SUBSTITUTE('Sales_RAW(BEFORE)'!AJ267,"$",""),"USD",""),",",".")),0)</f>
        <v>49.55</v>
      </c>
      <c r="AM259" s="3" t="str">
        <f>SUBSTITUTE(SUBSTITUTE(PROPER('Sales_RAW(BEFORE)'!AK267), "Fed Ex", "FedEx"),"Fedex","FedEx")</f>
        <v>Dhl</v>
      </c>
      <c r="AN259" s="3" t="s">
        <v>4202</v>
      </c>
      <c r="AO259" s="3" t="str">
        <f>SUBSTITUTE('Sales_RAW(BEFORE)'!AM267,"kg","")</f>
        <v>4.74</v>
      </c>
      <c r="AP259" s="3" t="str">
        <f>_xlfn.LET(
  _xlpm.raw, UPPER(TRIM('Sales_RAW(BEFORE)'!AN267)),
  _xlpm.clean, RIGHT(_xlpm.raw, 1),
  IF(OR(_xlpm.raw="", _xlpm.raw="null"), "N/A", _xlpm.clean)
)</f>
        <v>C</v>
      </c>
      <c r="AQ259" s="3">
        <v>13</v>
      </c>
      <c r="AR259" s="3" cm="1">
        <f t="array" ref="AR259">_xlfn.LET(
  _xlpm.raw, LOWER(TRIM('Sales_RAW(BEFORE)'!AP267)),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259" s="3"/>
      <c r="AT259" s="3"/>
      <c r="AU259" s="3"/>
      <c r="AV259" s="8">
        <f>IF(IFERROR(VALUE(SUBSTITUTE(SUBSTITUTE(TRIM('Sales_RAW(BEFORE)'!AT267), "%", ""), ",", ".")), 0) &gt; 1, IFERROR(VALUE(SUBSTITUTE(SUBSTITUTE(TRIM('Sales_RAW(BEFORE)'!AT267), "%", ""), ",", ".")), 0) / 100, IFERROR(VALUE(SUBSTITUTE(SUBSTITUTE(TRIM('Sales_RAW(BEFORE)'!AT267), "%", ""), ",", ".")), 0))</f>
        <v>0.25</v>
      </c>
      <c r="AW259" s="6">
        <f>BA259*(_xlfn.XLOOKUP(N259,Employees!$A$2:$A$26,Employees!$E$2:$E$26,2))</f>
        <v>384.50609279999998</v>
      </c>
      <c r="AX259" s="3" t="str">
        <f>PROPER('Sales_RAW(BEFORE)'!AV267)</f>
        <v>David Miller</v>
      </c>
      <c r="AY259" s="3" t="str">
        <f t="shared" si="23"/>
        <v>David Miller</v>
      </c>
      <c r="AZ259" s="3"/>
      <c r="BA259" s="24">
        <f>AK259*(1-(_xlfn.XLOOKUP(G259, Exchange_Rates!$B$8:$F$8, Exchange_Rates!$B$9:$F$9, 0)+J259))</f>
        <v>12816.86976</v>
      </c>
      <c r="BB259" s="7" cm="1">
        <f t="array" ref="BB259">_xlfn.LET(
  _xlpm.raw_dt, SUBSTITUTE(TRIM(C259), ".", "/"),
  _xlpm.dt, IFERROR(DATEVALUE(_xlpm.raw_dt), C259),
  _xlpm.p_code, TRIM(E259),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47059</v>
      </c>
      <c r="BC259" s="25">
        <f t="shared" si="24"/>
        <v>3204.2174399999999</v>
      </c>
    </row>
    <row r="260" spans="1:55" ht="15.75" thickBot="1" x14ac:dyDescent="0.3">
      <c r="A260" s="3" t="s">
        <v>4204</v>
      </c>
      <c r="B260" s="10">
        <f>DATE(2025,2,23)</f>
        <v>45711</v>
      </c>
      <c r="C260" s="4">
        <v>45713</v>
      </c>
      <c r="D260" s="3" t="str">
        <f>"P-" &amp; TEXT(VALUE(SUBSTITUTE(SUBSTITUTE(SUBSTITUTE(UPPER(TRIM('Sales_RAW(BEFORE)'!D268)), "P", ""), "-", ""), "_", "")),"000")</f>
        <v>P-038</v>
      </c>
      <c r="E260" s="3" t="str">
        <f>VLOOKUP(D260,Product_List!$A$2:$B$61,2,FALSE)</f>
        <v>Cable Max 38</v>
      </c>
      <c r="F260" s="3" t="str">
        <f>_xlfn.XLOOKUP(E260,Product_List!$B$2:$B$61,Product_List!$E$2:$E$61,2)</f>
        <v>TechSupply Co</v>
      </c>
      <c r="G260" s="3" t="str">
        <f>VLOOKUP(E260,Product_List!$B$2:$C$61,2,FALSE)</f>
        <v>Electronics</v>
      </c>
      <c r="H260" s="3" t="str">
        <f>SUBSTITUTE(SUBSTITUTE('Sales_RAW(BEFORE)'!G268,"kom",""),".","")</f>
        <v xml:space="preserve">5 </v>
      </c>
      <c r="I260" s="6">
        <f>VLOOKUP(E260,Product_List!$B$2:$D$61,3,FALSE)</f>
        <v>687.68</v>
      </c>
      <c r="J260" s="5">
        <f>IF(IFERROR(VALUE(SUBSTITUTE(SUBSTITUTE(TRIM('Sales_RAW(BEFORE)'!I268), "%", ""), ",", ".")), 0) &gt; 1, IFERROR(VALUE(SUBSTITUTE(SUBSTITUTE(TRIM('Sales_RAW(BEFORE)'!I268), "%", ""), ",", ".")), 0) / 100, IFERROR(VALUE(SUBSTITUTE(SUBSTITUTE(TRIM('Sales_RAW(BEFORE)'!I268), "%", ""), ",", ".")), 0))</f>
        <v>0.1</v>
      </c>
      <c r="K260" s="6">
        <f t="shared" si="22"/>
        <v>3438.3999999999996</v>
      </c>
      <c r="L260" s="6" t="str" cm="1">
        <f t="array" ref="L260">_xlfn.LET(
  _xlpm.valuta, UPPER(TRIM('Sales_RAW(BEFORE)'!K268)),
  _xlfn.IFS(
    _xlpm.valuta = "", "",
    OR(_xlpm.valuta = "USD", _xlpm.valuta = "$"), "$",
    OR(_xlpm.valuta = "EUR", _xlpm.valuta = "€"), "€",
    TRUE, _xlpm.valuta
  )
)</f>
        <v>$</v>
      </c>
      <c r="M260" s="3" t="str">
        <f>"E" &amp; TEXT(VALUE(SUBSTITUTE(SUBSTITUTE(SUBSTITUTE(UPPER(TRIM('Sales_RAW(BEFORE)'!L268)), "EMP", ""), "E", ""), "-", "")),"000")</f>
        <v>E019</v>
      </c>
      <c r="N260" s="3" t="str">
        <f>_xlfn.XLOOKUP(M260,Employees!$D$2:$D$26,Employees!$A$2:$A$26)</f>
        <v>Sophia Taylor</v>
      </c>
      <c r="O260" s="3" t="str">
        <f>_xlfn.XLOOKUP(N260,Employees!$A$2:$A$26,Employees!$C$2:$C$26,2)</f>
        <v>Wholesale</v>
      </c>
      <c r="P260" s="3" t="str">
        <f>PROPER('Sales_RAW(BEFORE)'!N268)</f>
        <v>West</v>
      </c>
      <c r="Q260" s="3" t="str">
        <f>VLOOKUP(N260,Employees!$A$2:$B$26,2,FALSE)</f>
        <v>Los Angeles</v>
      </c>
      <c r="R260" s="3" t="str">
        <f>PROPER('Sales_RAW(BEFORE)'!P268)</f>
        <v>Globex Inc.</v>
      </c>
      <c r="S260" s="3" t="str">
        <f>SUBSTITUTE(SUBSTITUTE('Sales_RAW(BEFORE)'!Q268,"EIN",""),":","")</f>
        <v>394013445</v>
      </c>
      <c r="T260" s="3" t="s">
        <v>935</v>
      </c>
      <c r="U260" s="3" t="s">
        <v>4209</v>
      </c>
      <c r="V260" s="3" t="s">
        <v>4210</v>
      </c>
      <c r="W260" s="3" t="s">
        <v>4211</v>
      </c>
      <c r="X260" s="3" t="s">
        <v>173</v>
      </c>
      <c r="Y260" s="3" t="str">
        <f>PROPER('Sales_RAW(BEFORE)'!W268)</f>
        <v>Credit Card</v>
      </c>
      <c r="Z260" s="3" t="str">
        <f>PROPER('Sales_RAW(BEFORE)'!X268)</f>
        <v>Cancelled</v>
      </c>
      <c r="AA260" s="3" t="str" cm="1">
        <f t="array" ref="AA260">_xlfn.LET(
  _xlpm.val, TRIM(LOWER('Sales_RAW(BEFORE)'!Y268)),
  _xlfn.IFS(
    OR(_xlpm.val="yes", _xlpm.val="paid"), "Paid",
    OR(_xlpm.val="no", _xlpm.val="unpaid"), "Unpaid",
    OR(_xlpm.val="partial", _xlpm.val="partial paid"), "Partial",
    _xlpm.val="", "",
    TRUE, 'Sales_RAW(BEFORE)'!AY268
  )
)</f>
        <v>Paid</v>
      </c>
      <c r="AB260" s="3" t="s">
        <v>4212</v>
      </c>
      <c r="AC260" s="3" t="str">
        <f>PROPER('Sales_RAW(BEFORE)'!AA268)</f>
        <v>Phone</v>
      </c>
      <c r="AD260" s="3" t="str">
        <f>SUBSTITUTE(SUBSTITUTE(SUBSTITUTE(SUBSTITUTE('Sales_RAW(BEFORE)'!AB268,"st",""),"q",""),"Q",""),"uarter","")</f>
        <v>1</v>
      </c>
      <c r="AE260" s="3" t="str">
        <f>TEXT(IFERROR(DATEVALUE('Sales_RAW(BEFORE)'!AC268 &amp; " 1"), IFERROR(DATE(2025, 'Sales_RAW(BEFORE)'!AC268, 1), 'Sales_RAW(BEFORE)'!AC268)), "mmmm")</f>
        <v>February</v>
      </c>
      <c r="AF260" s="3">
        <f>_xlfn.LET(
  _xlpm.raw, TRIM(SUBSTITUTE('Sales_RAW(BEFORE)'!AD268, "'", "")),
  _xlpm.num, IFERROR(VALUE(_xlpm.raw), 0),
  IF(_xlpm.num &lt; 100, 2000 + _xlpm.num, _xlpm.num)
)</f>
        <v>2025</v>
      </c>
      <c r="AG260" s="3" t="str">
        <f>PROPER('Sales_RAW(BEFORE)'!AE268)</f>
        <v>Immediate</v>
      </c>
      <c r="AH260" s="3" cm="1">
        <f t="array" ref="AH260">_xlfn.LET(
  _xlpm.val, LOWER(TRIM('Sales_RAW(BEFORE)'!AF268)),
  _xlfn.IFS(
    OR(_xlpm.val="", _xlpm.val="null", _xlpm.val="N/A", _xlpm.val="-", _xlpm.val="#N/A"), 0,
    ISNUMBER('Sales_RAW(BEFORE)'!AF268), 'Sales_RAW(BEFORE)'!AF268,
    TRUE, IFERROR(_xlfn.NUMBERVALUE(_xlpm.val), 0)
  )
)</f>
        <v>77</v>
      </c>
      <c r="AI260" s="5">
        <f>IF(IFERROR(VALUE(SUBSTITUTE(SUBSTITUTE(TRIM('Sales_RAW(BEFORE)'!AG268), "%", ""), ",", ".")), 0) &gt; 1, IFERROR(VALUE(SUBSTITUTE(SUBSTITUTE(TRIM('Sales_RAW(BEFORE)'!AG268), "%", ""), ",", ".")), 0) / 100, IFERROR(VALUE(SUBSTITUTE(SUBSTITUTE(TRIM('Sales_RAW(BEFORE)'!AG268), "%", ""), ",", ".")), 0))</f>
        <v>0.08</v>
      </c>
      <c r="AJ260" s="6">
        <f t="shared" si="20"/>
        <v>275.072</v>
      </c>
      <c r="AK260" s="6">
        <f t="shared" si="21"/>
        <v>3713.4719999999998</v>
      </c>
      <c r="AL260" s="6">
        <f>IFERROR(VALUE(SUBSTITUTE(SUBSTITUTE(SUBSTITUTE('Sales_RAW(BEFORE)'!AJ268,"$",""),"USD",""),",",".")),0)</f>
        <v>26.94</v>
      </c>
      <c r="AM260" s="3" t="str">
        <f>SUBSTITUTE(SUBSTITUTE(PROPER('Sales_RAW(BEFORE)'!AK268), "Fed Ex", "FedEx"),"Fedex","FedEx")</f>
        <v>Ups</v>
      </c>
      <c r="AN260" s="3" t="s">
        <v>4214</v>
      </c>
      <c r="AO260" s="3" t="str">
        <f>SUBSTITUTE('Sales_RAW(BEFORE)'!AM268,"kg","")</f>
        <v>17,13</v>
      </c>
      <c r="AP260" s="3" t="str">
        <f>_xlfn.LET(
  _xlpm.raw, UPPER(TRIM('Sales_RAW(BEFORE)'!AN268)),
  _xlpm.clean, RIGHT(_xlpm.raw, 1),
  IF(OR(_xlpm.raw="", _xlpm.raw="null"), "N/A", _xlpm.clean)
)</f>
        <v>A</v>
      </c>
      <c r="AQ260" s="3">
        <v>21</v>
      </c>
      <c r="AR260" s="3" t="str" cm="1">
        <f t="array" ref="AR260">_xlfn.LET(
  _xlpm.raw, LOWER(TRIM('Sales_RAW(BEFORE)'!AP268)),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260" s="3"/>
      <c r="AT260" s="3"/>
      <c r="AU260" s="3"/>
      <c r="AV260" s="8">
        <f>IF(IFERROR(VALUE(SUBSTITUTE(SUBSTITUTE(TRIM('Sales_RAW(BEFORE)'!AT268), "%", ""), ",", ".")), 0) &gt; 1, IFERROR(VALUE(SUBSTITUTE(SUBSTITUTE(TRIM('Sales_RAW(BEFORE)'!AT268), "%", ""), ",", ".")), 0) / 100, IFERROR(VALUE(SUBSTITUTE(SUBSTITUTE(TRIM('Sales_RAW(BEFORE)'!AT268), "%", ""), ",", ".")), 0))</f>
        <v>0.18</v>
      </c>
      <c r="AW260" s="6">
        <f>BA260*(_xlfn.XLOOKUP(N260,Employees!$A$2:$A$26,Employees!$E$2:$E$26,2))</f>
        <v>89.123327999999987</v>
      </c>
      <c r="AX260" s="3" t="str">
        <f>PROPER('Sales_RAW(BEFORE)'!AV268)</f>
        <v>Olivia Miller</v>
      </c>
      <c r="AY260" s="3" t="str">
        <f t="shared" si="23"/>
        <v>Olivia Miller</v>
      </c>
      <c r="AZ260" s="3"/>
      <c r="BA260" s="24">
        <f>AK260*(1-(_xlfn.XLOOKUP(G260, Exchange_Rates!$B$8:$F$8, Exchange_Rates!$B$9:$F$9, 0)+J260))</f>
        <v>2970.7775999999999</v>
      </c>
      <c r="BB260" s="7" cm="1">
        <f t="array" ref="BB260">_xlfn.LET(
  _xlpm.raw_dt, SUBSTITUTE(TRIM(C260), ".", "/"),
  _xlpm.dt, IFERROR(DATEVALUE(_xlpm.raw_dt), C260),
  _xlpm.p_code, TRIM(E260),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46443</v>
      </c>
      <c r="BC260" s="25">
        <f t="shared" si="24"/>
        <v>534.73996799999998</v>
      </c>
    </row>
    <row r="261" spans="1:55" ht="15.75" thickBot="1" x14ac:dyDescent="0.3">
      <c r="A261" s="3" t="s">
        <v>4218</v>
      </c>
      <c r="B261" s="10">
        <f>DATE(2026,6,11)</f>
        <v>46184</v>
      </c>
      <c r="C261" s="4">
        <v>46188</v>
      </c>
      <c r="D261" s="3" t="str">
        <f>"P-" &amp; TEXT(VALUE(SUBSTITUTE(SUBSTITUTE(SUBSTITUTE(UPPER(TRIM('Sales_RAW(BEFORE)'!D269)), "P", ""), "-", ""), "_", "")),"000")</f>
        <v>P-048</v>
      </c>
      <c r="E261" s="3" t="str">
        <f>VLOOKUP(D261,Product_List!$A$2:$B$61,2,FALSE)</f>
        <v>License Plus 48</v>
      </c>
      <c r="F261" s="3" t="str">
        <f>_xlfn.XLOOKUP(E261,Product_List!$B$2:$B$61,Product_List!$E$2:$E$61,2)</f>
        <v>BestParts</v>
      </c>
      <c r="G261" s="3" t="str">
        <f>VLOOKUP(E261,Product_List!$B$2:$C$61,2,FALSE)</f>
        <v>Software</v>
      </c>
      <c r="H261" s="3" t="str">
        <f>SUBSTITUTE(SUBSTITUTE('Sales_RAW(BEFORE)'!G269,"kom",""),".","")</f>
        <v>4</v>
      </c>
      <c r="I261" s="6">
        <f>VLOOKUP(E261,Product_List!$B$2:$D$61,3,FALSE)</f>
        <v>471.22</v>
      </c>
      <c r="J261" s="5">
        <f>IF(IFERROR(VALUE(SUBSTITUTE(SUBSTITUTE(TRIM('Sales_RAW(BEFORE)'!I269), "%", ""), ",", ".")), 0) &gt; 1, IFERROR(VALUE(SUBSTITUTE(SUBSTITUTE(TRIM('Sales_RAW(BEFORE)'!I269), "%", ""), ",", ".")), 0) / 100, IFERROR(VALUE(SUBSTITUTE(SUBSTITUTE(TRIM('Sales_RAW(BEFORE)'!I269), "%", ""), ",", ".")), 0))</f>
        <v>0</v>
      </c>
      <c r="K261" s="6">
        <f t="shared" si="22"/>
        <v>1884.88</v>
      </c>
      <c r="L261" s="6" t="str" cm="1">
        <f t="array" ref="L261">_xlfn.LET(
  _xlpm.valuta, UPPER(TRIM('Sales_RAW(BEFORE)'!K269)),
  _xlfn.IFS(
    _xlpm.valuta = "", "",
    OR(_xlpm.valuta = "USD", _xlpm.valuta = "$"), "$",
    OR(_xlpm.valuta = "EUR", _xlpm.valuta = "€"), "€",
    TRUE, _xlpm.valuta
  )
)</f>
        <v>$</v>
      </c>
      <c r="M261" s="3" t="str">
        <f>"E" &amp; TEXT(VALUE(SUBSTITUTE(SUBSTITUTE(SUBSTITUTE(UPPER(TRIM('Sales_RAW(BEFORE)'!L269)), "EMP", ""), "E", ""), "-", "")),"000")</f>
        <v>E003</v>
      </c>
      <c r="N261" s="3" t="str">
        <f>_xlfn.XLOOKUP(M261,Employees!$D$2:$D$26,Employees!$A$2:$A$26)</f>
        <v>Laura Miller</v>
      </c>
      <c r="O261" s="3" t="str">
        <f>_xlfn.XLOOKUP(N261,Employees!$A$2:$A$26,Employees!$C$2:$C$26,2)</f>
        <v>Sales</v>
      </c>
      <c r="P261" s="3" t="str">
        <f>PROPER('Sales_RAW(BEFORE)'!N269)</f>
        <v>North</v>
      </c>
      <c r="Q261" s="3" t="str">
        <f>VLOOKUP(N261,Employees!$A$2:$B$26,2,FALSE)</f>
        <v>Miami</v>
      </c>
      <c r="R261" s="3" t="str">
        <f>PROPER('Sales_RAW(BEFORE)'!P269)</f>
        <v>Wayne Inc.</v>
      </c>
      <c r="S261" s="3" t="str">
        <f>SUBSTITUTE(SUBSTITUTE('Sales_RAW(BEFORE)'!Q269,"EIN",""),":","")</f>
        <v>792074559</v>
      </c>
      <c r="T261" s="3" t="s">
        <v>91</v>
      </c>
      <c r="U261" s="3" t="s">
        <v>4227</v>
      </c>
      <c r="V261" s="3" t="s">
        <v>4228</v>
      </c>
      <c r="W261" s="3" t="s">
        <v>4229</v>
      </c>
      <c r="X261" s="3" t="s">
        <v>173</v>
      </c>
      <c r="Y261" s="3" t="str">
        <f>PROPER('Sales_RAW(BEFORE)'!W269)</f>
        <v>Cash</v>
      </c>
      <c r="Z261" s="3" t="str">
        <f>PROPER('Sales_RAW(BEFORE)'!X269)</f>
        <v>Delivered</v>
      </c>
      <c r="AA261" s="3" t="str" cm="1">
        <f t="array" ref="AA261">_xlfn.LET(
  _xlpm.val, TRIM(LOWER('Sales_RAW(BEFORE)'!Y269)),
  _xlfn.IFS(
    OR(_xlpm.val="yes", _xlpm.val="paid"), "Paid",
    OR(_xlpm.val="no", _xlpm.val="unpaid"), "Unpaid",
    OR(_xlpm.val="partial", _xlpm.val="partial paid"), "Partial",
    _xlpm.val="", "",
    TRUE, 'Sales_RAW(BEFORE)'!AY269
  )
)</f>
        <v>Unpaid</v>
      </c>
      <c r="AB261" s="3" t="s">
        <v>4230</v>
      </c>
      <c r="AC261" s="3" t="str">
        <f>PROPER('Sales_RAW(BEFORE)'!AA269)</f>
        <v>Web</v>
      </c>
      <c r="AD261" s="3" t="str">
        <f>SUBSTITUTE(SUBSTITUTE(SUBSTITUTE(SUBSTITUTE('Sales_RAW(BEFORE)'!AB269,"st",""),"q",""),"Q",""),"uarter","")</f>
        <v>1</v>
      </c>
      <c r="AE261" s="3" t="str">
        <f>TEXT(IFERROR(DATEVALUE('Sales_RAW(BEFORE)'!AC269 &amp; " 1"), IFERROR(DATE(2025, 'Sales_RAW(BEFORE)'!AC269, 1), 'Sales_RAW(BEFORE)'!AC269)), "mmmm")</f>
        <v>June</v>
      </c>
      <c r="AF261" s="3">
        <f>_xlfn.LET(
  _xlpm.raw, TRIM(SUBSTITUTE('Sales_RAW(BEFORE)'!AD269, "'", "")),
  _xlpm.num, IFERROR(VALUE(_xlpm.raw), 0),
  IF(_xlpm.num &lt; 100, 2000 + _xlpm.num, _xlpm.num)
)</f>
        <v>2026</v>
      </c>
      <c r="AG261" s="3" t="str">
        <f>PROPER('Sales_RAW(BEFORE)'!AE269)</f>
        <v>Net 60</v>
      </c>
      <c r="AH261" s="3" cm="1">
        <f t="array" ref="AH261">_xlfn.LET(
  _xlpm.val, LOWER(TRIM('Sales_RAW(BEFORE)'!AF269)),
  _xlfn.IFS(
    OR(_xlpm.val="", _xlpm.val="null", _xlpm.val="N/A", _xlpm.val="-", _xlpm.val="#N/A"), 0,
    ISNUMBER('Sales_RAW(BEFORE)'!AF269), 'Sales_RAW(BEFORE)'!AF269,
    TRUE, IFERROR(_xlfn.NUMBERVALUE(_xlpm.val), 0)
  )
)</f>
        <v>0</v>
      </c>
      <c r="AI261" s="5">
        <f>IF(IFERROR(VALUE(SUBSTITUTE(SUBSTITUTE(TRIM('Sales_RAW(BEFORE)'!AG269), "%", ""), ",", ".")), 0) &gt; 1, IFERROR(VALUE(SUBSTITUTE(SUBSTITUTE(TRIM('Sales_RAW(BEFORE)'!AG269), "%", ""), ",", ".")), 0) / 100, IFERROR(VALUE(SUBSTITUTE(SUBSTITUTE(TRIM('Sales_RAW(BEFORE)'!AG269), "%", ""), ",", ".")), 0))</f>
        <v>0.08</v>
      </c>
      <c r="AJ261" s="6">
        <f t="shared" si="20"/>
        <v>150.79040000000001</v>
      </c>
      <c r="AK261" s="6">
        <f t="shared" si="21"/>
        <v>2035.6704000000002</v>
      </c>
      <c r="AL261" s="6">
        <f>IFERROR(VALUE(SUBSTITUTE(SUBSTITUTE(SUBSTITUTE('Sales_RAW(BEFORE)'!AJ269,"$",""),"USD",""),",",".")),0)</f>
        <v>24.63</v>
      </c>
      <c r="AM261" s="3" t="str">
        <f>SUBSTITUTE(SUBSTITUTE(PROPER('Sales_RAW(BEFORE)'!AK269), "Fed Ex", "FedEx"),"Fedex","FedEx")</f>
        <v>Ups</v>
      </c>
      <c r="AN261" s="3" t="s">
        <v>4232</v>
      </c>
      <c r="AO261" s="3" t="str">
        <f>SUBSTITUTE('Sales_RAW(BEFORE)'!AM269,"kg","")</f>
        <v>21.15</v>
      </c>
      <c r="AP261" s="3" t="str">
        <f>_xlfn.LET(
  _xlpm.raw, UPPER(TRIM('Sales_RAW(BEFORE)'!AN269)),
  _xlpm.clean, RIGHT(_xlpm.raw, 1),
  IF(OR(_xlpm.raw="", _xlpm.raw="null"), "N/A", _xlpm.clean)
)</f>
        <v>C</v>
      </c>
      <c r="AQ261" s="3">
        <v>399</v>
      </c>
      <c r="AR261" s="3" cm="1">
        <f t="array" ref="AR261">_xlfn.LET(
  _xlpm.raw, LOWER(TRIM('Sales_RAW(BEFORE)'!AP269)),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261" s="3"/>
      <c r="AT261" s="3"/>
      <c r="AU261" s="3"/>
      <c r="AV261" s="8">
        <f>IF(IFERROR(VALUE(SUBSTITUTE(SUBSTITUTE(TRIM('Sales_RAW(BEFORE)'!AT269), "%", ""), ",", ".")), 0) &gt; 1, IFERROR(VALUE(SUBSTITUTE(SUBSTITUTE(TRIM('Sales_RAW(BEFORE)'!AT269), "%", ""), ",", ".")), 0) / 100, IFERROR(VALUE(SUBSTITUTE(SUBSTITUTE(TRIM('Sales_RAW(BEFORE)'!AT269), "%", ""), ",", ".")), 0))</f>
        <v>0.25</v>
      </c>
      <c r="AW261" s="6">
        <f>BA261*(_xlfn.XLOOKUP(N261,Employees!$A$2:$A$26,Employees!$E$2:$E$26,2))</f>
        <v>86.515992000000011</v>
      </c>
      <c r="AX261" s="3" t="str">
        <f>PROPER('Sales_RAW(BEFORE)'!AV269)</f>
        <v xml:space="preserve">Daniel Davis   </v>
      </c>
      <c r="AY261" s="3" t="str">
        <f t="shared" si="23"/>
        <v xml:space="preserve">Daniel Davis   </v>
      </c>
      <c r="AZ261" s="3"/>
      <c r="BA261" s="24">
        <f>AK261*(1-(_xlfn.XLOOKUP(G261, Exchange_Rates!$B$8:$F$8, Exchange_Rates!$B$9:$F$9, 0)+J261))</f>
        <v>1730.3198400000001</v>
      </c>
      <c r="BB261" s="7" cm="1">
        <f t="array" ref="BB261">_xlfn.LET(
  _xlpm.raw_dt, SUBSTITUTE(TRIM(C261), ".", "/"),
  _xlpm.dt, IFERROR(DATEVALUE(_xlpm.raw_dt), C261),
  _xlpm.p_code, TRIM(E261),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46553</v>
      </c>
      <c r="BC261" s="25">
        <f t="shared" si="24"/>
        <v>432.57996000000003</v>
      </c>
    </row>
    <row r="262" spans="1:55" ht="15.75" thickBot="1" x14ac:dyDescent="0.3">
      <c r="A262" s="3" t="s">
        <v>4235</v>
      </c>
      <c r="B262" s="10">
        <v>46132</v>
      </c>
      <c r="C262" s="4">
        <f>DATE(2026,4,24)</f>
        <v>46136</v>
      </c>
      <c r="D262" s="3" t="str">
        <f>"P-" &amp; TEXT(VALUE(SUBSTITUTE(SUBSTITUTE(SUBSTITUTE(UPPER(TRIM('Sales_RAW(BEFORE)'!D270)), "P", ""), "-", ""), "_", "")),"000")</f>
        <v>P-007</v>
      </c>
      <c r="E262" s="3" t="str">
        <f>VLOOKUP(D262,Product_List!$A$2:$B$61,2,FALSE)</f>
        <v>Headphones Max 7</v>
      </c>
      <c r="F262" s="3" t="str">
        <f>_xlfn.XLOOKUP(E262,Product_List!$B$2:$B$61,Product_List!$E$2:$E$61,2)</f>
        <v>OfficeHub</v>
      </c>
      <c r="G262" s="3" t="str">
        <f>VLOOKUP(E262,Product_List!$B$2:$C$61,2,FALSE)</f>
        <v>Software</v>
      </c>
      <c r="H262" s="3" t="str">
        <f>SUBSTITUTE(SUBSTITUTE('Sales_RAW(BEFORE)'!G270,"kom",""),".","")</f>
        <v>11</v>
      </c>
      <c r="I262" s="6">
        <f>VLOOKUP(E262,Product_List!$B$2:$D$61,3,FALSE)</f>
        <v>79.14</v>
      </c>
      <c r="J262" s="5">
        <f>IF(IFERROR(VALUE(SUBSTITUTE(SUBSTITUTE(TRIM('Sales_RAW(BEFORE)'!I270), "%", ""), ",", ".")), 0) &gt; 1, IFERROR(VALUE(SUBSTITUTE(SUBSTITUTE(TRIM('Sales_RAW(BEFORE)'!I270), "%", ""), ",", ".")), 0) / 100, IFERROR(VALUE(SUBSTITUTE(SUBSTITUTE(TRIM('Sales_RAW(BEFORE)'!I270), "%", ""), ",", ".")), 0))</f>
        <v>0</v>
      </c>
      <c r="K262" s="6">
        <f>(H262*I262)/(HLOOKUP(AE262,Exchange_Rates!$B$1:$M$2,2,FALSE))</f>
        <v>937.07212055974162</v>
      </c>
      <c r="L262" s="6" t="str" cm="1">
        <f t="array" ref="L262">_xlfn.LET(
  _xlpm.valuta, UPPER(TRIM('Sales_RAW(BEFORE)'!K270)),
  _xlfn.IFS(
    _xlpm.valuta = "", "",
    OR(_xlpm.valuta = "USD", _xlpm.valuta = "$"), "$",
    OR(_xlpm.valuta = "EUR", _xlpm.valuta = "€"), "€",
    TRUE, _xlpm.valuta
  )
)</f>
        <v>€</v>
      </c>
      <c r="M262" s="3" t="str">
        <f>"E" &amp; TEXT(VALUE(SUBSTITUTE(SUBSTITUTE(SUBSTITUTE(UPPER(TRIM('Sales_RAW(BEFORE)'!L270)), "EMP", ""), "E", ""), "-", "")),"000")</f>
        <v>E017</v>
      </c>
      <c r="N262" s="3" t="str">
        <f>_xlfn.XLOOKUP(M262,Employees!$D$2:$D$26,Employees!$A$2:$A$26)</f>
        <v>Robert Davis</v>
      </c>
      <c r="O262" s="3" t="str">
        <f>_xlfn.XLOOKUP(N262,Employees!$A$2:$A$26,Employees!$C$2:$C$26,2)</f>
        <v>Wholesale</v>
      </c>
      <c r="P262" s="3" t="str">
        <f>PROPER('Sales_RAW(BEFORE)'!N270)</f>
        <v>South</v>
      </c>
      <c r="Q262" s="3" t="str">
        <f>VLOOKUP(N262,Employees!$A$2:$B$26,2,FALSE)</f>
        <v>Miami</v>
      </c>
      <c r="R262" s="3" t="str">
        <f>PROPER('Sales_RAW(BEFORE)'!P270)</f>
        <v>Acme Inc</v>
      </c>
      <c r="S262" s="3" t="str">
        <f>SUBSTITUTE(SUBSTITUTE('Sales_RAW(BEFORE)'!Q270,"EIN",""),":","")</f>
        <v xml:space="preserve"> 946904110</v>
      </c>
      <c r="T262" s="3" t="s">
        <v>2743</v>
      </c>
      <c r="U262" s="3" t="s">
        <v>4241</v>
      </c>
      <c r="V262" s="3" t="s">
        <v>4242</v>
      </c>
      <c r="W262" s="3" t="s">
        <v>4243</v>
      </c>
      <c r="X262" s="3" t="s">
        <v>173</v>
      </c>
      <c r="Y262" s="3" t="str">
        <f>PROPER('Sales_RAW(BEFORE)'!W270)</f>
        <v>Cash</v>
      </c>
      <c r="Z262" s="3" t="str">
        <f>PROPER('Sales_RAW(BEFORE)'!X270)</f>
        <v>Processing</v>
      </c>
      <c r="AA262" s="3" t="str" cm="1">
        <f t="array" ref="AA262">_xlfn.LET(
  _xlpm.val, TRIM(LOWER('Sales_RAW(BEFORE)'!Y270)),
  _xlfn.IFS(
    OR(_xlpm.val="yes", _xlpm.val="paid"), "Paid",
    OR(_xlpm.val="no", _xlpm.val="unpaid"), "Unpaid",
    OR(_xlpm.val="partial", _xlpm.val="partial paid"), "Partial",
    _xlpm.val="", "",
    TRUE, 'Sales_RAW(BEFORE)'!AY270
  )
)</f>
        <v>Paid</v>
      </c>
      <c r="AB262" s="3" t="s">
        <v>4244</v>
      </c>
      <c r="AC262" s="3" t="str">
        <f>PROPER('Sales_RAW(BEFORE)'!AA270)</f>
        <v>Phone</v>
      </c>
      <c r="AD262" s="3" t="str">
        <f>SUBSTITUTE(SUBSTITUTE(SUBSTITUTE(SUBSTITUTE('Sales_RAW(BEFORE)'!AB270,"st",""),"q",""),"Q",""),"uarter","")</f>
        <v>1</v>
      </c>
      <c r="AE262" s="3" t="str">
        <f>TEXT(IFERROR(DATEVALUE('Sales_RAW(BEFORE)'!AC270 &amp; " 1"), IFERROR(DATE(2025, 'Sales_RAW(BEFORE)'!AC270, 1), 'Sales_RAW(BEFORE)'!AC270)), "mmmm")</f>
        <v>April</v>
      </c>
      <c r="AF262" s="3">
        <f>_xlfn.LET(
  _xlpm.raw, TRIM(SUBSTITUTE('Sales_RAW(BEFORE)'!AD270, "'", "")),
  _xlpm.num, IFERROR(VALUE(_xlpm.raw), 0),
  IF(_xlpm.num &lt; 100, 2000 + _xlpm.num, _xlpm.num)
)</f>
        <v>2026</v>
      </c>
      <c r="AG262" s="3" t="str">
        <f>PROPER('Sales_RAW(BEFORE)'!AE270)</f>
        <v>Net 60</v>
      </c>
      <c r="AH262" s="3" cm="1">
        <f t="array" ref="AH262">_xlfn.LET(
  _xlpm.val, LOWER(TRIM('Sales_RAW(BEFORE)'!AF270)),
  _xlfn.IFS(
    OR(_xlpm.val="", _xlpm.val="null", _xlpm.val="N/A", _xlpm.val="-", _xlpm.val="#N/A"), 0,
    ISNUMBER('Sales_RAW(BEFORE)'!AF270), 'Sales_RAW(BEFORE)'!AF270,
    TRUE, IFERROR(_xlfn.NUMBERVALUE(_xlpm.val), 0)
  )
)</f>
        <v>0</v>
      </c>
      <c r="AI262" s="5">
        <f>IF(IFERROR(VALUE(SUBSTITUTE(SUBSTITUTE(TRIM('Sales_RAW(BEFORE)'!AG270), "%", ""), ",", ".")), 0) &gt; 1, IFERROR(VALUE(SUBSTITUTE(SUBSTITUTE(TRIM('Sales_RAW(BEFORE)'!AG270), "%", ""), ",", ".")), 0) / 100, IFERROR(VALUE(SUBSTITUTE(SUBSTITUTE(TRIM('Sales_RAW(BEFORE)'!AG270), "%", ""), ",", ".")), 0))</f>
        <v>0.08</v>
      </c>
      <c r="AJ262" s="6">
        <f t="shared" si="20"/>
        <v>74.965769644779328</v>
      </c>
      <c r="AK262" s="6">
        <f t="shared" si="21"/>
        <v>1012.037890204521</v>
      </c>
      <c r="AL262" s="6">
        <f>IFERROR(VALUE(SUBSTITUTE(SUBSTITUTE(SUBSTITUTE('Sales_RAW(BEFORE)'!AJ270,"$",""),"USD",""),",",".")),0)</f>
        <v>4.74</v>
      </c>
      <c r="AM262" s="3" t="str">
        <f>SUBSTITUTE(SUBSTITUTE(PROPER('Sales_RAW(BEFORE)'!AK270), "Fed Ex", "FedEx"),"Fedex","FedEx")</f>
        <v>Usps</v>
      </c>
      <c r="AN262" s="3" t="s">
        <v>4246</v>
      </c>
      <c r="AO262" s="3" t="str">
        <f>SUBSTITUTE('Sales_RAW(BEFORE)'!AM270,"kg","")</f>
        <v>28,41</v>
      </c>
      <c r="AP262" s="3" t="str">
        <f>_xlfn.LET(
  _xlpm.raw, UPPER(TRIM('Sales_RAW(BEFORE)'!AN270)),
  _xlpm.clean, RIGHT(_xlpm.raw, 1),
  IF(OR(_xlpm.raw="", _xlpm.raw="null"), "N/A", _xlpm.clean)
)</f>
        <v>C</v>
      </c>
      <c r="AQ262" s="3">
        <v>142</v>
      </c>
      <c r="AR262" s="3" cm="1">
        <f t="array" ref="AR262">_xlfn.LET(
  _xlpm.raw, LOWER(TRIM('Sales_RAW(BEFORE)'!AP270)),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262" s="3"/>
      <c r="AT262" s="3"/>
      <c r="AU262" s="3"/>
      <c r="AV262" s="8">
        <f>IF(IFERROR(VALUE(SUBSTITUTE(SUBSTITUTE(TRIM('Sales_RAW(BEFORE)'!AT270), "%", ""), ",", ".")), 0) &gt; 1, IFERROR(VALUE(SUBSTITUTE(SUBSTITUTE(TRIM('Sales_RAW(BEFORE)'!AT270), "%", ""), ",", ".")), 0) / 100, IFERROR(VALUE(SUBSTITUTE(SUBSTITUTE(TRIM('Sales_RAW(BEFORE)'!AT270), "%", ""), ",", ".")), 0))</f>
        <v>0.18</v>
      </c>
      <c r="AW262" s="6">
        <f>BA262*(_xlfn.XLOOKUP(N262,Employees!$A$2:$A$26,Employees!$E$2:$E$26,2))</f>
        <v>25.806966200215285</v>
      </c>
      <c r="AX262" s="3" t="str">
        <f>PROPER('Sales_RAW(BEFORE)'!AV270)</f>
        <v>James Anderson</v>
      </c>
      <c r="AY262" s="3" t="str">
        <f t="shared" si="23"/>
        <v>James Anderson</v>
      </c>
      <c r="AZ262" s="3"/>
      <c r="BA262" s="24">
        <f>AK262*(1-(_xlfn.XLOOKUP(G262, Exchange_Rates!$B$8:$F$8, Exchange_Rates!$B$9:$F$9, 0)+J262))</f>
        <v>860.23220667384282</v>
      </c>
      <c r="BB262" s="7" cm="1">
        <f t="array" ref="BB262">_xlfn.LET(
  _xlpm.raw_dt, SUBSTITUTE(TRIM(C262), ".", "/"),
  _xlpm.dt, IFERROR(DATEVALUE(_xlpm.raw_dt), C262),
  _xlpm.p_code, TRIM(E262),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46867</v>
      </c>
      <c r="BC262" s="25">
        <f t="shared" si="24"/>
        <v>154.84179720129171</v>
      </c>
    </row>
    <row r="263" spans="1:55" ht="15.75" thickBot="1" x14ac:dyDescent="0.3">
      <c r="A263" s="3" t="s">
        <v>4248</v>
      </c>
      <c r="B263" s="10">
        <f>DATE(2025,9,16)</f>
        <v>45916</v>
      </c>
      <c r="C263" s="4">
        <f>DATE(2025,9,28)</f>
        <v>45928</v>
      </c>
      <c r="D263" s="3" t="str">
        <f>"P-" &amp; TEXT(VALUE(SUBSTITUTE(SUBSTITUTE(SUBSTITUTE(UPPER(TRIM('Sales_RAW(BEFORE)'!D271)), "P", ""), "-", ""), "_", "")),"000")</f>
        <v>P-054</v>
      </c>
      <c r="E263" s="3" t="str">
        <f>VLOOKUP(D263,Product_List!$A$2:$B$61,2,FALSE)</f>
        <v>Mouse Basic 54</v>
      </c>
      <c r="F263" s="3" t="str">
        <f>_xlfn.XLOOKUP(E263,Product_List!$B$2:$B$61,Product_List!$E$2:$E$61,2)</f>
        <v>OfficeHub</v>
      </c>
      <c r="G263" s="3" t="str">
        <f>VLOOKUP(E263,Product_List!$B$2:$C$61,2,FALSE)</f>
        <v>Office</v>
      </c>
      <c r="H263" s="3" t="str">
        <f>SUBSTITUTE(SUBSTITUTE('Sales_RAW(BEFORE)'!G271,"kom",""),".","")</f>
        <v xml:space="preserve">7 </v>
      </c>
      <c r="I263" s="6">
        <f>VLOOKUP(E263,Product_List!$B$2:$D$61,3,FALSE)</f>
        <v>801.23</v>
      </c>
      <c r="J263" s="5">
        <f>IF(IFERROR(VALUE(SUBSTITUTE(SUBSTITUTE(TRIM('Sales_RAW(BEFORE)'!I271), "%", ""), ",", ".")), 0) &gt; 1, IFERROR(VALUE(SUBSTITUTE(SUBSTITUTE(TRIM('Sales_RAW(BEFORE)'!I271), "%", ""), ",", ".")), 0) / 100, IFERROR(VALUE(SUBSTITUTE(SUBSTITUTE(TRIM('Sales_RAW(BEFORE)'!I271), "%", ""), ",", ".")), 0))</f>
        <v>0.1</v>
      </c>
      <c r="K263" s="6">
        <f t="shared" si="22"/>
        <v>5608.6100000000006</v>
      </c>
      <c r="L263" s="6" t="str" cm="1">
        <f t="array" ref="L263">_xlfn.LET(
  _xlpm.valuta, UPPER(TRIM('Sales_RAW(BEFORE)'!K271)),
  _xlfn.IFS(
    _xlpm.valuta = "", "",
    OR(_xlpm.valuta = "USD", _xlpm.valuta = "$"), "$",
    OR(_xlpm.valuta = "EUR", _xlpm.valuta = "€"), "€",
    TRUE, _xlpm.valuta
  )
)</f>
        <v>$</v>
      </c>
      <c r="M263" s="3" t="str">
        <f>"E" &amp; TEXT(VALUE(SUBSTITUTE(SUBSTITUTE(SUBSTITUTE(UPPER(TRIM('Sales_RAW(BEFORE)'!L271)), "EMP", ""), "E", ""), "-", "")),"000")</f>
        <v>E010</v>
      </c>
      <c r="N263" s="3" t="str">
        <f>_xlfn.XLOOKUP(M263,Employees!$D$2:$D$26,Employees!$A$2:$A$26)</f>
        <v>Olivia Anderson</v>
      </c>
      <c r="O263" s="3" t="str">
        <f>_xlfn.XLOOKUP(N263,Employees!$A$2:$A$26,Employees!$C$2:$C$26,2)</f>
        <v>Online</v>
      </c>
      <c r="P263" s="3" t="str">
        <f>PROPER('Sales_RAW(BEFORE)'!N271)</f>
        <v>West</v>
      </c>
      <c r="Q263" s="3" t="str">
        <f>VLOOKUP(N263,Employees!$A$2:$B$26,2,FALSE)</f>
        <v>Houston</v>
      </c>
      <c r="R263" s="3" t="str">
        <f>PROPER('Sales_RAW(BEFORE)'!P271)</f>
        <v>Stark Inc.</v>
      </c>
      <c r="S263" s="3" t="str">
        <f>SUBSTITUTE(SUBSTITUTE('Sales_RAW(BEFORE)'!Q271,"EIN",""),":","")</f>
        <v xml:space="preserve"> 626359417</v>
      </c>
      <c r="T263" s="3" t="s">
        <v>665</v>
      </c>
      <c r="U263" s="3" t="s">
        <v>4255</v>
      </c>
      <c r="V263" s="3" t="s">
        <v>4256</v>
      </c>
      <c r="W263" s="3" t="s">
        <v>163</v>
      </c>
      <c r="X263" s="3" t="s">
        <v>173</v>
      </c>
      <c r="Y263" s="3" t="str">
        <f>PROPER('Sales_RAW(BEFORE)'!W271)</f>
        <v>Wire Transfer</v>
      </c>
      <c r="Z263" s="3" t="str">
        <f>PROPER('Sales_RAW(BEFORE)'!X271)</f>
        <v>Delivered</v>
      </c>
      <c r="AA263" s="3" t="str" cm="1">
        <f t="array" ref="AA263">_xlfn.LET(
  _xlpm.val, TRIM(LOWER('Sales_RAW(BEFORE)'!Y271)),
  _xlfn.IFS(
    OR(_xlpm.val="yes", _xlpm.val="paid"), "Paid",
    OR(_xlpm.val="no", _xlpm.val="unpaid"), "Unpaid",
    OR(_xlpm.val="partial", _xlpm.val="partial paid"), "Partial",
    _xlpm.val="", "",
    TRUE, 'Sales_RAW(BEFORE)'!AY271
  )
)</f>
        <v>Partial</v>
      </c>
      <c r="AB263" s="3" t="s">
        <v>4257</v>
      </c>
      <c r="AC263" s="3" t="str">
        <f>PROPER('Sales_RAW(BEFORE)'!AA271)</f>
        <v>Online</v>
      </c>
      <c r="AD263" s="3" t="str">
        <f>SUBSTITUTE(SUBSTITUTE(SUBSTITUTE(SUBSTITUTE('Sales_RAW(BEFORE)'!AB271,"st",""),"q",""),"Q",""),"uarter","")</f>
        <v>4</v>
      </c>
      <c r="AE263" s="3" t="str">
        <f>TEXT(IFERROR(DATEVALUE('Sales_RAW(BEFORE)'!AC271 &amp; " 1"), IFERROR(DATE(2025, 'Sales_RAW(BEFORE)'!AC271, 1), 'Sales_RAW(BEFORE)'!AC271)), "mmmm")</f>
        <v>September</v>
      </c>
      <c r="AF263" s="3">
        <f>_xlfn.LET(
  _xlpm.raw, TRIM(SUBSTITUTE('Sales_RAW(BEFORE)'!AD271, "'", "")),
  _xlpm.num, IFERROR(VALUE(_xlpm.raw), 0),
  IF(_xlpm.num &lt; 100, 2000 + _xlpm.num, _xlpm.num)
)</f>
        <v>2025</v>
      </c>
      <c r="AG263" s="3" t="str">
        <f>PROPER('Sales_RAW(BEFORE)'!AE271)</f>
        <v>Net 30</v>
      </c>
      <c r="AH263" s="3" cm="1">
        <f t="array" ref="AH263">_xlfn.LET(
  _xlpm.val, LOWER(TRIM('Sales_RAW(BEFORE)'!AF271)),
  _xlfn.IFS(
    OR(_xlpm.val="", _xlpm.val="null", _xlpm.val="N/A", _xlpm.val="-", _xlpm.val="#N/A"), 0,
    ISNUMBER('Sales_RAW(BEFORE)'!AF271), 'Sales_RAW(BEFORE)'!AF271,
    TRUE, IFERROR(_xlfn.NUMBERVALUE(_xlpm.val), 0)
  )
)</f>
        <v>0</v>
      </c>
      <c r="AI263" s="5">
        <f>IF(IFERROR(VALUE(SUBSTITUTE(SUBSTITUTE(TRIM('Sales_RAW(BEFORE)'!AG271), "%", ""), ",", ".")), 0) &gt; 1, IFERROR(VALUE(SUBSTITUTE(SUBSTITUTE(TRIM('Sales_RAW(BEFORE)'!AG271), "%", ""), ",", ".")), 0) / 100, IFERROR(VALUE(SUBSTITUTE(SUBSTITUTE(TRIM('Sales_RAW(BEFORE)'!AG271), "%", ""), ",", ".")), 0))</f>
        <v>0.08</v>
      </c>
      <c r="AJ263" s="6">
        <f t="shared" si="20"/>
        <v>448.68880000000007</v>
      </c>
      <c r="AK263" s="6">
        <f t="shared" si="21"/>
        <v>6057.2988000000005</v>
      </c>
      <c r="AL263" s="6">
        <f>IFERROR(VALUE(SUBSTITUTE(SUBSTITUTE(SUBSTITUTE('Sales_RAW(BEFORE)'!AJ271,"$",""),"USD",""),",",".")),0)</f>
        <v>34.340000000000003</v>
      </c>
      <c r="AM263" s="3" t="str">
        <f>SUBSTITUTE(SUBSTITUTE(PROPER('Sales_RAW(BEFORE)'!AK271), "Fed Ex", "FedEx"),"Fedex","FedEx")</f>
        <v>FedEx</v>
      </c>
      <c r="AN263" s="3" t="s">
        <v>4258</v>
      </c>
      <c r="AO263" s="3" t="str">
        <f>SUBSTITUTE('Sales_RAW(BEFORE)'!AM271,"kg","")</f>
        <v>4,27</v>
      </c>
      <c r="AP263" s="3" t="str">
        <f>_xlfn.LET(
  _xlpm.raw, UPPER(TRIM('Sales_RAW(BEFORE)'!AN271)),
  _xlpm.clean, RIGHT(_xlpm.raw, 1),
  IF(OR(_xlpm.raw="", _xlpm.raw="null"), "N/A", _xlpm.clean)
)</f>
        <v>B</v>
      </c>
      <c r="AQ263" s="3">
        <v>162</v>
      </c>
      <c r="AR263" s="3" t="str" cm="1">
        <f t="array" ref="AR263">_xlfn.LET(
  _xlpm.raw, LOWER(TRIM('Sales_RAW(BEFORE)'!AP271)),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263" s="3"/>
      <c r="AT263" s="3"/>
      <c r="AU263" s="3"/>
      <c r="AV263" s="8">
        <f>IF(IFERROR(VALUE(SUBSTITUTE(SUBSTITUTE(TRIM('Sales_RAW(BEFORE)'!AT271), "%", ""), ",", ".")), 0) &gt; 1, IFERROR(VALUE(SUBSTITUTE(SUBSTITUTE(TRIM('Sales_RAW(BEFORE)'!AT271), "%", ""), ",", ".")), 0) / 100, IFERROR(VALUE(SUBSTITUTE(SUBSTITUTE(TRIM('Sales_RAW(BEFORE)'!AT271), "%", ""), ",", ".")), 0))</f>
        <v>0.15</v>
      </c>
      <c r="AW263" s="6">
        <f>BA263*(_xlfn.XLOOKUP(N263,Employees!$A$2:$A$26,Employees!$E$2:$E$26,2))</f>
        <v>145.37517120000001</v>
      </c>
      <c r="AX263" s="3" t="str">
        <f>PROPER('Sales_RAW(BEFORE)'!AV271)</f>
        <v>John Wilson</v>
      </c>
      <c r="AY263" s="3" t="str">
        <f t="shared" si="23"/>
        <v>John Wilson</v>
      </c>
      <c r="AZ263" s="3"/>
      <c r="BA263" s="24">
        <f>AK263*(1-(_xlfn.XLOOKUP(G263, Exchange_Rates!$B$8:$F$8, Exchange_Rates!$B$9:$F$9, 0)+J263))</f>
        <v>4845.8390400000008</v>
      </c>
      <c r="BB263" s="7" cm="1">
        <f t="array" ref="BB263">_xlfn.LET(
  _xlpm.raw_dt, SUBSTITUTE(TRIM(C263), ".", "/"),
  _xlpm.dt, IFERROR(DATEVALUE(_xlpm.raw_dt), C263),
  _xlpm.p_code, TRIM(E263),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46658</v>
      </c>
      <c r="BC263" s="25">
        <f t="shared" si="24"/>
        <v>726.87585600000011</v>
      </c>
    </row>
    <row r="264" spans="1:55" ht="15.75" thickBot="1" x14ac:dyDescent="0.3">
      <c r="A264" s="3" t="s">
        <v>4262</v>
      </c>
      <c r="B264" s="10">
        <v>45942</v>
      </c>
      <c r="C264" s="4">
        <f>DATE(2025,10,17)</f>
        <v>45947</v>
      </c>
      <c r="D264" s="3" t="str">
        <f>"P-" &amp; TEXT(VALUE(SUBSTITUTE(SUBSTITUTE(SUBSTITUTE(UPPER(TRIM('Sales_RAW(BEFORE)'!D272)), "P", ""), "-", ""), "_", "")),"000")</f>
        <v>P-032</v>
      </c>
      <c r="E264" s="3" t="str">
        <f>VLOOKUP(D264,Product_List!$A$2:$B$61,2,FALSE)</f>
        <v>Cable Basic 32</v>
      </c>
      <c r="F264" s="3" t="str">
        <f>_xlfn.XLOOKUP(E264,Product_List!$B$2:$B$61,Product_List!$E$2:$E$61,2)</f>
        <v>OfficeHub</v>
      </c>
      <c r="G264" s="3" t="str">
        <f>VLOOKUP(E264,Product_List!$B$2:$C$61,2,FALSE)</f>
        <v>Software</v>
      </c>
      <c r="H264" s="3" t="str">
        <f>SUBSTITUTE(SUBSTITUTE('Sales_RAW(BEFORE)'!G272,"kom",""),".","")</f>
        <v>16</v>
      </c>
      <c r="I264" s="6">
        <f>VLOOKUP(E264,Product_List!$B$2:$D$61,3,FALSE)</f>
        <v>1479.77</v>
      </c>
      <c r="J264" s="5">
        <f>IF(IFERROR(VALUE(SUBSTITUTE(SUBSTITUTE(TRIM('Sales_RAW(BEFORE)'!I272), "%", ""), ",", ".")), 0) &gt; 1, IFERROR(VALUE(SUBSTITUTE(SUBSTITUTE(TRIM('Sales_RAW(BEFORE)'!I272), "%", ""), ",", ".")), 0) / 100, IFERROR(VALUE(SUBSTITUTE(SUBSTITUTE(TRIM('Sales_RAW(BEFORE)'!I272), "%", ""), ",", ".")), 0))</f>
        <v>0.1</v>
      </c>
      <c r="K264" s="6">
        <f t="shared" si="22"/>
        <v>23676.32</v>
      </c>
      <c r="L264" s="6" t="str" cm="1">
        <f t="array" ref="L264">_xlfn.LET(
  _xlpm.valuta, UPPER(TRIM('Sales_RAW(BEFORE)'!K272)),
  _xlfn.IFS(
    _xlpm.valuta = "", "",
    OR(_xlpm.valuta = "USD", _xlpm.valuta = "$"), "$",
    OR(_xlpm.valuta = "EUR", _xlpm.valuta = "€"), "€",
    TRUE, _xlpm.valuta
  )
)</f>
        <v>$</v>
      </c>
      <c r="M264" s="3" t="str">
        <f>"E" &amp; TEXT(VALUE(SUBSTITUTE(SUBSTITUTE(SUBSTITUTE(UPPER(TRIM('Sales_RAW(BEFORE)'!L272)), "EMP", ""), "E", ""), "-", "")),"000")</f>
        <v>E012</v>
      </c>
      <c r="N264" s="3" t="str">
        <f>_xlfn.XLOOKUP(M264,Employees!$D$2:$D$26,Employees!$A$2:$A$26)</f>
        <v>John Smith</v>
      </c>
      <c r="O264" s="3" t="str">
        <f>_xlfn.XLOOKUP(N264,Employees!$A$2:$A$26,Employees!$C$2:$C$26,2)</f>
        <v>Sales</v>
      </c>
      <c r="P264" s="3" t="str">
        <f>PROPER('Sales_RAW(BEFORE)'!N272)</f>
        <v>West</v>
      </c>
      <c r="Q264" s="3" t="str">
        <f>VLOOKUP(N264,Employees!$A$2:$B$26,2,FALSE)</f>
        <v>Miami</v>
      </c>
      <c r="R264" s="3" t="str">
        <f>PROPER('Sales_RAW(BEFORE)'!P272)</f>
        <v>Acme Ltd.</v>
      </c>
      <c r="S264" s="3" t="str">
        <f>SUBSTITUTE(SUBSTITUTE('Sales_RAW(BEFORE)'!Q272,"EIN",""),":","")</f>
        <v>109597773</v>
      </c>
      <c r="T264" s="3" t="s">
        <v>935</v>
      </c>
      <c r="U264" s="3" t="s">
        <v>4267</v>
      </c>
      <c r="V264" s="3" t="s">
        <v>466</v>
      </c>
      <c r="W264" s="3" t="s">
        <v>4268</v>
      </c>
      <c r="X264" s="3" t="s">
        <v>173</v>
      </c>
      <c r="Y264" s="3" t="str">
        <f>PROPER('Sales_RAW(BEFORE)'!W272)</f>
        <v>Wire Transfer</v>
      </c>
      <c r="Z264" s="3" t="str">
        <f>PROPER('Sales_RAW(BEFORE)'!X272)</f>
        <v>Pending</v>
      </c>
      <c r="AA264" s="3" t="str" cm="1">
        <f t="array" ref="AA264">_xlfn.LET(
  _xlpm.val, TRIM(LOWER('Sales_RAW(BEFORE)'!Y272)),
  _xlfn.IFS(
    OR(_xlpm.val="yes", _xlpm.val="paid"), "Paid",
    OR(_xlpm.val="no", _xlpm.val="unpaid"), "Unpaid",
    OR(_xlpm.val="partial", _xlpm.val="partial paid"), "Partial",
    _xlpm.val="", "",
    TRUE, 'Sales_RAW(BEFORE)'!AY272
  )
)</f>
        <v>Paid</v>
      </c>
      <c r="AB264" s="3" t="s">
        <v>4269</v>
      </c>
      <c r="AC264" s="3" t="str">
        <f>PROPER('Sales_RAW(BEFORE)'!AA272)</f>
        <v>Online</v>
      </c>
      <c r="AD264" s="3" t="str">
        <f>SUBSTITUTE(SUBSTITUTE(SUBSTITUTE(SUBSTITUTE('Sales_RAW(BEFORE)'!AB272,"st",""),"q",""),"Q",""),"uarter","")</f>
        <v>4</v>
      </c>
      <c r="AE264" s="3" t="str">
        <f>TEXT(IFERROR(DATEVALUE('Sales_RAW(BEFORE)'!AC272 &amp; " 1"), IFERROR(DATE(2025, 'Sales_RAW(BEFORE)'!AC272, 1), 'Sales_RAW(BEFORE)'!AC272)), "mmmm")</f>
        <v>October</v>
      </c>
      <c r="AF264" s="3">
        <f>_xlfn.LET(
  _xlpm.raw, TRIM(SUBSTITUTE('Sales_RAW(BEFORE)'!AD272, "'", "")),
  _xlpm.num, IFERROR(VALUE(_xlpm.raw), 0),
  IF(_xlpm.num &lt; 100, 2000 + _xlpm.num, _xlpm.num)
)</f>
        <v>2025</v>
      </c>
      <c r="AG264" s="3" t="str">
        <f>PROPER('Sales_RAW(BEFORE)'!AE272)</f>
        <v>15</v>
      </c>
      <c r="AH264" s="3" cm="1">
        <f t="array" ref="AH264">_xlfn.LET(
  _xlpm.val, LOWER(TRIM('Sales_RAW(BEFORE)'!AF272)),
  _xlfn.IFS(
    OR(_xlpm.val="", _xlpm.val="null", _xlpm.val="N/A", _xlpm.val="-", _xlpm.val="#N/A"), 0,
    ISNUMBER('Sales_RAW(BEFORE)'!AF272), 'Sales_RAW(BEFORE)'!AF272,
    TRUE, IFERROR(_xlfn.NUMBERVALUE(_xlpm.val), 0)
  )
)</f>
        <v>17</v>
      </c>
      <c r="AI264" s="5">
        <f>IF(IFERROR(VALUE(SUBSTITUTE(SUBSTITUTE(TRIM('Sales_RAW(BEFORE)'!AG272), "%", ""), ",", ".")), 0) &gt; 1, IFERROR(VALUE(SUBSTITUTE(SUBSTITUTE(TRIM('Sales_RAW(BEFORE)'!AG272), "%", ""), ",", ".")), 0) / 100, IFERROR(VALUE(SUBSTITUTE(SUBSTITUTE(TRIM('Sales_RAW(BEFORE)'!AG272), "%", ""), ",", ".")), 0))</f>
        <v>0.08</v>
      </c>
      <c r="AJ264" s="6">
        <f t="shared" si="20"/>
        <v>1894.1056000000001</v>
      </c>
      <c r="AK264" s="6">
        <f t="shared" si="21"/>
        <v>25570.425599999999</v>
      </c>
      <c r="AL264" s="6">
        <f>IFERROR(VALUE(SUBSTITUTE(SUBSTITUTE(SUBSTITUTE('Sales_RAW(BEFORE)'!AJ272,"$",""),"USD",""),",",".")),0)</f>
        <v>29.57</v>
      </c>
      <c r="AM264" s="3" t="str">
        <f>SUBSTITUTE(SUBSTITUTE(PROPER('Sales_RAW(BEFORE)'!AK272), "Fed Ex", "FedEx"),"Fedex","FedEx")</f>
        <v>Ups</v>
      </c>
      <c r="AN264" s="3" t="s">
        <v>4271</v>
      </c>
      <c r="AO264" s="3" t="str">
        <f>SUBSTITUTE('Sales_RAW(BEFORE)'!AM272,"kg","")</f>
        <v>27</v>
      </c>
      <c r="AP264" s="3" t="str">
        <f>_xlfn.LET(
  _xlpm.raw, UPPER(TRIM('Sales_RAW(BEFORE)'!AN272)),
  _xlpm.clean, RIGHT(_xlpm.raw, 1),
  IF(OR(_xlpm.raw="", _xlpm.raw="null"), "N/A", _xlpm.clean)
)</f>
        <v>A</v>
      </c>
      <c r="AQ264" s="3">
        <v>7</v>
      </c>
      <c r="AR264" s="3" cm="1">
        <f t="array" ref="AR264">_xlfn.LET(
  _xlpm.raw, LOWER(TRIM('Sales_RAW(BEFORE)'!AP272)),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264" s="3"/>
      <c r="AT264" s="3"/>
      <c r="AU264" s="3"/>
      <c r="AV264" s="8">
        <f>IF(IFERROR(VALUE(SUBSTITUTE(SUBSTITUTE(TRIM('Sales_RAW(BEFORE)'!AT272), "%", ""), ",", ".")), 0) &gt; 1, IFERROR(VALUE(SUBSTITUTE(SUBSTITUTE(TRIM('Sales_RAW(BEFORE)'!AT272), "%", ""), ",", ".")), 0) / 100, IFERROR(VALUE(SUBSTITUTE(SUBSTITUTE(TRIM('Sales_RAW(BEFORE)'!AT272), "%", ""), ",", ".")), 0))</f>
        <v>0</v>
      </c>
      <c r="AW264" s="6">
        <f>BA264*(_xlfn.XLOOKUP(N264,Employees!$A$2:$A$26,Employees!$E$2:$E$26,2))</f>
        <v>383.55638399999998</v>
      </c>
      <c r="AX264" s="3" t="str">
        <f>PROPER('Sales_RAW(BEFORE)'!AV272)</f>
        <v xml:space="preserve">   Olivia Williams</v>
      </c>
      <c r="AY264" s="3" t="str">
        <f t="shared" si="23"/>
        <v xml:space="preserve">   Olivia Williams</v>
      </c>
      <c r="AZ264" s="3"/>
      <c r="BA264" s="24">
        <f>AK264*(1-(_xlfn.XLOOKUP(G264, Exchange_Rates!$B$8:$F$8, Exchange_Rates!$B$9:$F$9, 0)+J264))</f>
        <v>19177.819199999998</v>
      </c>
      <c r="BB264" s="7" cm="1">
        <f t="array" ref="BB264">_xlfn.LET(
  _xlpm.raw_dt, SUBSTITUTE(TRIM(C264), ".", "/"),
  _xlpm.dt, IFERROR(DATEVALUE(_xlpm.raw_dt), C264),
  _xlpm.p_code, TRIM(E264),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47043</v>
      </c>
      <c r="BC264" s="25">
        <f t="shared" si="24"/>
        <v>0</v>
      </c>
    </row>
    <row r="265" spans="1:55" ht="15.75" thickBot="1" x14ac:dyDescent="0.3">
      <c r="A265" s="3" t="s">
        <v>4273</v>
      </c>
      <c r="B265" s="10">
        <v>45881</v>
      </c>
      <c r="C265" s="4">
        <v>45894</v>
      </c>
      <c r="D265" s="3" t="str">
        <f>"P-" &amp; TEXT(VALUE(SUBSTITUTE(SUBSTITUTE(SUBSTITUTE(UPPER(TRIM('Sales_RAW(BEFORE)'!D273)), "P", ""), "-", ""), "_", "")),"000")</f>
        <v>P-057</v>
      </c>
      <c r="E265" s="3" t="str">
        <f>VLOOKUP(D265,Product_List!$A$2:$B$61,2,FALSE)</f>
        <v>Keyboard X 57</v>
      </c>
      <c r="F265" s="3" t="str">
        <f>_xlfn.XLOOKUP(E265,Product_List!$B$2:$B$61,Product_List!$E$2:$E$61,2)</f>
        <v>BestParts</v>
      </c>
      <c r="G265" s="3" t="str">
        <f>VLOOKUP(E265,Product_List!$B$2:$C$61,2,FALSE)</f>
        <v>Equipment</v>
      </c>
      <c r="H265" s="3" t="str">
        <f>SUBSTITUTE(SUBSTITUTE('Sales_RAW(BEFORE)'!G273,"kom",""),".","")</f>
        <v xml:space="preserve">27 </v>
      </c>
      <c r="I265" s="6">
        <f>VLOOKUP(E265,Product_List!$B$2:$D$61,3,FALSE)</f>
        <v>741.71</v>
      </c>
      <c r="J265" s="5">
        <f>IF(IFERROR(VALUE(SUBSTITUTE(SUBSTITUTE(TRIM('Sales_RAW(BEFORE)'!I273), "%", ""), ",", ".")), 0) &gt; 1, IFERROR(VALUE(SUBSTITUTE(SUBSTITUTE(TRIM('Sales_RAW(BEFORE)'!I273), "%", ""), ",", ".")), 0) / 100, IFERROR(VALUE(SUBSTITUTE(SUBSTITUTE(TRIM('Sales_RAW(BEFORE)'!I273), "%", ""), ",", ".")), 0))</f>
        <v>0</v>
      </c>
      <c r="K265" s="6">
        <f>(H265*I265)/(HLOOKUP(AE265,Exchange_Rates!$B$1:$M$2,2,FALSE))</f>
        <v>21720.357917570502</v>
      </c>
      <c r="L265" s="6" t="str" cm="1">
        <f t="array" ref="L265">_xlfn.LET(
  _xlpm.valuta, UPPER(TRIM('Sales_RAW(BEFORE)'!K273)),
  _xlfn.IFS(
    _xlpm.valuta = "", "",
    OR(_xlpm.valuta = "USD", _xlpm.valuta = "$"), "$",
    OR(_xlpm.valuta = "EUR", _xlpm.valuta = "€"), "€",
    TRUE, _xlpm.valuta
  )
)</f>
        <v>€</v>
      </c>
      <c r="M265" s="3" t="str">
        <f>"E" &amp; TEXT(VALUE(SUBSTITUTE(SUBSTITUTE(SUBSTITUTE(UPPER(TRIM('Sales_RAW(BEFORE)'!L273)), "EMP", ""), "E", ""), "-", "")),"000")</f>
        <v>E005</v>
      </c>
      <c r="N265" s="3" t="str">
        <f>_xlfn.XLOOKUP(M265,Employees!$D$2:$D$26,Employees!$A$2:$A$26)</f>
        <v>Laura Williams</v>
      </c>
      <c r="O265" s="3" t="str">
        <f>_xlfn.XLOOKUP(N265,Employees!$A$2:$A$26,Employees!$C$2:$C$26,2)</f>
        <v>Online</v>
      </c>
      <c r="P265" s="3" t="str">
        <f>PROPER('Sales_RAW(BEFORE)'!N273)</f>
        <v>South</v>
      </c>
      <c r="Q265" s="3" t="str">
        <f>VLOOKUP(N265,Employees!$A$2:$B$26,2,FALSE)</f>
        <v>Houston</v>
      </c>
      <c r="R265" s="3" t="str">
        <f>PROPER('Sales_RAW(BEFORE)'!P273)</f>
        <v xml:space="preserve"> Wayne Inc</v>
      </c>
      <c r="S265" s="3" t="str">
        <f>SUBSTITUTE(SUBSTITUTE('Sales_RAW(BEFORE)'!Q273,"EIN",""),":","")</f>
        <v xml:space="preserve"> 756802883</v>
      </c>
      <c r="T265" s="3" t="s">
        <v>1502</v>
      </c>
      <c r="U265" s="3" t="s">
        <v>4283</v>
      </c>
      <c r="V265" s="3" t="s">
        <v>4284</v>
      </c>
      <c r="W265" s="3" t="s">
        <v>4285</v>
      </c>
      <c r="X265" s="3" t="s">
        <v>173</v>
      </c>
      <c r="Y265" s="3" t="str">
        <f>PROPER('Sales_RAW(BEFORE)'!W273)</f>
        <v>Credit Card</v>
      </c>
      <c r="Z265" s="3" t="str">
        <f>PROPER('Sales_RAW(BEFORE)'!X273)</f>
        <v>Delivered</v>
      </c>
      <c r="AA265" s="3" t="str" cm="1">
        <f t="array" ref="AA265">_xlfn.LET(
  _xlpm.val, TRIM(LOWER('Sales_RAW(BEFORE)'!Y273)),
  _xlfn.IFS(
    OR(_xlpm.val="yes", _xlpm.val="paid"), "Paid",
    OR(_xlpm.val="no", _xlpm.val="unpaid"), "Unpaid",
    OR(_xlpm.val="partial", _xlpm.val="partial paid"), "Partial",
    _xlpm.val="", "",
    TRUE, 'Sales_RAW(BEFORE)'!AY273
  )
)</f>
        <v>Paid</v>
      </c>
      <c r="AB265" s="3" t="s">
        <v>4286</v>
      </c>
      <c r="AC265" s="3" t="str">
        <f>PROPER('Sales_RAW(BEFORE)'!AA273)</f>
        <v>Online</v>
      </c>
      <c r="AD265" s="3" t="str">
        <f>SUBSTITUTE(SUBSTITUTE(SUBSTITUTE(SUBSTITUTE('Sales_RAW(BEFORE)'!AB273,"st",""),"q",""),"Q",""),"uarter","")</f>
        <v>1</v>
      </c>
      <c r="AE265" s="3" t="str">
        <f>TEXT(IFERROR(DATEVALUE('Sales_RAW(BEFORE)'!AC273 &amp; " 1"), IFERROR(DATE(2025, 'Sales_RAW(BEFORE)'!AC273, 1), 'Sales_RAW(BEFORE)'!AC273)), "mmmm")</f>
        <v>August</v>
      </c>
      <c r="AF265" s="3">
        <f>_xlfn.LET(
  _xlpm.raw, TRIM(SUBSTITUTE('Sales_RAW(BEFORE)'!AD273, "'", "")),
  _xlpm.num, IFERROR(VALUE(_xlpm.raw), 0),
  IF(_xlpm.num &lt; 100, 2000 + _xlpm.num, _xlpm.num)
)</f>
        <v>2025</v>
      </c>
      <c r="AG265" s="3" t="str">
        <f>PROPER('Sales_RAW(BEFORE)'!AE273)</f>
        <v>Immediate</v>
      </c>
      <c r="AH265" s="3" cm="1">
        <f t="array" ref="AH265">_xlfn.LET(
  _xlpm.val, LOWER(TRIM('Sales_RAW(BEFORE)'!AF273)),
  _xlfn.IFS(
    OR(_xlpm.val="", _xlpm.val="null", _xlpm.val="N/A", _xlpm.val="-", _xlpm.val="#N/A"), 0,
    ISNUMBER('Sales_RAW(BEFORE)'!AF273), 'Sales_RAW(BEFORE)'!AF273,
    TRUE, IFERROR(_xlfn.NUMBERVALUE(_xlpm.val), 0)
  )
)</f>
        <v>39</v>
      </c>
      <c r="AI265" s="5">
        <f>IF(IFERROR(VALUE(SUBSTITUTE(SUBSTITUTE(TRIM('Sales_RAW(BEFORE)'!AG273), "%", ""), ",", ".")), 0) &gt; 1, IFERROR(VALUE(SUBSTITUTE(SUBSTITUTE(TRIM('Sales_RAW(BEFORE)'!AG273), "%", ""), ",", ".")), 0) / 100, IFERROR(VALUE(SUBSTITUTE(SUBSTITUTE(TRIM('Sales_RAW(BEFORE)'!AG273), "%", ""), ",", ".")), 0))</f>
        <v>0.08</v>
      </c>
      <c r="AJ265" s="6">
        <f t="shared" si="20"/>
        <v>1737.6286334056401</v>
      </c>
      <c r="AK265" s="6">
        <f t="shared" si="21"/>
        <v>23457.98655097614</v>
      </c>
      <c r="AL265" s="6">
        <f>IFERROR(VALUE(SUBSTITUTE(SUBSTITUTE(SUBSTITUTE('Sales_RAW(BEFORE)'!AJ273,"$",""),"USD",""),",",".")),0)</f>
        <v>21.27</v>
      </c>
      <c r="AM265" s="3" t="str">
        <f>SUBSTITUTE(SUBSTITUTE(PROPER('Sales_RAW(BEFORE)'!AK273), "Fed Ex", "FedEx"),"Fedex","FedEx")</f>
        <v>FedEx</v>
      </c>
      <c r="AN265" s="3" t="s">
        <v>4288</v>
      </c>
      <c r="AO265" s="3" t="str">
        <f>SUBSTITUTE('Sales_RAW(BEFORE)'!AM273,"kg","")</f>
        <v xml:space="preserve">26.1 </v>
      </c>
      <c r="AP265" s="3" t="str">
        <f>_xlfn.LET(
  _xlpm.raw, UPPER(TRIM('Sales_RAW(BEFORE)'!AN273)),
  _xlpm.clean, RIGHT(_xlpm.raw, 1),
  IF(OR(_xlpm.raw="", _xlpm.raw="null"), "N/A", _xlpm.clean)
)</f>
        <v>A</v>
      </c>
      <c r="AQ265" s="3">
        <v>0</v>
      </c>
      <c r="AR265" s="3" cm="1">
        <f t="array" ref="AR265">_xlfn.LET(
  _xlpm.raw, LOWER(TRIM('Sales_RAW(BEFORE)'!AP273)),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265" s="3"/>
      <c r="AT265" s="3"/>
      <c r="AU265" s="3"/>
      <c r="AV265" s="8">
        <f>IF(IFERROR(VALUE(SUBSTITUTE(SUBSTITUTE(TRIM('Sales_RAW(BEFORE)'!AT273), "%", ""), ",", ".")), 0) &gt; 1, IFERROR(VALUE(SUBSTITUTE(SUBSTITUTE(TRIM('Sales_RAW(BEFORE)'!AT273), "%", ""), ",", ".")), 0) / 100, IFERROR(VALUE(SUBSTITUTE(SUBSTITUTE(TRIM('Sales_RAW(BEFORE)'!AT273), "%", ""), ",", ".")), 0))</f>
        <v>0.25</v>
      </c>
      <c r="AW265" s="6">
        <f>BA265*(_xlfn.XLOOKUP(N265,Employees!$A$2:$A$26,Employees!$E$2:$E$26,2))</f>
        <v>633.36563687635578</v>
      </c>
      <c r="AX265" s="3" t="str">
        <f>PROPER('Sales_RAW(BEFORE)'!AV273)</f>
        <v xml:space="preserve"> Daniel Smith</v>
      </c>
      <c r="AY265" s="3" t="str">
        <f t="shared" si="23"/>
        <v xml:space="preserve"> Daniel Smith</v>
      </c>
      <c r="AZ265" s="3"/>
      <c r="BA265" s="24">
        <f>AK265*(1-(_xlfn.XLOOKUP(G265, Exchange_Rates!$B$8:$F$8, Exchange_Rates!$B$9:$F$9, 0)+J265))</f>
        <v>21112.187895878527</v>
      </c>
      <c r="BB265" s="7" cm="1">
        <f t="array" ref="BB265">_xlfn.LET(
  _xlpm.raw_dt, SUBSTITUTE(TRIM(C265), ".", "/"),
  _xlpm.dt, IFERROR(DATEVALUE(_xlpm.raw_dt), C265),
  _xlpm.p_code, TRIM(E265),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46990</v>
      </c>
      <c r="BC265" s="25">
        <f t="shared" si="24"/>
        <v>5278.0469739696318</v>
      </c>
    </row>
    <row r="266" spans="1:55" ht="15.75" thickBot="1" x14ac:dyDescent="0.3">
      <c r="A266" s="3" t="s">
        <v>4292</v>
      </c>
      <c r="B266" s="10">
        <v>45948</v>
      </c>
      <c r="C266" s="4">
        <v>45957</v>
      </c>
      <c r="D266" s="3" t="str">
        <f>"P-" &amp; TEXT(VALUE(SUBSTITUTE(SUBSTITUTE(SUBSTITUTE(UPPER(TRIM('Sales_RAW(BEFORE)'!D274)), "P", ""), "-", ""), "_", "")),"000")</f>
        <v>P-043</v>
      </c>
      <c r="E266" s="3" t="str">
        <f>VLOOKUP(D266,Product_List!$A$2:$B$61,2,FALSE)</f>
        <v>Headphones X 43</v>
      </c>
      <c r="F266" s="3" t="str">
        <f>_xlfn.XLOOKUP(E266,Product_List!$B$2:$B$61,Product_List!$E$2:$E$61,2)</f>
        <v>Global Distrib</v>
      </c>
      <c r="G266" s="3" t="str">
        <f>VLOOKUP(E266,Product_List!$B$2:$C$61,2,FALSE)</f>
        <v>Equipment</v>
      </c>
      <c r="H266" s="3" t="str">
        <f>SUBSTITUTE(SUBSTITUTE('Sales_RAW(BEFORE)'!G274,"kom",""),".","")</f>
        <v xml:space="preserve">14 </v>
      </c>
      <c r="I266" s="6">
        <f>VLOOKUP(E266,Product_List!$B$2:$D$61,3,FALSE)</f>
        <v>156.69</v>
      </c>
      <c r="J266" s="5">
        <f>IF(IFERROR(VALUE(SUBSTITUTE(SUBSTITUTE(TRIM('Sales_RAW(BEFORE)'!I274), "%", ""), ",", ".")), 0) &gt; 1, IFERROR(VALUE(SUBSTITUTE(SUBSTITUTE(TRIM('Sales_RAW(BEFORE)'!I274), "%", ""), ",", ".")), 0) / 100, IFERROR(VALUE(SUBSTITUTE(SUBSTITUTE(TRIM('Sales_RAW(BEFORE)'!I274), "%", ""), ",", ".")), 0))</f>
        <v>0.1</v>
      </c>
      <c r="K266" s="6">
        <f t="shared" si="22"/>
        <v>2193.66</v>
      </c>
      <c r="L266" s="6" t="str" cm="1">
        <f t="array" ref="L266">_xlfn.LET(
  _xlpm.valuta, UPPER(TRIM('Sales_RAW(BEFORE)'!K274)),
  _xlfn.IFS(
    _xlpm.valuta = "", "",
    OR(_xlpm.valuta = "USD", _xlpm.valuta = "$"), "$",
    OR(_xlpm.valuta = "EUR", _xlpm.valuta = "€"), "€",
    TRUE, _xlpm.valuta
  )
)</f>
        <v>$</v>
      </c>
      <c r="M266" s="3" t="str">
        <f>"E" &amp; TEXT(VALUE(SUBSTITUTE(SUBSTITUTE(SUBSTITUTE(UPPER(TRIM('Sales_RAW(BEFORE)'!L274)), "EMP", ""), "E", ""), "-", "")),"000")</f>
        <v>E014</v>
      </c>
      <c r="N266" s="3" t="str">
        <f>_xlfn.XLOOKUP(M266,Employees!$D$2:$D$26,Employees!$A$2:$A$26)</f>
        <v>Sophia Brown</v>
      </c>
      <c r="O266" s="3" t="str">
        <f>_xlfn.XLOOKUP(N266,Employees!$A$2:$A$26,Employees!$C$2:$C$26,2)</f>
        <v>Online</v>
      </c>
      <c r="P266" s="3" t="str">
        <f>PROPER('Sales_RAW(BEFORE)'!N274)</f>
        <v>South</v>
      </c>
      <c r="Q266" s="3" t="str">
        <f>VLOOKUP(N266,Employees!$A$2:$B$26,2,FALSE)</f>
        <v>New York</v>
      </c>
      <c r="R266" s="3" t="str">
        <f>PROPER('Sales_RAW(BEFORE)'!P274)</f>
        <v>Globex Ltd.</v>
      </c>
      <c r="S266" s="3" t="str">
        <f>SUBSTITUTE(SUBSTITUTE('Sales_RAW(BEFORE)'!Q274,"EIN",""),":","")</f>
        <v>434573960</v>
      </c>
      <c r="T266" s="3" t="s">
        <v>564</v>
      </c>
      <c r="U266" s="3" t="s">
        <v>4298</v>
      </c>
      <c r="V266" s="3" t="s">
        <v>4299</v>
      </c>
      <c r="W266" s="3" t="s">
        <v>4300</v>
      </c>
      <c r="X266" s="3" t="s">
        <v>173</v>
      </c>
      <c r="Y266" s="3" t="str">
        <f>PROPER('Sales_RAW(BEFORE)'!W274)</f>
        <v>Cash</v>
      </c>
      <c r="Z266" s="3" t="str">
        <f>PROPER('Sales_RAW(BEFORE)'!X274)</f>
        <v>Cancelled</v>
      </c>
      <c r="AA266" s="3" t="str" cm="1">
        <f t="array" ref="AA266">_xlfn.LET(
  _xlpm.val, TRIM(LOWER('Sales_RAW(BEFORE)'!Y274)),
  _xlfn.IFS(
    OR(_xlpm.val="yes", _xlpm.val="paid"), "Paid",
    OR(_xlpm.val="no", _xlpm.val="unpaid"), "Unpaid",
    OR(_xlpm.val="partial", _xlpm.val="partial paid"), "Partial",
    _xlpm.val="", "",
    TRUE, 'Sales_RAW(BEFORE)'!AY274
  )
)</f>
        <v>Paid</v>
      </c>
      <c r="AB266" s="3" t="s">
        <v>4301</v>
      </c>
      <c r="AC266" s="3" t="str">
        <f>PROPER('Sales_RAW(BEFORE)'!AA274)</f>
        <v>Store</v>
      </c>
      <c r="AD266" s="3" t="str">
        <f>SUBSTITUTE(SUBSTITUTE(SUBSTITUTE(SUBSTITUTE('Sales_RAW(BEFORE)'!AB274,"st",""),"q",""),"Q",""),"uarter","")</f>
        <v>4</v>
      </c>
      <c r="AE266" s="3" t="str">
        <f>TEXT(IFERROR(DATEVALUE('Sales_RAW(BEFORE)'!AC274 &amp; " 1"), IFERROR(DATE(2025, 'Sales_RAW(BEFORE)'!AC274, 1), 'Sales_RAW(BEFORE)'!AC274)), "mmmm")</f>
        <v>October</v>
      </c>
      <c r="AF266" s="3">
        <f>_xlfn.LET(
  _xlpm.raw, TRIM(SUBSTITUTE('Sales_RAW(BEFORE)'!AD274, "'", "")),
  _xlpm.num, IFERROR(VALUE(_xlpm.raw), 0),
  IF(_xlpm.num &lt; 100, 2000 + _xlpm.num, _xlpm.num)
)</f>
        <v>2025</v>
      </c>
      <c r="AG266" s="3" t="str">
        <f>PROPER('Sales_RAW(BEFORE)'!AE274)</f>
        <v>Net 60</v>
      </c>
      <c r="AH266" s="3" cm="1">
        <f t="array" ref="AH266">_xlfn.LET(
  _xlpm.val, LOWER(TRIM('Sales_RAW(BEFORE)'!AF274)),
  _xlfn.IFS(
    OR(_xlpm.val="", _xlpm.val="null", _xlpm.val="N/A", _xlpm.val="-", _xlpm.val="#N/A"), 0,
    ISNUMBER('Sales_RAW(BEFORE)'!AF274), 'Sales_RAW(BEFORE)'!AF274,
    TRUE, IFERROR(_xlfn.NUMBERVALUE(_xlpm.val), 0)
  )
)</f>
        <v>41</v>
      </c>
      <c r="AI266" s="5">
        <f>IF(IFERROR(VALUE(SUBSTITUTE(SUBSTITUTE(TRIM('Sales_RAW(BEFORE)'!AG274), "%", ""), ",", ".")), 0) &gt; 1, IFERROR(VALUE(SUBSTITUTE(SUBSTITUTE(TRIM('Sales_RAW(BEFORE)'!AG274), "%", ""), ",", ".")), 0) / 100, IFERROR(VALUE(SUBSTITUTE(SUBSTITUTE(TRIM('Sales_RAW(BEFORE)'!AG274), "%", ""), ",", ".")), 0))</f>
        <v>0.08</v>
      </c>
      <c r="AJ266" s="6">
        <f t="shared" si="20"/>
        <v>175.49279999999999</v>
      </c>
      <c r="AK266" s="6">
        <f t="shared" si="21"/>
        <v>2369.1527999999998</v>
      </c>
      <c r="AL266" s="6">
        <f>IFERROR(VALUE(SUBSTITUTE(SUBSTITUTE(SUBSTITUTE('Sales_RAW(BEFORE)'!AJ274,"$",""),"USD",""),",",".")),0)</f>
        <v>24.61</v>
      </c>
      <c r="AM266" s="3" t="str">
        <f>SUBSTITUTE(SUBSTITUTE(PROPER('Sales_RAW(BEFORE)'!AK274), "Fed Ex", "FedEx"),"Fedex","FedEx")</f>
        <v>Ups</v>
      </c>
      <c r="AN266" s="3" t="s">
        <v>4303</v>
      </c>
      <c r="AO266" s="3" t="str">
        <f>SUBSTITUTE('Sales_RAW(BEFORE)'!AM274,"kg","")</f>
        <v xml:space="preserve">9.8 </v>
      </c>
      <c r="AP266" s="3" t="str">
        <f>_xlfn.LET(
  _xlpm.raw, UPPER(TRIM('Sales_RAW(BEFORE)'!AN274)),
  _xlpm.clean, RIGHT(_xlpm.raw, 1),
  IF(OR(_xlpm.raw="", _xlpm.raw="null"), "N/A", _xlpm.clean)
)</f>
        <v>A</v>
      </c>
      <c r="AQ266" s="3">
        <v>390</v>
      </c>
      <c r="AR266" s="3" cm="1">
        <f t="array" ref="AR266">_xlfn.LET(
  _xlpm.raw, LOWER(TRIM('Sales_RAW(BEFORE)'!AP274)),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266" s="3"/>
      <c r="AT266" s="3"/>
      <c r="AU266" s="3"/>
      <c r="AV266" s="8">
        <f>IF(IFERROR(VALUE(SUBSTITUTE(SUBSTITUTE(TRIM('Sales_RAW(BEFORE)'!AT274), "%", ""), ",", ".")), 0) &gt; 1, IFERROR(VALUE(SUBSTITUTE(SUBSTITUTE(TRIM('Sales_RAW(BEFORE)'!AT274), "%", ""), ",", ".")), 0) / 100, IFERROR(VALUE(SUBSTITUTE(SUBSTITUTE(TRIM('Sales_RAW(BEFORE)'!AT274), "%", ""), ",", ".")), 0))</f>
        <v>0.15</v>
      </c>
      <c r="AW266" s="6">
        <f>BA266*(_xlfn.XLOOKUP(N266,Employees!$A$2:$A$26,Employees!$E$2:$E$26,2))</f>
        <v>56.859667199999997</v>
      </c>
      <c r="AX266" s="3" t="str">
        <f>PROPER('Sales_RAW(BEFORE)'!AV274)</f>
        <v>Emily Taylor</v>
      </c>
      <c r="AY266" s="3" t="str">
        <f t="shared" si="23"/>
        <v>Emily Taylor</v>
      </c>
      <c r="AZ266" s="3"/>
      <c r="BA266" s="24">
        <f>AK266*(1-(_xlfn.XLOOKUP(G266, Exchange_Rates!$B$8:$F$8, Exchange_Rates!$B$9:$F$9, 0)+J266))</f>
        <v>1895.32224</v>
      </c>
      <c r="BB266" s="7" cm="1">
        <f t="array" ref="BB266">_xlfn.LET(
  _xlpm.raw_dt, SUBSTITUTE(TRIM(C266), ".", "/"),
  _xlpm.dt, IFERROR(DATEVALUE(_xlpm.raw_dt), C266),
  _xlpm.p_code, TRIM(E266),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46322</v>
      </c>
      <c r="BC266" s="25">
        <f t="shared" si="24"/>
        <v>284.29833600000001</v>
      </c>
    </row>
    <row r="267" spans="1:55" ht="15.75" thickBot="1" x14ac:dyDescent="0.3">
      <c r="A267" s="3" t="s">
        <v>4308</v>
      </c>
      <c r="B267" s="10">
        <v>45677</v>
      </c>
      <c r="C267" s="4">
        <f>DATE(2025,1,22)</f>
        <v>45679</v>
      </c>
      <c r="D267" s="3" t="str">
        <f>"P-" &amp; TEXT(VALUE(SUBSTITUTE(SUBSTITUTE(SUBSTITUTE(UPPER(TRIM('Sales_RAW(BEFORE)'!D275)), "P", ""), "-", ""), "_", "")),"000")</f>
        <v>P-026</v>
      </c>
      <c r="E267" s="3" t="str">
        <f>VLOOKUP(D267,Product_List!$A$2:$B$61,2,FALSE)</f>
        <v>Printer Basic 26</v>
      </c>
      <c r="F267" s="3" t="str">
        <f>_xlfn.XLOOKUP(E267,Product_List!$B$2:$B$61,Product_List!$E$2:$E$61,2)</f>
        <v>TechSupply Co</v>
      </c>
      <c r="G267" s="3" t="str">
        <f>VLOOKUP(E267,Product_List!$B$2:$C$61,2,FALSE)</f>
        <v>Electronics</v>
      </c>
      <c r="H267" s="3" t="str">
        <f>SUBSTITUTE(SUBSTITUTE('Sales_RAW(BEFORE)'!G275,"kom",""),".","")</f>
        <v xml:space="preserve">25 </v>
      </c>
      <c r="I267" s="6">
        <f>VLOOKUP(E267,Product_List!$B$2:$D$61,3,FALSE)</f>
        <v>1411.27</v>
      </c>
      <c r="J267" s="5">
        <f>IF(IFERROR(VALUE(SUBSTITUTE(SUBSTITUTE(TRIM('Sales_RAW(BEFORE)'!I275), "%", ""), ",", ".")), 0) &gt; 1, IFERROR(VALUE(SUBSTITUTE(SUBSTITUTE(TRIM('Sales_RAW(BEFORE)'!I275), "%", ""), ",", ".")), 0) / 100, IFERROR(VALUE(SUBSTITUTE(SUBSTITUTE(TRIM('Sales_RAW(BEFORE)'!I275), "%", ""), ",", ".")), 0))</f>
        <v>0</v>
      </c>
      <c r="K267" s="6">
        <f t="shared" si="22"/>
        <v>35281.75</v>
      </c>
      <c r="L267" s="6" t="str" cm="1">
        <f t="array" ref="L267">_xlfn.LET(
  _xlpm.valuta, UPPER(TRIM('Sales_RAW(BEFORE)'!K275)),
  _xlfn.IFS(
    _xlpm.valuta = "", "",
    OR(_xlpm.valuta = "USD", _xlpm.valuta = "$"), "$",
    OR(_xlpm.valuta = "EUR", _xlpm.valuta = "€"), "€",
    TRUE, _xlpm.valuta
  )
)</f>
        <v>$</v>
      </c>
      <c r="M267" s="3" t="str">
        <f>"E" &amp; TEXT(VALUE(SUBSTITUTE(SUBSTITUTE(SUBSTITUTE(UPPER(TRIM('Sales_RAW(BEFORE)'!L275)), "EMP", ""), "E", ""), "-", "")),"000")</f>
        <v>E019</v>
      </c>
      <c r="N267" s="3" t="str">
        <f>_xlfn.XLOOKUP(M267,Employees!$D$2:$D$26,Employees!$A$2:$A$26)</f>
        <v>Sophia Taylor</v>
      </c>
      <c r="O267" s="3" t="str">
        <f>_xlfn.XLOOKUP(N267,Employees!$A$2:$A$26,Employees!$C$2:$C$26,2)</f>
        <v>Wholesale</v>
      </c>
      <c r="P267" s="3" t="str">
        <f>PROPER('Sales_RAW(BEFORE)'!N275)</f>
        <v>North</v>
      </c>
      <c r="Q267" s="3" t="str">
        <f>VLOOKUP(N267,Employees!$A$2:$B$26,2,FALSE)</f>
        <v>Los Angeles</v>
      </c>
      <c r="R267" s="3" t="str">
        <f>PROPER('Sales_RAW(BEFORE)'!P275)</f>
        <v xml:space="preserve"> Umbrella Inc</v>
      </c>
      <c r="S267" s="3" t="str">
        <f>SUBSTITUTE(SUBSTITUTE('Sales_RAW(BEFORE)'!Q275,"EIN",""),":","")</f>
        <v xml:space="preserve"> 459101804</v>
      </c>
      <c r="T267" s="3" t="s">
        <v>665</v>
      </c>
      <c r="U267" s="3" t="s">
        <v>4314</v>
      </c>
      <c r="V267" s="3" t="s">
        <v>4315</v>
      </c>
      <c r="W267" s="3" t="s">
        <v>4316</v>
      </c>
      <c r="X267" s="3" t="s">
        <v>173</v>
      </c>
      <c r="Y267" s="3" t="str">
        <f>PROPER('Sales_RAW(BEFORE)'!W275)</f>
        <v>Credit Card</v>
      </c>
      <c r="Z267" s="3" t="str">
        <f>PROPER('Sales_RAW(BEFORE)'!X275)</f>
        <v>Delivered</v>
      </c>
      <c r="AA267" s="3" t="str" cm="1">
        <f t="array" ref="AA267">_xlfn.LET(
  _xlpm.val, TRIM(LOWER('Sales_RAW(BEFORE)'!Y275)),
  _xlfn.IFS(
    OR(_xlpm.val="yes", _xlpm.val="paid"), "Paid",
    OR(_xlpm.val="no", _xlpm.val="unpaid"), "Unpaid",
    OR(_xlpm.val="partial", _xlpm.val="partial paid"), "Partial",
    _xlpm.val="", "",
    TRUE, 'Sales_RAW(BEFORE)'!AY275
  )
)</f>
        <v>Unpaid</v>
      </c>
      <c r="AB267" s="3" t="s">
        <v>4317</v>
      </c>
      <c r="AC267" s="3" t="str">
        <f>PROPER('Sales_RAW(BEFORE)'!AA275)</f>
        <v>Online</v>
      </c>
      <c r="AD267" s="3" t="str">
        <f>SUBSTITUTE(SUBSTITUTE(SUBSTITUTE(SUBSTITUTE('Sales_RAW(BEFORE)'!AB275,"st",""),"q",""),"Q",""),"uarter","")</f>
        <v>4</v>
      </c>
      <c r="AE267" s="3" t="str">
        <f>TEXT(IFERROR(DATEVALUE('Sales_RAW(BEFORE)'!AC275 &amp; " 1"), IFERROR(DATE(2025, 'Sales_RAW(BEFORE)'!AC275, 1), 'Sales_RAW(BEFORE)'!AC275)), "mmmm")</f>
        <v>January</v>
      </c>
      <c r="AF267" s="3">
        <f>_xlfn.LET(
  _xlpm.raw, TRIM(SUBSTITUTE('Sales_RAW(BEFORE)'!AD275, "'", "")),
  _xlpm.num, IFERROR(VALUE(_xlpm.raw), 0),
  IF(_xlpm.num &lt; 100, 2000 + _xlpm.num, _xlpm.num)
)</f>
        <v>2025</v>
      </c>
      <c r="AG267" s="3" t="str">
        <f>PROPER('Sales_RAW(BEFORE)'!AE275)</f>
        <v>Net 30</v>
      </c>
      <c r="AH267" s="3" cm="1">
        <f t="array" ref="AH267">_xlfn.LET(
  _xlpm.val, LOWER(TRIM('Sales_RAW(BEFORE)'!AF275)),
  _xlfn.IFS(
    OR(_xlpm.val="", _xlpm.val="null", _xlpm.val="N/A", _xlpm.val="-", _xlpm.val="#N/A"), 0,
    ISNUMBER('Sales_RAW(BEFORE)'!AF275), 'Sales_RAW(BEFORE)'!AF275,
    TRUE, IFERROR(_xlfn.NUMBERVALUE(_xlpm.val), 0)
  )
)</f>
        <v>7</v>
      </c>
      <c r="AI267" s="5">
        <f>IF(IFERROR(VALUE(SUBSTITUTE(SUBSTITUTE(TRIM('Sales_RAW(BEFORE)'!AG275), "%", ""), ",", ".")), 0) &gt; 1, IFERROR(VALUE(SUBSTITUTE(SUBSTITUTE(TRIM('Sales_RAW(BEFORE)'!AG275), "%", ""), ",", ".")), 0) / 100, IFERROR(VALUE(SUBSTITUTE(SUBSTITUTE(TRIM('Sales_RAW(BEFORE)'!AG275), "%", ""), ",", ".")), 0))</f>
        <v>0.08</v>
      </c>
      <c r="AJ267" s="6">
        <f t="shared" si="20"/>
        <v>2822.54</v>
      </c>
      <c r="AK267" s="6">
        <f t="shared" si="21"/>
        <v>38104.29</v>
      </c>
      <c r="AL267" s="6">
        <f>IFERROR(VALUE(SUBSTITUTE(SUBSTITUTE(SUBSTITUTE('Sales_RAW(BEFORE)'!AJ275,"$",""),"USD",""),",",".")),0)</f>
        <v>15.33</v>
      </c>
      <c r="AM267" s="3" t="str">
        <f>SUBSTITUTE(SUBSTITUTE(PROPER('Sales_RAW(BEFORE)'!AK275), "Fed Ex", "FedEx"),"Fedex","FedEx")</f>
        <v>Ups</v>
      </c>
      <c r="AN267" s="3" t="s">
        <v>4319</v>
      </c>
      <c r="AO267" s="3" t="str">
        <f>SUBSTITUTE('Sales_RAW(BEFORE)'!AM275,"kg","")</f>
        <v xml:space="preserve">1.7 </v>
      </c>
      <c r="AP267" s="3" t="str">
        <f>_xlfn.LET(
  _xlpm.raw, UPPER(TRIM('Sales_RAW(BEFORE)'!AN275)),
  _xlpm.clean, RIGHT(_xlpm.raw, 1),
  IF(OR(_xlpm.raw="", _xlpm.raw="null"), "N/A", _xlpm.clean)
)</f>
        <v>C</v>
      </c>
      <c r="AQ267" s="3">
        <v>421</v>
      </c>
      <c r="AR267" s="3" cm="1">
        <f t="array" ref="AR267">_xlfn.LET(
  _xlpm.raw, LOWER(TRIM('Sales_RAW(BEFORE)'!AP275)),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267" s="3"/>
      <c r="AT267" s="3"/>
      <c r="AU267" s="3"/>
      <c r="AV267" s="8">
        <f>IF(IFERROR(VALUE(SUBSTITUTE(SUBSTITUTE(TRIM('Sales_RAW(BEFORE)'!AT275), "%", ""), ",", ".")), 0) &gt; 1, IFERROR(VALUE(SUBSTITUTE(SUBSTITUTE(TRIM('Sales_RAW(BEFORE)'!AT275), "%", ""), ",", ".")), 0) / 100, IFERROR(VALUE(SUBSTITUTE(SUBSTITUTE(TRIM('Sales_RAW(BEFORE)'!AT275), "%", ""), ",", ".")), 0))</f>
        <v>0</v>
      </c>
      <c r="AW267" s="6">
        <f>BA267*(_xlfn.XLOOKUP(N267,Employees!$A$2:$A$26,Employees!$E$2:$E$26,2))</f>
        <v>1028.81583</v>
      </c>
      <c r="AX267" s="3" t="str">
        <f>PROPER('Sales_RAW(BEFORE)'!AV275)</f>
        <v>John Taylor</v>
      </c>
      <c r="AY267" s="3" t="str">
        <f t="shared" si="23"/>
        <v>John Taylor</v>
      </c>
      <c r="AZ267" s="3"/>
      <c r="BA267" s="24">
        <f>AK267*(1-(_xlfn.XLOOKUP(G267, Exchange_Rates!$B$8:$F$8, Exchange_Rates!$B$9:$F$9, 0)+J267))</f>
        <v>34293.861000000004</v>
      </c>
      <c r="BB267" s="7" cm="1">
        <f t="array" ref="BB267">_xlfn.LET(
  _xlpm.raw_dt, SUBSTITUTE(TRIM(C267), ".", "/"),
  _xlpm.dt, IFERROR(DATEVALUE(_xlpm.raw_dt), C267),
  _xlpm.p_code, TRIM(E267),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46409</v>
      </c>
      <c r="BC267" s="25">
        <f t="shared" si="24"/>
        <v>0</v>
      </c>
    </row>
    <row r="268" spans="1:55" ht="15.75" thickBot="1" x14ac:dyDescent="0.3">
      <c r="A268" s="3" t="s">
        <v>4321</v>
      </c>
      <c r="B268" s="10">
        <f>DATE(2025,6,26)</f>
        <v>45834</v>
      </c>
      <c r="C268" s="4">
        <v>45840</v>
      </c>
      <c r="D268" s="3" t="str">
        <f>"P-" &amp; TEXT(VALUE(SUBSTITUTE(SUBSTITUTE(SUBSTITUTE(UPPER(TRIM('Sales_RAW(BEFORE)'!D276)), "P", ""), "-", ""), "_", "")),"000")</f>
        <v>P-059</v>
      </c>
      <c r="E268" s="3" t="str">
        <f>VLOOKUP(D268,Product_List!$A$2:$B$61,2,FALSE)</f>
        <v>Keyboard Max 59</v>
      </c>
      <c r="F268" s="3" t="str">
        <f>_xlfn.XLOOKUP(E268,Product_List!$B$2:$B$61,Product_List!$E$2:$E$61,2)</f>
        <v>OfficeHub</v>
      </c>
      <c r="G268" s="3" t="str">
        <f>VLOOKUP(E268,Product_List!$B$2:$C$61,2,FALSE)</f>
        <v>Furniture</v>
      </c>
      <c r="H268" s="3" t="str">
        <f>SUBSTITUTE(SUBSTITUTE('Sales_RAW(BEFORE)'!G276,"kom",""),".","")</f>
        <v>23</v>
      </c>
      <c r="I268" s="6">
        <f>VLOOKUP(E268,Product_List!$B$2:$D$61,3,FALSE)</f>
        <v>673.61</v>
      </c>
      <c r="J268" s="5">
        <f>IF(IFERROR(VALUE(SUBSTITUTE(SUBSTITUTE(TRIM('Sales_RAW(BEFORE)'!I276), "%", ""), ",", ".")), 0) &gt; 1, IFERROR(VALUE(SUBSTITUTE(SUBSTITUTE(TRIM('Sales_RAW(BEFORE)'!I276), "%", ""), ",", ".")), 0) / 100, IFERROR(VALUE(SUBSTITUTE(SUBSTITUTE(TRIM('Sales_RAW(BEFORE)'!I276), "%", ""), ",", ".")), 0))</f>
        <v>0.05</v>
      </c>
      <c r="K268" s="6">
        <f t="shared" si="22"/>
        <v>15493.03</v>
      </c>
      <c r="L268" s="6" t="str" cm="1">
        <f t="array" ref="L268">_xlfn.LET(
  _xlpm.valuta, UPPER(TRIM('Sales_RAW(BEFORE)'!K276)),
  _xlfn.IFS(
    _xlpm.valuta = "", "",
    OR(_xlpm.valuta = "USD", _xlpm.valuta = "$"), "$",
    OR(_xlpm.valuta = "EUR", _xlpm.valuta = "€"), "€",
    TRUE, _xlpm.valuta
  )
)</f>
        <v>$</v>
      </c>
      <c r="M268" s="3" t="str">
        <f>"E" &amp; TEXT(VALUE(SUBSTITUTE(SUBSTITUTE(SUBSTITUTE(UPPER(TRIM('Sales_RAW(BEFORE)'!L276)), "EMP", ""), "E", ""), "-", "")),"000")</f>
        <v>E007</v>
      </c>
      <c r="N268" s="3" t="str">
        <f>_xlfn.XLOOKUP(M268,Employees!$D$2:$D$26,Employees!$A$2:$A$26)</f>
        <v>Emma Johnson</v>
      </c>
      <c r="O268" s="3" t="str">
        <f>_xlfn.XLOOKUP(N268,Employees!$A$2:$A$26,Employees!$C$2:$C$26,2)</f>
        <v>Wholesale</v>
      </c>
      <c r="P268" s="3" t="str">
        <f>PROPER('Sales_RAW(BEFORE)'!N276)</f>
        <v>West</v>
      </c>
      <c r="Q268" s="3" t="str">
        <f>VLOOKUP(N268,Employees!$A$2:$B$26,2,FALSE)</f>
        <v>Seattle</v>
      </c>
      <c r="R268" s="3" t="str">
        <f>PROPER('Sales_RAW(BEFORE)'!P276)</f>
        <v>Umbrella Llc</v>
      </c>
      <c r="S268" s="3" t="str">
        <f>SUBSTITUTE(SUBSTITUTE('Sales_RAW(BEFORE)'!Q276,"EIN",""),":","")</f>
        <v xml:space="preserve"> 158608319</v>
      </c>
      <c r="T268" s="3" t="s">
        <v>994</v>
      </c>
      <c r="U268" s="3" t="s">
        <v>4327</v>
      </c>
      <c r="V268" s="3" t="s">
        <v>4328</v>
      </c>
      <c r="W268" s="3" t="s">
        <v>4329</v>
      </c>
      <c r="X268" s="3" t="s">
        <v>173</v>
      </c>
      <c r="Y268" s="3" t="str">
        <f>PROPER('Sales_RAW(BEFORE)'!W276)</f>
        <v>Credit Card</v>
      </c>
      <c r="Z268" s="3" t="str">
        <f>PROPER('Sales_RAW(BEFORE)'!X276)</f>
        <v>Processing</v>
      </c>
      <c r="AA268" s="3" t="str" cm="1">
        <f t="array" ref="AA268">_xlfn.LET(
  _xlpm.val, TRIM(LOWER('Sales_RAW(BEFORE)'!Y276)),
  _xlfn.IFS(
    OR(_xlpm.val="yes", _xlpm.val="paid"), "Paid",
    OR(_xlpm.val="no", _xlpm.val="unpaid"), "Unpaid",
    OR(_xlpm.val="partial", _xlpm.val="partial paid"), "Partial",
    _xlpm.val="", "",
    TRUE, 'Sales_RAW(BEFORE)'!AY276
  )
)</f>
        <v>Partial</v>
      </c>
      <c r="AB268" s="3" t="s">
        <v>4330</v>
      </c>
      <c r="AC268" s="3" t="str">
        <f>PROPER('Sales_RAW(BEFORE)'!AA276)</f>
        <v>Web</v>
      </c>
      <c r="AD268" s="3" t="str">
        <f>SUBSTITUTE(SUBSTITUTE(SUBSTITUTE(SUBSTITUTE('Sales_RAW(BEFORE)'!AB276,"st",""),"q",""),"Q",""),"uarter","")</f>
        <v>4</v>
      </c>
      <c r="AE268" s="3" t="str">
        <f>TEXT(IFERROR(DATEVALUE('Sales_RAW(BEFORE)'!AC276 &amp; " 1"), IFERROR(DATE(2025, 'Sales_RAW(BEFORE)'!AC276, 1), 'Sales_RAW(BEFORE)'!AC276)), "mmmm")</f>
        <v>June</v>
      </c>
      <c r="AF268" s="3">
        <f>_xlfn.LET(
  _xlpm.raw, TRIM(SUBSTITUTE('Sales_RAW(BEFORE)'!AD276, "'", "")),
  _xlpm.num, IFERROR(VALUE(_xlpm.raw), 0),
  IF(_xlpm.num &lt; 100, 2000 + _xlpm.num, _xlpm.num)
)</f>
        <v>2025</v>
      </c>
      <c r="AG268" s="3" t="str">
        <f>PROPER('Sales_RAW(BEFORE)'!AE276)</f>
        <v>Net 30</v>
      </c>
      <c r="AH268" s="3" cm="1">
        <f t="array" ref="AH268">_xlfn.LET(
  _xlpm.val, LOWER(TRIM('Sales_RAW(BEFORE)'!AF276)),
  _xlfn.IFS(
    OR(_xlpm.val="", _xlpm.val="null", _xlpm.val="N/A", _xlpm.val="-", _xlpm.val="#N/A"), 0,
    ISNUMBER('Sales_RAW(BEFORE)'!AF276), 'Sales_RAW(BEFORE)'!AF276,
    TRUE, IFERROR(_xlfn.NUMBERVALUE(_xlpm.val), 0)
  )
)</f>
        <v>29</v>
      </c>
      <c r="AI268" s="5">
        <f>IF(IFERROR(VALUE(SUBSTITUTE(SUBSTITUTE(TRIM('Sales_RAW(BEFORE)'!AG276), "%", ""), ",", ".")), 0) &gt; 1, IFERROR(VALUE(SUBSTITUTE(SUBSTITUTE(TRIM('Sales_RAW(BEFORE)'!AG276), "%", ""), ",", ".")), 0) / 100, IFERROR(VALUE(SUBSTITUTE(SUBSTITUTE(TRIM('Sales_RAW(BEFORE)'!AG276), "%", ""), ",", ".")), 0))</f>
        <v>0.08</v>
      </c>
      <c r="AJ268" s="6">
        <f t="shared" si="20"/>
        <v>1239.4424000000001</v>
      </c>
      <c r="AK268" s="6">
        <f t="shared" si="21"/>
        <v>16732.472400000002</v>
      </c>
      <c r="AL268" s="6">
        <f>IFERROR(VALUE(SUBSTITUTE(SUBSTITUTE(SUBSTITUTE('Sales_RAW(BEFORE)'!AJ276,"$",""),"USD",""),",",".")),0)</f>
        <v>0</v>
      </c>
      <c r="AM268" s="3" t="str">
        <f>SUBSTITUTE(SUBSTITUTE(PROPER('Sales_RAW(BEFORE)'!AK276), "Fed Ex", "FedEx"),"Fedex","FedEx")</f>
        <v>Dhl</v>
      </c>
      <c r="AN268" s="3" t="s">
        <v>4331</v>
      </c>
      <c r="AO268" s="3" t="str">
        <f>SUBSTITUTE('Sales_RAW(BEFORE)'!AM276,"kg","")</f>
        <v xml:space="preserve">11.0 </v>
      </c>
      <c r="AP268" s="3" t="str">
        <f>_xlfn.LET(
  _xlpm.raw, UPPER(TRIM('Sales_RAW(BEFORE)'!AN276)),
  _xlpm.clean, RIGHT(_xlpm.raw, 1),
  IF(OR(_xlpm.raw="", _xlpm.raw="null"), "N/A", _xlpm.clean)
)</f>
        <v>B</v>
      </c>
      <c r="AQ268" s="3">
        <v>234</v>
      </c>
      <c r="AR268" s="3" cm="1">
        <f t="array" ref="AR268">_xlfn.LET(
  _xlpm.raw, LOWER(TRIM('Sales_RAW(BEFORE)'!AP276)),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268" s="3"/>
      <c r="AT268" s="3"/>
      <c r="AU268" s="3"/>
      <c r="AV268" s="8">
        <f>IF(IFERROR(VALUE(SUBSTITUTE(SUBSTITUTE(TRIM('Sales_RAW(BEFORE)'!AT276), "%", ""), ",", ".")), 0) &gt; 1, IFERROR(VALUE(SUBSTITUTE(SUBSTITUTE(TRIM('Sales_RAW(BEFORE)'!AT276), "%", ""), ",", ".")), 0) / 100, IFERROR(VALUE(SUBSTITUTE(SUBSTITUTE(TRIM('Sales_RAW(BEFORE)'!AT276), "%", ""), ",", ".")), 0))</f>
        <v>0.25</v>
      </c>
      <c r="AW268" s="6">
        <f>BA268*(_xlfn.XLOOKUP(N268,Employees!$A$2:$A$26,Employees!$E$2:$E$26,2))</f>
        <v>426.67804620000004</v>
      </c>
      <c r="AX268" s="3" t="str">
        <f>PROPER('Sales_RAW(BEFORE)'!AV276)</f>
        <v xml:space="preserve">Laura Johnson </v>
      </c>
      <c r="AY268" s="3" t="str">
        <f t="shared" si="23"/>
        <v xml:space="preserve">Laura Johnson </v>
      </c>
      <c r="AZ268" s="3"/>
      <c r="BA268" s="24">
        <f>AK268*(1-(_xlfn.XLOOKUP(G268, Exchange_Rates!$B$8:$F$8, Exchange_Rates!$B$9:$F$9, 0)+J268))</f>
        <v>14222.601540000001</v>
      </c>
      <c r="BB268" s="7" cm="1">
        <f t="array" ref="BB268">_xlfn.LET(
  _xlpm.raw_dt, SUBSTITUTE(TRIM(C268), ".", "/"),
  _xlpm.dt, IFERROR(DATEVALUE(_xlpm.raw_dt), C268),
  _xlpm.p_code, TRIM(E268),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46570</v>
      </c>
      <c r="BC268" s="25">
        <f t="shared" si="24"/>
        <v>3555.6503850000004</v>
      </c>
    </row>
    <row r="269" spans="1:55" ht="15.75" thickBot="1" x14ac:dyDescent="0.3">
      <c r="A269" s="3" t="s">
        <v>4334</v>
      </c>
      <c r="B269" s="10">
        <v>45829</v>
      </c>
      <c r="C269" s="4">
        <v>45833</v>
      </c>
      <c r="D269" s="3" t="str">
        <f>"P-" &amp; TEXT(VALUE(SUBSTITUTE(SUBSTITUTE(SUBSTITUTE(UPPER(TRIM('Sales_RAW(BEFORE)'!D277)), "P", ""), "-", ""), "_", "")),"000")</f>
        <v>P-015</v>
      </c>
      <c r="E269" s="3" t="str">
        <f>VLOOKUP(D269,Product_List!$A$2:$B$61,2,FALSE)</f>
        <v>License Max 15</v>
      </c>
      <c r="F269" s="3" t="str">
        <f>_xlfn.XLOOKUP(E269,Product_List!$B$2:$B$61,Product_List!$E$2:$E$61,2)</f>
        <v>Global Distrib</v>
      </c>
      <c r="G269" s="3" t="str">
        <f>VLOOKUP(E269,Product_List!$B$2:$C$61,2,FALSE)</f>
        <v>Software</v>
      </c>
      <c r="H269" s="3" t="str">
        <f>SUBSTITUTE(SUBSTITUTE('Sales_RAW(BEFORE)'!G277,"kom",""),".","")</f>
        <v xml:space="preserve">8 </v>
      </c>
      <c r="I269" s="6">
        <f>VLOOKUP(E269,Product_List!$B$2:$D$61,3,FALSE)</f>
        <v>545.57000000000005</v>
      </c>
      <c r="J269" s="5">
        <f>IF(IFERROR(VALUE(SUBSTITUTE(SUBSTITUTE(TRIM('Sales_RAW(BEFORE)'!I277), "%", ""), ",", ".")), 0) &gt; 1, IFERROR(VALUE(SUBSTITUTE(SUBSTITUTE(TRIM('Sales_RAW(BEFORE)'!I277), "%", ""), ",", ".")), 0) / 100, IFERROR(VALUE(SUBSTITUTE(SUBSTITUTE(TRIM('Sales_RAW(BEFORE)'!I277), "%", ""), ",", ".")), 0))</f>
        <v>0.05</v>
      </c>
      <c r="K269" s="6">
        <f t="shared" si="22"/>
        <v>4364.5600000000004</v>
      </c>
      <c r="L269" s="6" t="str" cm="1">
        <f t="array" ref="L269">_xlfn.LET(
  _xlpm.valuta, UPPER(TRIM('Sales_RAW(BEFORE)'!K277)),
  _xlfn.IFS(
    _xlpm.valuta = "", "",
    OR(_xlpm.valuta = "USD", _xlpm.valuta = "$"), "$",
    OR(_xlpm.valuta = "EUR", _xlpm.valuta = "€"), "€",
    TRUE, _xlpm.valuta
  )
)</f>
        <v>$</v>
      </c>
      <c r="M269" s="3" t="str">
        <f>"E" &amp; TEXT(VALUE(SUBSTITUTE(SUBSTITUTE(SUBSTITUTE(UPPER(TRIM('Sales_RAW(BEFORE)'!L277)), "EMP", ""), "E", ""), "-", "")),"000")</f>
        <v>E005</v>
      </c>
      <c r="N269" s="3" t="str">
        <f>_xlfn.XLOOKUP(M269,Employees!$D$2:$D$26,Employees!$A$2:$A$26)</f>
        <v>Laura Williams</v>
      </c>
      <c r="O269" s="3" t="str">
        <f>_xlfn.XLOOKUP(N269,Employees!$A$2:$A$26,Employees!$C$2:$C$26,2)</f>
        <v>Online</v>
      </c>
      <c r="P269" s="3" t="str">
        <f>PROPER('Sales_RAW(BEFORE)'!N277)</f>
        <v>West</v>
      </c>
      <c r="Q269" s="3" t="str">
        <f>VLOOKUP(N269,Employees!$A$2:$B$26,2,FALSE)</f>
        <v>Houston</v>
      </c>
      <c r="R269" s="3" t="str">
        <f>PROPER('Sales_RAW(BEFORE)'!P277)</f>
        <v>Wayne Inc</v>
      </c>
      <c r="S269" s="3" t="str">
        <f>SUBSTITUTE(SUBSTITUTE('Sales_RAW(BEFORE)'!Q277,"EIN",""),":","")</f>
        <v>684084920</v>
      </c>
      <c r="T269" s="3" t="s">
        <v>505</v>
      </c>
      <c r="U269" s="3" t="s">
        <v>4340</v>
      </c>
      <c r="V269" s="3" t="s">
        <v>4341</v>
      </c>
      <c r="W269" s="3" t="s">
        <v>4342</v>
      </c>
      <c r="X269" s="3" t="s">
        <v>173</v>
      </c>
      <c r="Y269" s="3" t="str">
        <f>PROPER('Sales_RAW(BEFORE)'!W277)</f>
        <v>Credit Card</v>
      </c>
      <c r="Z269" s="3" t="str">
        <f>PROPER('Sales_RAW(BEFORE)'!X277)</f>
        <v>Delivered</v>
      </c>
      <c r="AA269" s="3" t="str" cm="1">
        <f t="array" ref="AA269">_xlfn.LET(
  _xlpm.val, TRIM(LOWER('Sales_RAW(BEFORE)'!Y277)),
  _xlfn.IFS(
    OR(_xlpm.val="yes", _xlpm.val="paid"), "Paid",
    OR(_xlpm.val="no", _xlpm.val="unpaid"), "Unpaid",
    OR(_xlpm.val="partial", _xlpm.val="partial paid"), "Partial",
    _xlpm.val="", "",
    TRUE, 'Sales_RAW(BEFORE)'!AY277
  )
)</f>
        <v>Paid</v>
      </c>
      <c r="AB269" s="3" t="s">
        <v>4343</v>
      </c>
      <c r="AC269" s="3" t="str">
        <f>PROPER('Sales_RAW(BEFORE)'!AA277)</f>
        <v>Phone</v>
      </c>
      <c r="AD269" s="3" t="str">
        <f>SUBSTITUTE(SUBSTITUTE(SUBSTITUTE(SUBSTITUTE('Sales_RAW(BEFORE)'!AB277,"st",""),"q",""),"Q",""),"uarter","")</f>
        <v>1</v>
      </c>
      <c r="AE269" s="3" t="str">
        <f>TEXT(IFERROR(DATEVALUE('Sales_RAW(BEFORE)'!AC277 &amp; " 1"), IFERROR(DATE(2025, 'Sales_RAW(BEFORE)'!AC277, 1), 'Sales_RAW(BEFORE)'!AC277)), "mmmm")</f>
        <v>June</v>
      </c>
      <c r="AF269" s="3">
        <f>_xlfn.LET(
  _xlpm.raw, TRIM(SUBSTITUTE('Sales_RAW(BEFORE)'!AD277, "'", "")),
  _xlpm.num, IFERROR(VALUE(_xlpm.raw), 0),
  IF(_xlpm.num &lt; 100, 2000 + _xlpm.num, _xlpm.num)
)</f>
        <v>2025</v>
      </c>
      <c r="AG269" s="3" t="str">
        <f>PROPER('Sales_RAW(BEFORE)'!AE277)</f>
        <v>Immediate</v>
      </c>
      <c r="AH269" s="3" cm="1">
        <f t="array" ref="AH269">_xlfn.LET(
  _xlpm.val, LOWER(TRIM('Sales_RAW(BEFORE)'!AF277)),
  _xlfn.IFS(
    OR(_xlpm.val="", _xlpm.val="null", _xlpm.val="N/A", _xlpm.val="-", _xlpm.val="#N/A"), 0,
    ISNUMBER('Sales_RAW(BEFORE)'!AF277), 'Sales_RAW(BEFORE)'!AF277,
    TRUE, IFERROR(_xlfn.NUMBERVALUE(_xlpm.val), 0)
  )
)</f>
        <v>12</v>
      </c>
      <c r="AI269" s="5">
        <f>IF(IFERROR(VALUE(SUBSTITUTE(SUBSTITUTE(TRIM('Sales_RAW(BEFORE)'!AG277), "%", ""), ",", ".")), 0) &gt; 1, IFERROR(VALUE(SUBSTITUTE(SUBSTITUTE(TRIM('Sales_RAW(BEFORE)'!AG277), "%", ""), ",", ".")), 0) / 100, IFERROR(VALUE(SUBSTITUTE(SUBSTITUTE(TRIM('Sales_RAW(BEFORE)'!AG277), "%", ""), ",", ".")), 0))</f>
        <v>0.08</v>
      </c>
      <c r="AJ269" s="6">
        <f t="shared" si="20"/>
        <v>349.16480000000001</v>
      </c>
      <c r="AK269" s="6">
        <f t="shared" si="21"/>
        <v>4713.7248</v>
      </c>
      <c r="AL269" s="6">
        <f>IFERROR(VALUE(SUBSTITUTE(SUBSTITUTE(SUBSTITUTE('Sales_RAW(BEFORE)'!AJ277,"$",""),"USD",""),",",".")),0)</f>
        <v>6.92</v>
      </c>
      <c r="AM269" s="3" t="str">
        <f>SUBSTITUTE(SUBSTITUTE(PROPER('Sales_RAW(BEFORE)'!AK277), "Fed Ex", "FedEx"),"Fedex","FedEx")</f>
        <v>FedEx</v>
      </c>
      <c r="AN269" s="3" t="s">
        <v>4345</v>
      </c>
      <c r="AO269" s="3" t="str">
        <f>SUBSTITUTE('Sales_RAW(BEFORE)'!AM277,"kg","")</f>
        <v>0,32</v>
      </c>
      <c r="AP269" s="3" t="str">
        <f>_xlfn.LET(
  _xlpm.raw, UPPER(TRIM('Sales_RAW(BEFORE)'!AN277)),
  _xlpm.clean, RIGHT(_xlpm.raw, 1),
  IF(OR(_xlpm.raw="", _xlpm.raw="null"), "N/A", _xlpm.clean)
)</f>
        <v>A</v>
      </c>
      <c r="AQ269" s="3">
        <v>456</v>
      </c>
      <c r="AR269" s="3" cm="1">
        <f t="array" ref="AR269">_xlfn.LET(
  _xlpm.raw, LOWER(TRIM('Sales_RAW(BEFORE)'!AP277)),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269" s="3"/>
      <c r="AT269" s="3"/>
      <c r="AU269" s="3"/>
      <c r="AV269" s="8">
        <f>IF(IFERROR(VALUE(SUBSTITUTE(SUBSTITUTE(TRIM('Sales_RAW(BEFORE)'!AT277), "%", ""), ",", ".")), 0) &gt; 1, IFERROR(VALUE(SUBSTITUTE(SUBSTITUTE(TRIM('Sales_RAW(BEFORE)'!AT277), "%", ""), ",", ".")), 0) / 100, IFERROR(VALUE(SUBSTITUTE(SUBSTITUTE(TRIM('Sales_RAW(BEFORE)'!AT277), "%", ""), ",", ".")), 0))</f>
        <v>0.25</v>
      </c>
      <c r="AW269" s="6">
        <f>BA269*(_xlfn.XLOOKUP(N269,Employees!$A$2:$A$26,Employees!$E$2:$E$26,2))</f>
        <v>113.12939519999999</v>
      </c>
      <c r="AX269" s="3" t="str">
        <f>PROPER('Sales_RAW(BEFORE)'!AV277)</f>
        <v>Sophia Smith</v>
      </c>
      <c r="AY269" s="3" t="str">
        <f t="shared" si="23"/>
        <v>Sophia Smith</v>
      </c>
      <c r="AZ269" s="3"/>
      <c r="BA269" s="24">
        <f>AK269*(1-(_xlfn.XLOOKUP(G269, Exchange_Rates!$B$8:$F$8, Exchange_Rates!$B$9:$F$9, 0)+J269))</f>
        <v>3770.97984</v>
      </c>
      <c r="BB269" s="7" cm="1">
        <f t="array" ref="BB269">_xlfn.LET(
  _xlpm.raw_dt, SUBSTITUTE(TRIM(C269), ".", "/"),
  _xlpm.dt, IFERROR(DATEVALUE(_xlpm.raw_dt), C269),
  _xlpm.p_code, TRIM(E269),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46563</v>
      </c>
      <c r="BC269" s="25">
        <f t="shared" si="24"/>
        <v>942.74495999999999</v>
      </c>
    </row>
    <row r="270" spans="1:55" ht="15.75" thickBot="1" x14ac:dyDescent="0.3">
      <c r="A270" s="3" t="s">
        <v>4349</v>
      </c>
      <c r="B270" s="10">
        <v>46231</v>
      </c>
      <c r="C270" s="4">
        <f>DATE(2026,7,31)</f>
        <v>46234</v>
      </c>
      <c r="D270" s="3" t="str">
        <f>"P-" &amp; TEXT(VALUE(SUBSTITUTE(SUBSTITUTE(SUBSTITUTE(UPPER(TRIM('Sales_RAW(BEFORE)'!D278)), "P", ""), "-", ""), "_", "")),"000")</f>
        <v>P-013</v>
      </c>
      <c r="E270" s="3" t="str">
        <f>VLOOKUP(D270,Product_List!$A$2:$B$61,2,FALSE)</f>
        <v>Monitor Max 13</v>
      </c>
      <c r="F270" s="3" t="str">
        <f>_xlfn.XLOOKUP(E270,Product_List!$B$2:$B$61,Product_List!$E$2:$E$61,2)</f>
        <v>OfficeHub</v>
      </c>
      <c r="G270" s="3" t="str">
        <f>VLOOKUP(E270,Product_List!$B$2:$C$61,2,FALSE)</f>
        <v>Electronics</v>
      </c>
      <c r="H270" s="3" t="str">
        <f>SUBSTITUTE(SUBSTITUTE('Sales_RAW(BEFORE)'!G278,"kom",""),".","")</f>
        <v>24</v>
      </c>
      <c r="I270" s="6">
        <f>VLOOKUP(E270,Product_List!$B$2:$D$61,3,FALSE)</f>
        <v>930.42</v>
      </c>
      <c r="J270" s="5">
        <f>IF(IFERROR(VALUE(SUBSTITUTE(SUBSTITUTE(TRIM('Sales_RAW(BEFORE)'!I278), "%", ""), ",", ".")), 0) &gt; 1, IFERROR(VALUE(SUBSTITUTE(SUBSTITUTE(TRIM('Sales_RAW(BEFORE)'!I278), "%", ""), ",", ".")), 0) / 100, IFERROR(VALUE(SUBSTITUTE(SUBSTITUTE(TRIM('Sales_RAW(BEFORE)'!I278), "%", ""), ",", ".")), 0))</f>
        <v>0</v>
      </c>
      <c r="K270" s="6">
        <f t="shared" si="22"/>
        <v>22330.079999999998</v>
      </c>
      <c r="L270" s="6" t="str" cm="1">
        <f t="array" ref="L270">_xlfn.LET(
  _xlpm.valuta, UPPER(TRIM('Sales_RAW(BEFORE)'!K278)),
  _xlfn.IFS(
    _xlpm.valuta = "", "",
    OR(_xlpm.valuta = "USD", _xlpm.valuta = "$"), "$",
    OR(_xlpm.valuta = "EUR", _xlpm.valuta = "€"), "€",
    TRUE, _xlpm.valuta
  )
)</f>
        <v>$</v>
      </c>
      <c r="M270" s="3" t="str">
        <f>"E" &amp; TEXT(VALUE(SUBSTITUTE(SUBSTITUTE(SUBSTITUTE(UPPER(TRIM('Sales_RAW(BEFORE)'!L278)), "EMP", ""), "E", ""), "-", "")),"000")</f>
        <v>E025</v>
      </c>
      <c r="N270" s="3" t="str">
        <f>_xlfn.XLOOKUP(M270,Employees!$D$2:$D$26,Employees!$A$2:$A$26)</f>
        <v>Chris Johnson</v>
      </c>
      <c r="O270" s="3" t="str">
        <f>_xlfn.XLOOKUP(N270,Employees!$A$2:$A$26,Employees!$C$2:$C$26,2)</f>
        <v>Sales</v>
      </c>
      <c r="P270" s="3" t="str">
        <f>PROPER('Sales_RAW(BEFORE)'!N278)</f>
        <v>East</v>
      </c>
      <c r="Q270" s="3" t="str">
        <f>VLOOKUP(N270,Employees!$A$2:$B$26,2,FALSE)</f>
        <v>Boston</v>
      </c>
      <c r="R270" s="3" t="str">
        <f>PROPER('Sales_RAW(BEFORE)'!P278)</f>
        <v xml:space="preserve">Stark Inc  </v>
      </c>
      <c r="S270" s="3" t="str">
        <f>SUBSTITUTE(SUBSTITUTE('Sales_RAW(BEFORE)'!Q278,"EIN",""),":","")</f>
        <v>346073231</v>
      </c>
      <c r="T270" s="3" t="s">
        <v>1271</v>
      </c>
      <c r="U270" s="3" t="s">
        <v>4356</v>
      </c>
      <c r="V270" s="3" t="s">
        <v>4357</v>
      </c>
      <c r="W270" s="3" t="s">
        <v>4358</v>
      </c>
      <c r="X270" s="3" t="s">
        <v>173</v>
      </c>
      <c r="Y270" s="3" t="str">
        <f>PROPER('Sales_RAW(BEFORE)'!W278)</f>
        <v>Paypal</v>
      </c>
      <c r="Z270" s="3" t="str">
        <f>PROPER('Sales_RAW(BEFORE)'!X278)</f>
        <v>Cancelled</v>
      </c>
      <c r="AA270" s="3" t="str" cm="1">
        <f t="array" ref="AA270">_xlfn.LET(
  _xlpm.val, TRIM(LOWER('Sales_RAW(BEFORE)'!Y278)),
  _xlfn.IFS(
    OR(_xlpm.val="yes", _xlpm.val="paid"), "Paid",
    OR(_xlpm.val="no", _xlpm.val="unpaid"), "Unpaid",
    OR(_xlpm.val="partial", _xlpm.val="partial paid"), "Partial",
    _xlpm.val="", "",
    TRUE, 'Sales_RAW(BEFORE)'!AY278
  )
)</f>
        <v>Paid</v>
      </c>
      <c r="AB270" s="3" t="s">
        <v>4359</v>
      </c>
      <c r="AC270" s="3" t="str">
        <f>PROPER('Sales_RAW(BEFORE)'!AA278)</f>
        <v>Phone</v>
      </c>
      <c r="AD270" s="3" t="str">
        <f>SUBSTITUTE(SUBSTITUTE(SUBSTITUTE(SUBSTITUTE('Sales_RAW(BEFORE)'!AB278,"st",""),"q",""),"Q",""),"uarter","")</f>
        <v>2</v>
      </c>
      <c r="AE270" s="3" t="str">
        <f>TEXT(IFERROR(DATEVALUE('Sales_RAW(BEFORE)'!AC278 &amp; " 1"), IFERROR(DATE(2025, 'Sales_RAW(BEFORE)'!AC278, 1), 'Sales_RAW(BEFORE)'!AC278)), "mmmm")</f>
        <v>July</v>
      </c>
      <c r="AF270" s="3">
        <f>_xlfn.LET(
  _xlpm.raw, TRIM(SUBSTITUTE('Sales_RAW(BEFORE)'!AD278, "'", "")),
  _xlpm.num, IFERROR(VALUE(_xlpm.raw), 0),
  IF(_xlpm.num &lt; 100, 2000 + _xlpm.num, _xlpm.num)
)</f>
        <v>2026</v>
      </c>
      <c r="AG270" s="3" t="str">
        <f>PROPER('Sales_RAW(BEFORE)'!AE278)</f>
        <v>15</v>
      </c>
      <c r="AH270" s="3" cm="1">
        <f t="array" ref="AH270">_xlfn.LET(
  _xlpm.val, LOWER(TRIM('Sales_RAW(BEFORE)'!AF278)),
  _xlfn.IFS(
    OR(_xlpm.val="", _xlpm.val="null", _xlpm.val="N/A", _xlpm.val="-", _xlpm.val="#N/A"), 0,
    ISNUMBER('Sales_RAW(BEFORE)'!AF278), 'Sales_RAW(BEFORE)'!AF278,
    TRUE, IFERROR(_xlfn.NUMBERVALUE(_xlpm.val), 0)
  )
)</f>
        <v>82</v>
      </c>
      <c r="AI270" s="5">
        <f>IF(IFERROR(VALUE(SUBSTITUTE(SUBSTITUTE(TRIM('Sales_RAW(BEFORE)'!AG278), "%", ""), ",", ".")), 0) &gt; 1, IFERROR(VALUE(SUBSTITUTE(SUBSTITUTE(TRIM('Sales_RAW(BEFORE)'!AG278), "%", ""), ",", ".")), 0) / 100, IFERROR(VALUE(SUBSTITUTE(SUBSTITUTE(TRIM('Sales_RAW(BEFORE)'!AG278), "%", ""), ",", ".")), 0))</f>
        <v>0.08</v>
      </c>
      <c r="AJ270" s="6">
        <f t="shared" si="20"/>
        <v>1786.4063999999998</v>
      </c>
      <c r="AK270" s="6">
        <f t="shared" si="21"/>
        <v>24116.486399999998</v>
      </c>
      <c r="AL270" s="6">
        <f>IFERROR(VALUE(SUBSTITUTE(SUBSTITUTE(SUBSTITUTE('Sales_RAW(BEFORE)'!AJ278,"$",""),"USD",""),",",".")),0)</f>
        <v>16</v>
      </c>
      <c r="AM270" s="3" t="str">
        <f>SUBSTITUTE(SUBSTITUTE(PROPER('Sales_RAW(BEFORE)'!AK278), "Fed Ex", "FedEx"),"Fedex","FedEx")</f>
        <v>FedEx</v>
      </c>
      <c r="AN270" s="3" t="s">
        <v>4360</v>
      </c>
      <c r="AO270" s="3" t="str">
        <f>SUBSTITUTE('Sales_RAW(BEFORE)'!AM278,"kg","")</f>
        <v>3.52</v>
      </c>
      <c r="AP270" s="3" t="str">
        <f>_xlfn.LET(
  _xlpm.raw, UPPER(TRIM('Sales_RAW(BEFORE)'!AN278)),
  _xlpm.clean, RIGHT(_xlpm.raw, 1),
  IF(OR(_xlpm.raw="", _xlpm.raw="null"), "N/A", _xlpm.clean)
)</f>
        <v>A</v>
      </c>
      <c r="AQ270" s="3">
        <v>424</v>
      </c>
      <c r="AR270" s="3" cm="1">
        <f t="array" ref="AR270">_xlfn.LET(
  _xlpm.raw, LOWER(TRIM('Sales_RAW(BEFORE)'!AP278)),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270" s="3"/>
      <c r="AT270" s="3"/>
      <c r="AU270" s="3"/>
      <c r="AV270" s="8">
        <f>IF(IFERROR(VALUE(SUBSTITUTE(SUBSTITUTE(TRIM('Sales_RAW(BEFORE)'!AT278), "%", ""), ",", ".")), 0) &gt; 1, IFERROR(VALUE(SUBSTITUTE(SUBSTITUTE(TRIM('Sales_RAW(BEFORE)'!AT278), "%", ""), ",", ".")), 0) / 100, IFERROR(VALUE(SUBSTITUTE(SUBSTITUTE(TRIM('Sales_RAW(BEFORE)'!AT278), "%", ""), ",", ".")), 0))</f>
        <v>0.15</v>
      </c>
      <c r="AW270" s="6">
        <f>BA270*(_xlfn.XLOOKUP(N270,Employees!$A$2:$A$26,Employees!$E$2:$E$26,2))</f>
        <v>1085.241888</v>
      </c>
      <c r="AX270" s="3" t="str">
        <f>PROPER('Sales_RAW(BEFORE)'!AV278)</f>
        <v>James Anderson</v>
      </c>
      <c r="AY270" s="3" t="str">
        <f t="shared" si="23"/>
        <v>James Anderson</v>
      </c>
      <c r="AZ270" s="3"/>
      <c r="BA270" s="24">
        <f>AK270*(1-(_xlfn.XLOOKUP(G270, Exchange_Rates!$B$8:$F$8, Exchange_Rates!$B$9:$F$9, 0)+J270))</f>
        <v>21704.837759999999</v>
      </c>
      <c r="BB270" s="7" cm="1">
        <f t="array" ref="BB270">_xlfn.LET(
  _xlpm.raw_dt, SUBSTITUTE(TRIM(C270), ".", "/"),
  _xlpm.dt, IFERROR(DATEVALUE(_xlpm.raw_dt), C270),
  _xlpm.p_code, TRIM(E270),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47330</v>
      </c>
      <c r="BC270" s="25">
        <f t="shared" si="24"/>
        <v>3255.7256639999996</v>
      </c>
    </row>
    <row r="271" spans="1:55" ht="15.75" thickBot="1" x14ac:dyDescent="0.3">
      <c r="A271" s="3" t="s">
        <v>4362</v>
      </c>
      <c r="B271" s="10">
        <v>46126</v>
      </c>
      <c r="C271" s="4">
        <v>46137</v>
      </c>
      <c r="D271" s="3" t="str">
        <f>"P-" &amp; TEXT(VALUE(SUBSTITUTE(SUBSTITUTE(SUBSTITUTE(UPPER(TRIM('Sales_RAW(BEFORE)'!D279)), "P", ""), "-", ""), "_", "")),"000")</f>
        <v>P-011</v>
      </c>
      <c r="E271" s="3" t="str">
        <f>VLOOKUP(D271,Product_List!$A$2:$B$61,2,FALSE)</f>
        <v>Mouse Pro 11</v>
      </c>
      <c r="F271" s="3" t="str">
        <f>_xlfn.XLOOKUP(E271,Product_List!$B$2:$B$61,Product_List!$E$2:$E$61,2)</f>
        <v>OfficeHub</v>
      </c>
      <c r="G271" s="3" t="str">
        <f>VLOOKUP(E271,Product_List!$B$2:$C$61,2,FALSE)</f>
        <v>Equipment</v>
      </c>
      <c r="H271" s="3" t="str">
        <f>SUBSTITUTE(SUBSTITUTE('Sales_RAW(BEFORE)'!G279,"kom",""),".","")</f>
        <v xml:space="preserve">17 </v>
      </c>
      <c r="I271" s="6">
        <f>VLOOKUP(E271,Product_List!$B$2:$D$61,3,FALSE)</f>
        <v>858.95</v>
      </c>
      <c r="J271" s="5">
        <f>IF(IFERROR(VALUE(SUBSTITUTE(SUBSTITUTE(TRIM('Sales_RAW(BEFORE)'!I279), "%", ""), ",", ".")), 0) &gt; 1, IFERROR(VALUE(SUBSTITUTE(SUBSTITUTE(TRIM('Sales_RAW(BEFORE)'!I279), "%", ""), ",", ".")), 0) / 100, IFERROR(VALUE(SUBSTITUTE(SUBSTITUTE(TRIM('Sales_RAW(BEFORE)'!I279), "%", ""), ",", ".")), 0))</f>
        <v>0.1</v>
      </c>
      <c r="K271" s="6">
        <f t="shared" si="22"/>
        <v>14602.150000000001</v>
      </c>
      <c r="L271" s="6" t="str" cm="1">
        <f t="array" ref="L271">_xlfn.LET(
  _xlpm.valuta, UPPER(TRIM('Sales_RAW(BEFORE)'!K279)),
  _xlfn.IFS(
    _xlpm.valuta = "", "",
    OR(_xlpm.valuta = "USD", _xlpm.valuta = "$"), "$",
    OR(_xlpm.valuta = "EUR", _xlpm.valuta = "€"), "€",
    TRUE, _xlpm.valuta
  )
)</f>
        <v>$</v>
      </c>
      <c r="M271" s="3" t="str">
        <f>"E" &amp; TEXT(VALUE(SUBSTITUTE(SUBSTITUTE(SUBSTITUTE(UPPER(TRIM('Sales_RAW(BEFORE)'!L279)), "EMP", ""), "E", ""), "-", "")),"000")</f>
        <v>E015</v>
      </c>
      <c r="N271" s="3" t="str">
        <f>_xlfn.XLOOKUP(M271,Employees!$D$2:$D$26,Employees!$A$2:$A$26)</f>
        <v>Sarah Jones</v>
      </c>
      <c r="O271" s="3" t="str">
        <f>_xlfn.XLOOKUP(N271,Employees!$A$2:$A$26,Employees!$C$2:$C$26,2)</f>
        <v>Wholesale</v>
      </c>
      <c r="P271" s="3" t="str">
        <f>PROPER('Sales_RAW(BEFORE)'!N279)</f>
        <v>South</v>
      </c>
      <c r="Q271" s="3" t="str">
        <f>VLOOKUP(N271,Employees!$A$2:$B$26,2,FALSE)</f>
        <v>Boston</v>
      </c>
      <c r="R271" s="3" t="str">
        <f>PROPER('Sales_RAW(BEFORE)'!P279)</f>
        <v xml:space="preserve">Wayne Ltd. </v>
      </c>
      <c r="S271" s="3" t="str">
        <f>SUBSTITUTE(SUBSTITUTE('Sales_RAW(BEFORE)'!Q279,"EIN",""),":","")</f>
        <v xml:space="preserve"> 107349626</v>
      </c>
      <c r="T271" s="3" t="s">
        <v>564</v>
      </c>
      <c r="U271" s="3" t="s">
        <v>4368</v>
      </c>
      <c r="V271" s="3" t="s">
        <v>4369</v>
      </c>
      <c r="W271" s="3" t="s">
        <v>4370</v>
      </c>
      <c r="X271" s="3" t="s">
        <v>173</v>
      </c>
      <c r="Y271" s="3" t="str">
        <f>PROPER('Sales_RAW(BEFORE)'!W279)</f>
        <v>Cash</v>
      </c>
      <c r="Z271" s="3" t="str">
        <f>PROPER('Sales_RAW(BEFORE)'!X279)</f>
        <v>Pending</v>
      </c>
      <c r="AA271" s="3" t="str" cm="1">
        <f t="array" ref="AA271">_xlfn.LET(
  _xlpm.val, TRIM(LOWER('Sales_RAW(BEFORE)'!Y279)),
  _xlfn.IFS(
    OR(_xlpm.val="yes", _xlpm.val="paid"), "Paid",
    OR(_xlpm.val="no", _xlpm.val="unpaid"), "Unpaid",
    OR(_xlpm.val="partial", _xlpm.val="partial paid"), "Partial",
    _xlpm.val="", "",
    TRUE, 'Sales_RAW(BEFORE)'!AY279
  )
)</f>
        <v>Paid</v>
      </c>
      <c r="AB271" s="3" t="s">
        <v>4371</v>
      </c>
      <c r="AC271" s="3" t="str">
        <f>PROPER('Sales_RAW(BEFORE)'!AA279)</f>
        <v>Online</v>
      </c>
      <c r="AD271" s="3" t="str">
        <f>SUBSTITUTE(SUBSTITUTE(SUBSTITUTE(SUBSTITUTE('Sales_RAW(BEFORE)'!AB279,"st",""),"q",""),"Q",""),"uarter","")</f>
        <v>2</v>
      </c>
      <c r="AE271" s="3" t="str">
        <f>TEXT(IFERROR(DATEVALUE('Sales_RAW(BEFORE)'!AC279 &amp; " 1"), IFERROR(DATE(2025, 'Sales_RAW(BEFORE)'!AC279, 1), 'Sales_RAW(BEFORE)'!AC279)), "mmmm")</f>
        <v>April</v>
      </c>
      <c r="AF271" s="3">
        <f>_xlfn.LET(
  _xlpm.raw, TRIM(SUBSTITUTE('Sales_RAW(BEFORE)'!AD279, "'", "")),
  _xlpm.num, IFERROR(VALUE(_xlpm.raw), 0),
  IF(_xlpm.num &lt; 100, 2000 + _xlpm.num, _xlpm.num)
)</f>
        <v>2026</v>
      </c>
      <c r="AG271" s="3" t="str">
        <f>PROPER('Sales_RAW(BEFORE)'!AE279)</f>
        <v>15</v>
      </c>
      <c r="AH271" s="3" cm="1">
        <f t="array" ref="AH271">_xlfn.LET(
  _xlpm.val, LOWER(TRIM('Sales_RAW(BEFORE)'!AF279)),
  _xlfn.IFS(
    OR(_xlpm.val="", _xlpm.val="null", _xlpm.val="N/A", _xlpm.val="-", _xlpm.val="#N/A"), 0,
    ISNUMBER('Sales_RAW(BEFORE)'!AF279), 'Sales_RAW(BEFORE)'!AF279,
    TRUE, IFERROR(_xlfn.NUMBERVALUE(_xlpm.val), 0)
  )
)</f>
        <v>16</v>
      </c>
      <c r="AI271" s="5">
        <f>IF(IFERROR(VALUE(SUBSTITUTE(SUBSTITUTE(TRIM('Sales_RAW(BEFORE)'!AG279), "%", ""), ",", ".")), 0) &gt; 1, IFERROR(VALUE(SUBSTITUTE(SUBSTITUTE(TRIM('Sales_RAW(BEFORE)'!AG279), "%", ""), ",", ".")), 0) / 100, IFERROR(VALUE(SUBSTITUTE(SUBSTITUTE(TRIM('Sales_RAW(BEFORE)'!AG279), "%", ""), ",", ".")), 0))</f>
        <v>0.08</v>
      </c>
      <c r="AJ271" s="6">
        <f t="shared" si="20"/>
        <v>1168.1720000000003</v>
      </c>
      <c r="AK271" s="6">
        <f t="shared" si="21"/>
        <v>15770.322000000002</v>
      </c>
      <c r="AL271" s="6">
        <f>IFERROR(VALUE(SUBSTITUTE(SUBSTITUTE(SUBSTITUTE('Sales_RAW(BEFORE)'!AJ279,"$",""),"USD",""),",",".")),0)</f>
        <v>0</v>
      </c>
      <c r="AM271" s="3" t="str">
        <f>SUBSTITUTE(SUBSTITUTE(PROPER('Sales_RAW(BEFORE)'!AK279), "Fed Ex", "FedEx"),"Fedex","FedEx")</f>
        <v>Ups</v>
      </c>
      <c r="AN271" s="3" t="s">
        <v>4372</v>
      </c>
      <c r="AO271" s="3" t="str">
        <f>SUBSTITUTE('Sales_RAW(BEFORE)'!AM279,"kg","")</f>
        <v>27,58</v>
      </c>
      <c r="AP271" s="3" t="str">
        <f>_xlfn.LET(
  _xlpm.raw, UPPER(TRIM('Sales_RAW(BEFORE)'!AN279)),
  _xlpm.clean, RIGHT(_xlpm.raw, 1),
  IF(OR(_xlpm.raw="", _xlpm.raw="null"), "N/A", _xlpm.clean)
)</f>
        <v>A</v>
      </c>
      <c r="AQ271" s="3">
        <v>279</v>
      </c>
      <c r="AR271" s="3" cm="1">
        <f t="array" ref="AR271">_xlfn.LET(
  _xlpm.raw, LOWER(TRIM('Sales_RAW(BEFORE)'!AP279)),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271" s="3"/>
      <c r="AT271" s="3"/>
      <c r="AU271" s="3"/>
      <c r="AV271" s="8">
        <f>IF(IFERROR(VALUE(SUBSTITUTE(SUBSTITUTE(TRIM('Sales_RAW(BEFORE)'!AT279), "%", ""), ",", ".")), 0) &gt; 1, IFERROR(VALUE(SUBSTITUTE(SUBSTITUTE(TRIM('Sales_RAW(BEFORE)'!AT279), "%", ""), ",", ".")), 0) / 100, IFERROR(VALUE(SUBSTITUTE(SUBSTITUTE(TRIM('Sales_RAW(BEFORE)'!AT279), "%", ""), ",", ".")), 0))</f>
        <v>0</v>
      </c>
      <c r="AW271" s="6">
        <f>BA271*(_xlfn.XLOOKUP(N271,Employees!$A$2:$A$26,Employees!$E$2:$E$26,2))</f>
        <v>378.48772800000006</v>
      </c>
      <c r="AX271" s="3" t="str">
        <f>PROPER('Sales_RAW(BEFORE)'!AV279)</f>
        <v>Emily Smith</v>
      </c>
      <c r="AY271" s="3" t="str">
        <f t="shared" si="23"/>
        <v>Emily Smith</v>
      </c>
      <c r="AZ271" s="3"/>
      <c r="BA271" s="24">
        <f>AK271*(1-(_xlfn.XLOOKUP(G271, Exchange_Rates!$B$8:$F$8, Exchange_Rates!$B$9:$F$9, 0)+J271))</f>
        <v>12616.257600000003</v>
      </c>
      <c r="BB271" s="7" cm="1">
        <f t="array" ref="BB271">_xlfn.LET(
  _xlpm.raw_dt, SUBSTITUTE(TRIM(C271), ".", "/"),
  _xlpm.dt, IFERROR(DATEVALUE(_xlpm.raw_dt), C271),
  _xlpm.p_code, TRIM(E271),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46502</v>
      </c>
      <c r="BC271" s="25">
        <f t="shared" si="24"/>
        <v>0</v>
      </c>
    </row>
    <row r="272" spans="1:55" ht="15.75" thickBot="1" x14ac:dyDescent="0.3">
      <c r="A272" s="3" t="s">
        <v>4374</v>
      </c>
      <c r="B272" s="10">
        <v>46025</v>
      </c>
      <c r="C272" s="4">
        <v>46038</v>
      </c>
      <c r="D272" s="3" t="str">
        <f>"P-" &amp; TEXT(VALUE(SUBSTITUTE(SUBSTITUTE(SUBSTITUTE(UPPER(TRIM('Sales_RAW(BEFORE)'!D280)), "P", ""), "-", ""), "_", "")),"000")</f>
        <v>P-004</v>
      </c>
      <c r="E272" s="3" t="str">
        <f>VLOOKUP(D272,Product_List!$A$2:$B$61,2,FALSE)</f>
        <v>Printer Plus 4</v>
      </c>
      <c r="F272" s="3" t="str">
        <f>_xlfn.XLOOKUP(E272,Product_List!$B$2:$B$61,Product_List!$E$2:$E$61,2)</f>
        <v>OfficeHub</v>
      </c>
      <c r="G272" s="3" t="str">
        <f>VLOOKUP(E272,Product_List!$B$2:$C$61,2,FALSE)</f>
        <v>Electronics</v>
      </c>
      <c r="H272" s="3" t="str">
        <f>SUBSTITUTE(SUBSTITUTE('Sales_RAW(BEFORE)'!G280,"kom",""),".","")</f>
        <v xml:space="preserve">34 </v>
      </c>
      <c r="I272" s="6">
        <f>VLOOKUP(E272,Product_List!$B$2:$D$61,3,FALSE)</f>
        <v>364.79</v>
      </c>
      <c r="J272" s="5">
        <f>IF(IFERROR(VALUE(SUBSTITUTE(SUBSTITUTE(TRIM('Sales_RAW(BEFORE)'!I280), "%", ""), ",", ".")), 0) &gt; 1, IFERROR(VALUE(SUBSTITUTE(SUBSTITUTE(TRIM('Sales_RAW(BEFORE)'!I280), "%", ""), ",", ".")), 0) / 100, IFERROR(VALUE(SUBSTITUTE(SUBSTITUTE(TRIM('Sales_RAW(BEFORE)'!I280), "%", ""), ",", ".")), 0))</f>
        <v>0.05</v>
      </c>
      <c r="K272" s="6">
        <f t="shared" si="22"/>
        <v>12402.86</v>
      </c>
      <c r="L272" s="6" t="str" cm="1">
        <f t="array" ref="L272">_xlfn.LET(
  _xlpm.valuta, UPPER(TRIM('Sales_RAW(BEFORE)'!K280)),
  _xlfn.IFS(
    _xlpm.valuta = "", "",
    OR(_xlpm.valuta = "USD", _xlpm.valuta = "$"), "$",
    OR(_xlpm.valuta = "EUR", _xlpm.valuta = "€"), "€",
    TRUE, _xlpm.valuta
  )
)</f>
        <v>$</v>
      </c>
      <c r="M272" s="3" t="str">
        <f>"E" &amp; TEXT(VALUE(SUBSTITUTE(SUBSTITUTE(SUBSTITUTE(UPPER(TRIM('Sales_RAW(BEFORE)'!L280)), "EMP", ""), "E", ""), "-", "")),"000")</f>
        <v>E024</v>
      </c>
      <c r="N272" s="3" t="str">
        <f>_xlfn.XLOOKUP(M272,Employees!$D$2:$D$26,Employees!$A$2:$A$26)</f>
        <v>Robert Smith</v>
      </c>
      <c r="O272" s="3" t="str">
        <f>_xlfn.XLOOKUP(N272,Employees!$A$2:$A$26,Employees!$C$2:$C$26,2)</f>
        <v>Retail</v>
      </c>
      <c r="P272" s="3" t="str">
        <f>PROPER('Sales_RAW(BEFORE)'!N280)</f>
        <v>West</v>
      </c>
      <c r="Q272" s="3" t="str">
        <f>VLOOKUP(N272,Employees!$A$2:$B$26,2,FALSE)</f>
        <v>Chicago</v>
      </c>
      <c r="R272" s="3" t="str">
        <f>PROPER('Sales_RAW(BEFORE)'!P280)</f>
        <v xml:space="preserve">   Initech Ltd.</v>
      </c>
      <c r="S272" s="3" t="str">
        <f>SUBSTITUTE(SUBSTITUTE('Sales_RAW(BEFORE)'!Q280,"EIN",""),":","")</f>
        <v>881129289</v>
      </c>
      <c r="T272" s="3" t="s">
        <v>1708</v>
      </c>
      <c r="U272" s="3" t="s">
        <v>4380</v>
      </c>
      <c r="V272" s="3" t="s">
        <v>4381</v>
      </c>
      <c r="W272" s="3" t="s">
        <v>4382</v>
      </c>
      <c r="X272" s="3" t="s">
        <v>173</v>
      </c>
      <c r="Y272" s="3" t="str">
        <f>PROPER('Sales_RAW(BEFORE)'!W280)</f>
        <v>Cash</v>
      </c>
      <c r="Z272" s="3" t="str">
        <f>PROPER('Sales_RAW(BEFORE)'!X280)</f>
        <v>Processing</v>
      </c>
      <c r="AA272" s="3" t="str" cm="1">
        <f t="array" ref="AA272">_xlfn.LET(
  _xlpm.val, TRIM(LOWER('Sales_RAW(BEFORE)'!Y280)),
  _xlfn.IFS(
    OR(_xlpm.val="yes", _xlpm.val="paid"), "Paid",
    OR(_xlpm.val="no", _xlpm.val="unpaid"), "Unpaid",
    OR(_xlpm.val="partial", _xlpm.val="partial paid"), "Partial",
    _xlpm.val="", "",
    TRUE, 'Sales_RAW(BEFORE)'!AY280
  )
)</f>
        <v>Paid</v>
      </c>
      <c r="AB272" s="3" t="s">
        <v>4383</v>
      </c>
      <c r="AC272" s="3" t="str">
        <f>PROPER('Sales_RAW(BEFORE)'!AA280)</f>
        <v>Online</v>
      </c>
      <c r="AD272" s="3" t="str">
        <f>SUBSTITUTE(SUBSTITUTE(SUBSTITUTE(SUBSTITUTE('Sales_RAW(BEFORE)'!AB280,"st",""),"q",""),"Q",""),"uarter","")</f>
        <v>1</v>
      </c>
      <c r="AE272" s="3" t="str">
        <f>TEXT(IFERROR(DATEVALUE('Sales_RAW(BEFORE)'!AC280 &amp; " 1"), IFERROR(DATE(2025, 'Sales_RAW(BEFORE)'!AC280, 1), 'Sales_RAW(BEFORE)'!AC280)), "mmmm")</f>
        <v>January</v>
      </c>
      <c r="AF272" s="3">
        <f>_xlfn.LET(
  _xlpm.raw, TRIM(SUBSTITUTE('Sales_RAW(BEFORE)'!AD280, "'", "")),
  _xlpm.num, IFERROR(VALUE(_xlpm.raw), 0),
  IF(_xlpm.num &lt; 100, 2000 + _xlpm.num, _xlpm.num)
)</f>
        <v>2026</v>
      </c>
      <c r="AG272" s="3" t="str">
        <f>PROPER('Sales_RAW(BEFORE)'!AE280)</f>
        <v>Net 30</v>
      </c>
      <c r="AH272" s="3" cm="1">
        <f t="array" ref="AH272">_xlfn.LET(
  _xlpm.val, LOWER(TRIM('Sales_RAW(BEFORE)'!AF280)),
  _xlfn.IFS(
    OR(_xlpm.val="", _xlpm.val="null", _xlpm.val="N/A", _xlpm.val="-", _xlpm.val="#N/A"), 0,
    ISNUMBER('Sales_RAW(BEFORE)'!AF280), 'Sales_RAW(BEFORE)'!AF280,
    TRUE, IFERROR(_xlfn.NUMBERVALUE(_xlpm.val), 0)
  )
)</f>
        <v>5</v>
      </c>
      <c r="AI272" s="5">
        <f>IF(IFERROR(VALUE(SUBSTITUTE(SUBSTITUTE(TRIM('Sales_RAW(BEFORE)'!AG280), "%", ""), ",", ".")), 0) &gt; 1, IFERROR(VALUE(SUBSTITUTE(SUBSTITUTE(TRIM('Sales_RAW(BEFORE)'!AG280), "%", ""), ",", ".")), 0) / 100, IFERROR(VALUE(SUBSTITUTE(SUBSTITUTE(TRIM('Sales_RAW(BEFORE)'!AG280), "%", ""), ",", ".")), 0))</f>
        <v>0.08</v>
      </c>
      <c r="AJ272" s="6">
        <f t="shared" si="20"/>
        <v>992.22880000000009</v>
      </c>
      <c r="AK272" s="6">
        <f t="shared" si="21"/>
        <v>13395.088800000001</v>
      </c>
      <c r="AL272" s="6">
        <f>IFERROR(VALUE(SUBSTITUTE(SUBSTITUTE(SUBSTITUTE('Sales_RAW(BEFORE)'!AJ280,"$",""),"USD",""),",",".")),0)</f>
        <v>27.98</v>
      </c>
      <c r="AM272" s="3" t="str">
        <f>SUBSTITUTE(SUBSTITUTE(PROPER('Sales_RAW(BEFORE)'!AK280), "Fed Ex", "FedEx"),"Fedex","FedEx")</f>
        <v>Ups</v>
      </c>
      <c r="AN272" s="3" t="s">
        <v>4384</v>
      </c>
      <c r="AO272" s="3" t="str">
        <f>SUBSTITUTE('Sales_RAW(BEFORE)'!AM280,"kg","")</f>
        <v xml:space="preserve">1.8 </v>
      </c>
      <c r="AP272" s="3" t="str">
        <f>_xlfn.LET(
  _xlpm.raw, UPPER(TRIM('Sales_RAW(BEFORE)'!AN280)),
  _xlpm.clean, RIGHT(_xlpm.raw, 1),
  IF(OR(_xlpm.raw="", _xlpm.raw="null"), "N/A", _xlpm.clean)
)</f>
        <v>B</v>
      </c>
      <c r="AQ272" s="3">
        <v>165</v>
      </c>
      <c r="AR272" s="3" cm="1">
        <f t="array" ref="AR272">_xlfn.LET(
  _xlpm.raw, LOWER(TRIM('Sales_RAW(BEFORE)'!AP280)),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272" s="3"/>
      <c r="AT272" s="3"/>
      <c r="AU272" s="3"/>
      <c r="AV272" s="8">
        <f>IF(IFERROR(VALUE(SUBSTITUTE(SUBSTITUTE(TRIM('Sales_RAW(BEFORE)'!AT280), "%", ""), ",", ".")), 0) &gt; 1, IFERROR(VALUE(SUBSTITUTE(SUBSTITUTE(TRIM('Sales_RAW(BEFORE)'!AT280), "%", ""), ",", ".")), 0) / 100, IFERROR(VALUE(SUBSTITUTE(SUBSTITUTE(TRIM('Sales_RAW(BEFORE)'!AT280), "%", ""), ",", ".")), 0))</f>
        <v>0.15</v>
      </c>
      <c r="AW272" s="6">
        <f>BA272*(_xlfn.XLOOKUP(N272,Employees!$A$2:$A$26,Employees!$E$2:$E$26,2))</f>
        <v>227.71650960000002</v>
      </c>
      <c r="AX272" s="3" t="str">
        <f>PROPER('Sales_RAW(BEFORE)'!AV280)</f>
        <v>Jessica Jones</v>
      </c>
      <c r="AY272" s="3" t="str">
        <f t="shared" si="23"/>
        <v>Jessica Jones</v>
      </c>
      <c r="AZ272" s="3"/>
      <c r="BA272" s="24">
        <f>AK272*(1-(_xlfn.XLOOKUP(G272, Exchange_Rates!$B$8:$F$8, Exchange_Rates!$B$9:$F$9, 0)+J272))</f>
        <v>11385.825480000001</v>
      </c>
      <c r="BB272" s="7" cm="1">
        <f t="array" ref="BB272">_xlfn.LET(
  _xlpm.raw_dt, SUBSTITUTE(TRIM(C272), ".", "/"),
  _xlpm.dt, IFERROR(DATEVALUE(_xlpm.raw_dt), C272),
  _xlpm.p_code, TRIM(E272),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46768</v>
      </c>
      <c r="BC272" s="25">
        <f t="shared" si="24"/>
        <v>1707.8738220000002</v>
      </c>
    </row>
    <row r="273" spans="1:55" ht="15.75" thickBot="1" x14ac:dyDescent="0.3">
      <c r="A273" s="3" t="s">
        <v>4387</v>
      </c>
      <c r="B273" s="10">
        <v>45734</v>
      </c>
      <c r="C273" s="4" t="s">
        <v>142</v>
      </c>
      <c r="D273" s="3" t="str">
        <f>"P-" &amp; TEXT(VALUE(SUBSTITUTE(SUBSTITUTE(SUBSTITUTE(UPPER(TRIM('Sales_RAW(BEFORE)'!D281)), "P", ""), "-", ""), "_", "")),"000")</f>
        <v>P-022</v>
      </c>
      <c r="E273" s="3" t="str">
        <f>VLOOKUP(D273,Product_List!$A$2:$B$61,2,FALSE)</f>
        <v>Desk Basic 22</v>
      </c>
      <c r="F273" s="3" t="str">
        <f>_xlfn.XLOOKUP(E273,Product_List!$B$2:$B$61,Product_List!$E$2:$E$61,2)</f>
        <v>BestParts</v>
      </c>
      <c r="G273" s="3" t="str">
        <f>VLOOKUP(E273,Product_List!$B$2:$C$61,2,FALSE)</f>
        <v>Furniture</v>
      </c>
      <c r="H273" s="3" t="str">
        <f>SUBSTITUTE(SUBSTITUTE('Sales_RAW(BEFORE)'!G281,"kom",""),".","")</f>
        <v xml:space="preserve">33 </v>
      </c>
      <c r="I273" s="6">
        <f>VLOOKUP(E273,Product_List!$B$2:$D$61,3,FALSE)</f>
        <v>893.58</v>
      </c>
      <c r="J273" s="5">
        <f>IF(IFERROR(VALUE(SUBSTITUTE(SUBSTITUTE(TRIM('Sales_RAW(BEFORE)'!I281), "%", ""), ",", ".")), 0) &gt; 1, IFERROR(VALUE(SUBSTITUTE(SUBSTITUTE(TRIM('Sales_RAW(BEFORE)'!I281), "%", ""), ",", ".")), 0) / 100, IFERROR(VALUE(SUBSTITUTE(SUBSTITUTE(TRIM('Sales_RAW(BEFORE)'!I281), "%", ""), ",", ".")), 0))</f>
        <v>0</v>
      </c>
      <c r="K273" s="6">
        <f>(H273*I273)/(HLOOKUP(AE273,Exchange_Rates!$B$1:$M$2,2,FALSE))</f>
        <v>31707.677419354841</v>
      </c>
      <c r="L273" s="6" t="str" cm="1">
        <f t="array" ref="L273">_xlfn.LET(
  _xlpm.valuta, UPPER(TRIM('Sales_RAW(BEFORE)'!K281)),
  _xlfn.IFS(
    _xlpm.valuta = "", "",
    OR(_xlpm.valuta = "USD", _xlpm.valuta = "$"), "$",
    OR(_xlpm.valuta = "EUR", _xlpm.valuta = "€"), "€",
    TRUE, _xlpm.valuta
  )
)</f>
        <v>€</v>
      </c>
      <c r="M273" s="3" t="str">
        <f>"E" &amp; TEXT(VALUE(SUBSTITUTE(SUBSTITUTE(SUBSTITUTE(UPPER(TRIM('Sales_RAW(BEFORE)'!L281)), "EMP", ""), "E", ""), "-", "")),"000")</f>
        <v>E018</v>
      </c>
      <c r="N273" s="3" t="str">
        <f>_xlfn.XLOOKUP(M273,Employees!$D$2:$D$26,Employees!$A$2:$A$26)</f>
        <v>John Miller</v>
      </c>
      <c r="O273" s="3" t="str">
        <f>_xlfn.XLOOKUP(N273,Employees!$A$2:$A$26,Employees!$C$2:$C$26,2)</f>
        <v>Retail</v>
      </c>
      <c r="P273" s="3" t="str">
        <f>PROPER('Sales_RAW(BEFORE)'!N281)</f>
        <v>North</v>
      </c>
      <c r="Q273" s="3" t="str">
        <f>VLOOKUP(N273,Employees!$A$2:$B$26,2,FALSE)</f>
        <v>Houston</v>
      </c>
      <c r="R273" s="3" t="str">
        <f>PROPER('Sales_RAW(BEFORE)'!P281)</f>
        <v>Wayne Inc.</v>
      </c>
      <c r="S273" s="3" t="str">
        <f>SUBSTITUTE(SUBSTITUTE('Sales_RAW(BEFORE)'!Q281,"EIN",""),":","")</f>
        <v>516734395</v>
      </c>
      <c r="T273" s="3" t="s">
        <v>258</v>
      </c>
      <c r="U273" s="3" t="s">
        <v>4392</v>
      </c>
      <c r="V273" s="3" t="s">
        <v>4393</v>
      </c>
      <c r="W273" s="3" t="s">
        <v>4394</v>
      </c>
      <c r="X273" s="3" t="s">
        <v>173</v>
      </c>
      <c r="Y273" s="3" t="str">
        <f>PROPER('Sales_RAW(BEFORE)'!W281)</f>
        <v>Wire</v>
      </c>
      <c r="Z273" s="3" t="str">
        <f>PROPER('Sales_RAW(BEFORE)'!X281)</f>
        <v>Cancelled</v>
      </c>
      <c r="AA273" s="3" t="str" cm="1">
        <f t="array" ref="AA273">_xlfn.LET(
  _xlpm.val, TRIM(LOWER('Sales_RAW(BEFORE)'!Y281)),
  _xlfn.IFS(
    OR(_xlpm.val="yes", _xlpm.val="paid"), "Paid",
    OR(_xlpm.val="no", _xlpm.val="unpaid"), "Unpaid",
    OR(_xlpm.val="partial", _xlpm.val="partial paid"), "Partial",
    _xlpm.val="", "",
    TRUE, 'Sales_RAW(BEFORE)'!AY281
  )
)</f>
        <v>Unpaid</v>
      </c>
      <c r="AB273" s="3" t="s">
        <v>4395</v>
      </c>
      <c r="AC273" s="3" t="str">
        <f>PROPER('Sales_RAW(BEFORE)'!AA281)</f>
        <v>Online</v>
      </c>
      <c r="AD273" s="3" t="str">
        <f>SUBSTITUTE(SUBSTITUTE(SUBSTITUTE(SUBSTITUTE('Sales_RAW(BEFORE)'!AB281,"st",""),"q",""),"Q",""),"uarter","")</f>
        <v xml:space="preserve">1 </v>
      </c>
      <c r="AE273" s="3" t="str">
        <f>TEXT(IFERROR(DATEVALUE('Sales_RAW(BEFORE)'!AC281 &amp; " 1"), IFERROR(DATE(2025, 'Sales_RAW(BEFORE)'!AC281, 1), 'Sales_RAW(BEFORE)'!AC281)), "mmmm")</f>
        <v>March</v>
      </c>
      <c r="AF273" s="3">
        <f>_xlfn.LET(
  _xlpm.raw, TRIM(SUBSTITUTE('Sales_RAW(BEFORE)'!AD281, "'", "")),
  _xlpm.num, IFERROR(VALUE(_xlpm.raw), 0),
  IF(_xlpm.num &lt; 100, 2000 + _xlpm.num, _xlpm.num)
)</f>
        <v>2025</v>
      </c>
      <c r="AG273" s="3" t="str">
        <f>PROPER('Sales_RAW(BEFORE)'!AE281)</f>
        <v>Immediate</v>
      </c>
      <c r="AH273" s="3" cm="1">
        <f t="array" ref="AH273">_xlfn.LET(
  _xlpm.val, LOWER(TRIM('Sales_RAW(BEFORE)'!AF281)),
  _xlfn.IFS(
    OR(_xlpm.val="", _xlpm.val="null", _xlpm.val="N/A", _xlpm.val="-", _xlpm.val="#N/A"), 0,
    ISNUMBER('Sales_RAW(BEFORE)'!AF281), 'Sales_RAW(BEFORE)'!AF281,
    TRUE, IFERROR(_xlfn.NUMBERVALUE(_xlpm.val), 0)
  )
)</f>
        <v>89</v>
      </c>
      <c r="AI273" s="5">
        <f>IF(IFERROR(VALUE(SUBSTITUTE(SUBSTITUTE(TRIM('Sales_RAW(BEFORE)'!AG281), "%", ""), ",", ".")), 0) &gt; 1, IFERROR(VALUE(SUBSTITUTE(SUBSTITUTE(TRIM('Sales_RAW(BEFORE)'!AG281), "%", ""), ",", ".")), 0) / 100, IFERROR(VALUE(SUBSTITUTE(SUBSTITUTE(TRIM('Sales_RAW(BEFORE)'!AG281), "%", ""), ",", ".")), 0))</f>
        <v>0.08</v>
      </c>
      <c r="AJ273" s="6">
        <f t="shared" si="20"/>
        <v>2536.6141935483874</v>
      </c>
      <c r="AK273" s="6">
        <f t="shared" si="21"/>
        <v>34244.291612903231</v>
      </c>
      <c r="AL273" s="6">
        <f>IFERROR(VALUE(SUBSTITUTE(SUBSTITUTE(SUBSTITUTE('Sales_RAW(BEFORE)'!AJ281,"$",""),"USD",""),",",".")),0)</f>
        <v>48.9</v>
      </c>
      <c r="AM273" s="3" t="str">
        <f>SUBSTITUTE(SUBSTITUTE(PROPER('Sales_RAW(BEFORE)'!AK281), "Fed Ex", "FedEx"),"Fedex","FedEx")</f>
        <v>Ups</v>
      </c>
      <c r="AN273" s="3" t="s">
        <v>4397</v>
      </c>
      <c r="AO273" s="3" t="str">
        <f>SUBSTITUTE('Sales_RAW(BEFORE)'!AM281,"kg","")</f>
        <v xml:space="preserve">2.8 </v>
      </c>
      <c r="AP273" s="3" t="str">
        <f>_xlfn.LET(
  _xlpm.raw, UPPER(TRIM('Sales_RAW(BEFORE)'!AN281)),
  _xlpm.clean, RIGHT(_xlpm.raw, 1),
  IF(OR(_xlpm.raw="", _xlpm.raw="null"), "N/A", _xlpm.clean)
)</f>
        <v>A</v>
      </c>
      <c r="AQ273" s="3">
        <v>0</v>
      </c>
      <c r="AR273" s="3" cm="1">
        <f t="array" ref="AR273">_xlfn.LET(
  _xlpm.raw, LOWER(TRIM('Sales_RAW(BEFORE)'!AP281)),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273" s="3"/>
      <c r="AT273" s="3"/>
      <c r="AU273" s="3"/>
      <c r="AV273" s="8">
        <f>IF(IFERROR(VALUE(SUBSTITUTE(SUBSTITUTE(TRIM('Sales_RAW(BEFORE)'!AT281), "%", ""), ",", ".")), 0) &gt; 1, IFERROR(VALUE(SUBSTITUTE(SUBSTITUTE(TRIM('Sales_RAW(BEFORE)'!AT281), "%", ""), ",", ".")), 0) / 100, IFERROR(VALUE(SUBSTITUTE(SUBSTITUTE(TRIM('Sales_RAW(BEFORE)'!AT281), "%", ""), ",", ".")), 0))</f>
        <v>0.25</v>
      </c>
      <c r="AW273" s="6">
        <f>BA273*(_xlfn.XLOOKUP(N273,Employees!$A$2:$A$26,Employees!$E$2:$E$26,2))</f>
        <v>616.39724903225817</v>
      </c>
      <c r="AX273" s="3" t="str">
        <f>PROPER('Sales_RAW(BEFORE)'!AV281)</f>
        <v>Sophia Brown</v>
      </c>
      <c r="AY273" s="3" t="str">
        <f t="shared" si="23"/>
        <v>Sophia Brown</v>
      </c>
      <c r="AZ273" s="3"/>
      <c r="BA273" s="24">
        <f>AK273*(1-(_xlfn.XLOOKUP(G273, Exchange_Rates!$B$8:$F$8, Exchange_Rates!$B$9:$F$9, 0)+J273))</f>
        <v>30819.862451612909</v>
      </c>
      <c r="BB273" s="7" t="str" cm="1">
        <f t="array" ref="BB273">_xlfn.LET(
  _xlpm.raw_dt, SUBSTITUTE(TRIM(C273), ".", "/"),
  _xlpm.dt, IFERROR(DATEVALUE(_xlpm.raw_dt), C273),
  _xlpm.p_code, TRIM(E273),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Empty</v>
      </c>
      <c r="BC273" s="25">
        <f t="shared" si="24"/>
        <v>7704.9656129032273</v>
      </c>
    </row>
    <row r="274" spans="1:55" ht="15.75" thickBot="1" x14ac:dyDescent="0.3">
      <c r="A274" s="3" t="s">
        <v>4400</v>
      </c>
      <c r="B274" s="10">
        <v>46203</v>
      </c>
      <c r="C274" s="4">
        <v>46241</v>
      </c>
      <c r="D274" s="3" t="str">
        <f>"P-" &amp; TEXT(VALUE(SUBSTITUTE(SUBSTITUTE(SUBSTITUTE(UPPER(TRIM('Sales_RAW(BEFORE)'!D282)), "P", ""), "-", ""), "_", "")),"000")</f>
        <v>P-021</v>
      </c>
      <c r="E274" s="3" t="str">
        <f>VLOOKUP(D274,Product_List!$A$2:$B$61,2,FALSE)</f>
        <v>Monitor Max 21</v>
      </c>
      <c r="F274" s="3" t="str">
        <f>_xlfn.XLOOKUP(E274,Product_List!$B$2:$B$61,Product_List!$E$2:$E$61,2)</f>
        <v>OfficeHub</v>
      </c>
      <c r="G274" s="3" t="str">
        <f>VLOOKUP(E274,Product_List!$B$2:$C$61,2,FALSE)</f>
        <v>Equipment</v>
      </c>
      <c r="H274" s="3" t="str">
        <f>SUBSTITUTE(SUBSTITUTE('Sales_RAW(BEFORE)'!G282,"kom",""),".","")</f>
        <v>38</v>
      </c>
      <c r="I274" s="6">
        <f>VLOOKUP(E274,Product_List!$B$2:$D$61,3,FALSE)</f>
        <v>1184.7</v>
      </c>
      <c r="J274" s="5">
        <f>IF(IFERROR(VALUE(SUBSTITUTE(SUBSTITUTE(TRIM('Sales_RAW(BEFORE)'!I282), "%", ""), ",", ".")), 0) &gt; 1, IFERROR(VALUE(SUBSTITUTE(SUBSTITUTE(TRIM('Sales_RAW(BEFORE)'!I282), "%", ""), ",", ".")), 0) / 100, IFERROR(VALUE(SUBSTITUTE(SUBSTITUTE(TRIM('Sales_RAW(BEFORE)'!I282), "%", ""), ",", ".")), 0))</f>
        <v>0.1</v>
      </c>
      <c r="K274" s="6">
        <f t="shared" si="22"/>
        <v>45018.6</v>
      </c>
      <c r="L274" s="6" t="str" cm="1">
        <f t="array" ref="L274">_xlfn.LET(
  _xlpm.valuta, UPPER(TRIM('Sales_RAW(BEFORE)'!K282)),
  _xlfn.IFS(
    _xlpm.valuta = "", "",
    OR(_xlpm.valuta = "USD", _xlpm.valuta = "$"), "$",
    OR(_xlpm.valuta = "EUR", _xlpm.valuta = "€"), "€",
    TRUE, _xlpm.valuta
  )
)</f>
        <v>$</v>
      </c>
      <c r="M274" s="3" t="str">
        <f>"E" &amp; TEXT(VALUE(SUBSTITUTE(SUBSTITUTE(SUBSTITUTE(UPPER(TRIM('Sales_RAW(BEFORE)'!L282)), "EMP", ""), "E", ""), "-", "")),"000")</f>
        <v>E014</v>
      </c>
      <c r="N274" s="3" t="str">
        <f>_xlfn.XLOOKUP(M274,Employees!$D$2:$D$26,Employees!$A$2:$A$26)</f>
        <v>Sophia Brown</v>
      </c>
      <c r="O274" s="3" t="str">
        <f>_xlfn.XLOOKUP(N274,Employees!$A$2:$A$26,Employees!$C$2:$C$26,2)</f>
        <v>Online</v>
      </c>
      <c r="P274" s="3" t="str">
        <f>PROPER('Sales_RAW(BEFORE)'!N282)</f>
        <v>East</v>
      </c>
      <c r="Q274" s="3" t="str">
        <f>VLOOKUP(N274,Employees!$A$2:$B$26,2,FALSE)</f>
        <v>New York</v>
      </c>
      <c r="R274" s="3" t="str">
        <f>PROPER('Sales_RAW(BEFORE)'!P282)</f>
        <v xml:space="preserve">   Wayne Inc.</v>
      </c>
      <c r="S274" s="3" t="str">
        <f>SUBSTITUTE(SUBSTITUTE('Sales_RAW(BEFORE)'!Q282,"EIN",""),":","")</f>
        <v xml:space="preserve"> 493075040</v>
      </c>
      <c r="T274" s="3" t="s">
        <v>665</v>
      </c>
      <c r="U274" s="3" t="s">
        <v>4410</v>
      </c>
      <c r="V274" s="3" t="s">
        <v>4411</v>
      </c>
      <c r="W274" s="3" t="s">
        <v>4412</v>
      </c>
      <c r="X274" s="3" t="s">
        <v>173</v>
      </c>
      <c r="Y274" s="3" t="str">
        <f>PROPER('Sales_RAW(BEFORE)'!W282)</f>
        <v>Credit Card</v>
      </c>
      <c r="Z274" s="3" t="str">
        <f>PROPER('Sales_RAW(BEFORE)'!X282)</f>
        <v>Pending</v>
      </c>
      <c r="AA274" s="3" t="str" cm="1">
        <f t="array" ref="AA274">_xlfn.LET(
  _xlpm.val, TRIM(LOWER('Sales_RAW(BEFORE)'!Y282)),
  _xlfn.IFS(
    OR(_xlpm.val="yes", _xlpm.val="paid"), "Paid",
    OR(_xlpm.val="no", _xlpm.val="unpaid"), "Unpaid",
    OR(_xlpm.val="partial", _xlpm.val="partial paid"), "Partial",
    _xlpm.val="", "",
    TRUE, 'Sales_RAW(BEFORE)'!AY282
  )
)</f>
        <v>Paid</v>
      </c>
      <c r="AB274" s="3" t="s">
        <v>4413</v>
      </c>
      <c r="AC274" s="3" t="str">
        <f>PROPER('Sales_RAW(BEFORE)'!AA282)</f>
        <v>Web</v>
      </c>
      <c r="AD274" s="3" t="str">
        <f>SUBSTITUTE(SUBSTITUTE(SUBSTITUTE(SUBSTITUTE('Sales_RAW(BEFORE)'!AB282,"st",""),"q",""),"Q",""),"uarter","")</f>
        <v>4</v>
      </c>
      <c r="AE274" s="3" t="str">
        <f>TEXT(IFERROR(DATEVALUE('Sales_RAW(BEFORE)'!AC282 &amp; " 1"), IFERROR(DATE(2025, 'Sales_RAW(BEFORE)'!AC282, 1), 'Sales_RAW(BEFORE)'!AC282)), "mmmm")</f>
        <v>June</v>
      </c>
      <c r="AF274" s="3">
        <f>_xlfn.LET(
  _xlpm.raw, TRIM(SUBSTITUTE('Sales_RAW(BEFORE)'!AD282, "'", "")),
  _xlpm.num, IFERROR(VALUE(_xlpm.raw), 0),
  IF(_xlpm.num &lt; 100, 2000 + _xlpm.num, _xlpm.num)
)</f>
        <v>2026</v>
      </c>
      <c r="AG274" s="3" t="str">
        <f>PROPER('Sales_RAW(BEFORE)'!AE282)</f>
        <v>Net 30</v>
      </c>
      <c r="AH274" s="3" cm="1">
        <f t="array" ref="AH274">_xlfn.LET(
  _xlpm.val, LOWER(TRIM('Sales_RAW(BEFORE)'!AF282)),
  _xlfn.IFS(
    OR(_xlpm.val="", _xlpm.val="null", _xlpm.val="N/A", _xlpm.val="-", _xlpm.val="#N/A"), 0,
    ISNUMBER('Sales_RAW(BEFORE)'!AF282), 'Sales_RAW(BEFORE)'!AF282,
    TRUE, IFERROR(_xlfn.NUMBERVALUE(_xlpm.val), 0)
  )
)</f>
        <v>87</v>
      </c>
      <c r="AI274" s="5">
        <f>IF(IFERROR(VALUE(SUBSTITUTE(SUBSTITUTE(TRIM('Sales_RAW(BEFORE)'!AG282), "%", ""), ",", ".")), 0) &gt; 1, IFERROR(VALUE(SUBSTITUTE(SUBSTITUTE(TRIM('Sales_RAW(BEFORE)'!AG282), "%", ""), ",", ".")), 0) / 100, IFERROR(VALUE(SUBSTITUTE(SUBSTITUTE(TRIM('Sales_RAW(BEFORE)'!AG282), "%", ""), ",", ".")), 0))</f>
        <v>0.08</v>
      </c>
      <c r="AJ274" s="6">
        <f t="shared" si="20"/>
        <v>3601.4879999999998</v>
      </c>
      <c r="AK274" s="6">
        <f t="shared" si="21"/>
        <v>48620.087999999996</v>
      </c>
      <c r="AL274" s="6">
        <f>IFERROR(VALUE(SUBSTITUTE(SUBSTITUTE(SUBSTITUTE('Sales_RAW(BEFORE)'!AJ282,"$",""),"USD",""),",",".")),0)</f>
        <v>37.6</v>
      </c>
      <c r="AM274" s="3" t="str">
        <f>SUBSTITUTE(SUBSTITUTE(PROPER('Sales_RAW(BEFORE)'!AK282), "Fed Ex", "FedEx"),"Fedex","FedEx")</f>
        <v>FedEx</v>
      </c>
      <c r="AN274" s="3" t="s">
        <v>4414</v>
      </c>
      <c r="AO274" s="3" t="str">
        <f>SUBSTITUTE('Sales_RAW(BEFORE)'!AM282,"kg","")</f>
        <v>21.09</v>
      </c>
      <c r="AP274" s="3" t="str">
        <f>_xlfn.LET(
  _xlpm.raw, UPPER(TRIM('Sales_RAW(BEFORE)'!AN282)),
  _xlpm.clean, RIGHT(_xlpm.raw, 1),
  IF(OR(_xlpm.raw="", _xlpm.raw="null"), "N/A", _xlpm.clean)
)</f>
        <v>B</v>
      </c>
      <c r="AQ274" s="3">
        <v>155</v>
      </c>
      <c r="AR274" s="3" cm="1">
        <f t="array" ref="AR274">_xlfn.LET(
  _xlpm.raw, LOWER(TRIM('Sales_RAW(BEFORE)'!AP282)),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274" s="3"/>
      <c r="AT274" s="3"/>
      <c r="AU274" s="3"/>
      <c r="AV274" s="8">
        <f>IF(IFERROR(VALUE(SUBSTITUTE(SUBSTITUTE(TRIM('Sales_RAW(BEFORE)'!AT282), "%", ""), ",", ".")), 0) &gt; 1, IFERROR(VALUE(SUBSTITUTE(SUBSTITUTE(TRIM('Sales_RAW(BEFORE)'!AT282), "%", ""), ",", ".")), 0) / 100, IFERROR(VALUE(SUBSTITUTE(SUBSTITUTE(TRIM('Sales_RAW(BEFORE)'!AT282), "%", ""), ",", ".")), 0))</f>
        <v>0</v>
      </c>
      <c r="AW274" s="6">
        <f>BA274*(_xlfn.XLOOKUP(N274,Employees!$A$2:$A$26,Employees!$E$2:$E$26,2))</f>
        <v>1166.8821119999998</v>
      </c>
      <c r="AX274" s="3" t="str">
        <f>PROPER('Sales_RAW(BEFORE)'!AV282)</f>
        <v>John Anderson</v>
      </c>
      <c r="AY274" s="3" t="str">
        <f t="shared" si="23"/>
        <v>John Anderson</v>
      </c>
      <c r="AZ274" s="3"/>
      <c r="BA274" s="24">
        <f>AK274*(1-(_xlfn.XLOOKUP(G274, Exchange_Rates!$B$8:$F$8, Exchange_Rates!$B$9:$F$9, 0)+J274))</f>
        <v>38896.070399999997</v>
      </c>
      <c r="BB274" s="7" cm="1">
        <f t="array" ref="BB274">_xlfn.LET(
  _xlpm.raw_dt, SUBSTITUTE(TRIM(C274), ".", "/"),
  _xlpm.dt, IFERROR(DATEVALUE(_xlpm.raw_dt), C274),
  _xlpm.p_code, TRIM(E274),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46972</v>
      </c>
      <c r="BC274" s="25">
        <f t="shared" si="24"/>
        <v>0</v>
      </c>
    </row>
    <row r="275" spans="1:55" ht="15.75" thickBot="1" x14ac:dyDescent="0.3">
      <c r="A275" s="3" t="s">
        <v>4416</v>
      </c>
      <c r="B275" s="10">
        <v>45951</v>
      </c>
      <c r="C275" s="4">
        <v>45953</v>
      </c>
      <c r="D275" s="3" t="str">
        <f>"P-" &amp; TEXT(VALUE(SUBSTITUTE(SUBSTITUTE(SUBSTITUTE(UPPER(TRIM('Sales_RAW(BEFORE)'!D283)), "P", ""), "-", ""), "_", "")),"000")</f>
        <v>P-014</v>
      </c>
      <c r="E275" s="3" t="str">
        <f>VLOOKUP(D275,Product_List!$A$2:$B$61,2,FALSE)</f>
        <v>License Max 14</v>
      </c>
      <c r="F275" s="3" t="str">
        <f>_xlfn.XLOOKUP(E275,Product_List!$B$2:$B$61,Product_List!$E$2:$E$61,2)</f>
        <v>OfficeHub</v>
      </c>
      <c r="G275" s="3" t="str">
        <f>VLOOKUP(E275,Product_List!$B$2:$C$61,2,FALSE)</f>
        <v>Software</v>
      </c>
      <c r="H275" s="3" t="str">
        <f>SUBSTITUTE(SUBSTITUTE('Sales_RAW(BEFORE)'!G283,"kom",""),".","")</f>
        <v xml:space="preserve">38 </v>
      </c>
      <c r="I275" s="6">
        <f>VLOOKUP(E275,Product_List!$B$2:$D$61,3,FALSE)</f>
        <v>1166.96</v>
      </c>
      <c r="J275" s="5">
        <f>IF(IFERROR(VALUE(SUBSTITUTE(SUBSTITUTE(TRIM('Sales_RAW(BEFORE)'!I283), "%", ""), ",", ".")), 0) &gt; 1, IFERROR(VALUE(SUBSTITUTE(SUBSTITUTE(TRIM('Sales_RAW(BEFORE)'!I283), "%", ""), ",", ".")), 0) / 100, IFERROR(VALUE(SUBSTITUTE(SUBSTITUTE(TRIM('Sales_RAW(BEFORE)'!I283), "%", ""), ",", ".")), 0))</f>
        <v>0.1</v>
      </c>
      <c r="K275" s="6">
        <f t="shared" si="22"/>
        <v>44344.480000000003</v>
      </c>
      <c r="L275" s="6" t="str" cm="1">
        <f t="array" ref="L275">_xlfn.LET(
  _xlpm.valuta, UPPER(TRIM('Sales_RAW(BEFORE)'!K283)),
  _xlfn.IFS(
    _xlpm.valuta = "", "",
    OR(_xlpm.valuta = "USD", _xlpm.valuta = "$"), "$",
    OR(_xlpm.valuta = "EUR", _xlpm.valuta = "€"), "€",
    TRUE, _xlpm.valuta
  )
)</f>
        <v>$</v>
      </c>
      <c r="M275" s="3" t="str">
        <f>"E" &amp; TEXT(VALUE(SUBSTITUTE(SUBSTITUTE(SUBSTITUTE(UPPER(TRIM('Sales_RAW(BEFORE)'!L283)), "EMP", ""), "E", ""), "-", "")),"000")</f>
        <v>E022</v>
      </c>
      <c r="N275" s="3" t="str">
        <f>_xlfn.XLOOKUP(M275,Employees!$D$2:$D$26,Employees!$A$2:$A$26)</f>
        <v>Chris Williams</v>
      </c>
      <c r="O275" s="3" t="str">
        <f>_xlfn.XLOOKUP(N275,Employees!$A$2:$A$26,Employees!$C$2:$C$26,2)</f>
        <v>Sales</v>
      </c>
      <c r="P275" s="3" t="str">
        <f>PROPER('Sales_RAW(BEFORE)'!N283)</f>
        <v>South</v>
      </c>
      <c r="Q275" s="3" t="str">
        <f>VLOOKUP(N275,Employees!$A$2:$B$26,2,FALSE)</f>
        <v>Boston</v>
      </c>
      <c r="R275" s="3" t="str">
        <f>PROPER('Sales_RAW(BEFORE)'!P283)</f>
        <v>Acme Llc</v>
      </c>
      <c r="S275" s="3" t="str">
        <f>SUBSTITUTE(SUBSTITUTE('Sales_RAW(BEFORE)'!Q283,"EIN",""),":","")</f>
        <v>870894913</v>
      </c>
      <c r="T275" s="3" t="s">
        <v>307</v>
      </c>
      <c r="U275" s="3" t="s">
        <v>4424</v>
      </c>
      <c r="V275" s="3" t="s">
        <v>4425</v>
      </c>
      <c r="W275" s="3" t="s">
        <v>4426</v>
      </c>
      <c r="X275" s="3" t="s">
        <v>173</v>
      </c>
      <c r="Y275" s="3" t="str">
        <f>PROPER('Sales_RAW(BEFORE)'!W283)</f>
        <v>Credit Card</v>
      </c>
      <c r="Z275" s="3" t="str">
        <f>PROPER('Sales_RAW(BEFORE)'!X283)</f>
        <v>Delivered</v>
      </c>
      <c r="AA275" s="3" t="str" cm="1">
        <f t="array" ref="AA275">_xlfn.LET(
  _xlpm.val, TRIM(LOWER('Sales_RAW(BEFORE)'!Y283)),
  _xlfn.IFS(
    OR(_xlpm.val="yes", _xlpm.val="paid"), "Paid",
    OR(_xlpm.val="no", _xlpm.val="unpaid"), "Unpaid",
    OR(_xlpm.val="partial", _xlpm.val="partial paid"), "Partial",
    _xlpm.val="", "",
    TRUE, 'Sales_RAW(BEFORE)'!AY283
  )
)</f>
        <v>Paid</v>
      </c>
      <c r="AB275" s="3" t="s">
        <v>4427</v>
      </c>
      <c r="AC275" s="3" t="str">
        <f>PROPER('Sales_RAW(BEFORE)'!AA283)</f>
        <v>Phone</v>
      </c>
      <c r="AD275" s="3" t="str">
        <f>SUBSTITUTE(SUBSTITUTE(SUBSTITUTE(SUBSTITUTE('Sales_RAW(BEFORE)'!AB283,"st",""),"q",""),"Q",""),"uarter","")</f>
        <v>1</v>
      </c>
      <c r="AE275" s="3" t="str">
        <f>TEXT(IFERROR(DATEVALUE('Sales_RAW(BEFORE)'!AC283 &amp; " 1"), IFERROR(DATE(2025, 'Sales_RAW(BEFORE)'!AC283, 1), 'Sales_RAW(BEFORE)'!AC283)), "mmmm")</f>
        <v>October</v>
      </c>
      <c r="AF275" s="3">
        <f>_xlfn.LET(
  _xlpm.raw, TRIM(SUBSTITUTE('Sales_RAW(BEFORE)'!AD283, "'", "")),
  _xlpm.num, IFERROR(VALUE(_xlpm.raw), 0),
  IF(_xlpm.num &lt; 100, 2000 + _xlpm.num, _xlpm.num)
)</f>
        <v>2025</v>
      </c>
      <c r="AG275" s="3" t="str">
        <f>PROPER('Sales_RAW(BEFORE)'!AE283)</f>
        <v>15</v>
      </c>
      <c r="AH275" s="3" cm="1">
        <f t="array" ref="AH275">_xlfn.LET(
  _xlpm.val, LOWER(TRIM('Sales_RAW(BEFORE)'!AF283)),
  _xlfn.IFS(
    OR(_xlpm.val="", _xlpm.val="null", _xlpm.val="N/A", _xlpm.val="-", _xlpm.val="#N/A"), 0,
    ISNUMBER('Sales_RAW(BEFORE)'!AF283), 'Sales_RAW(BEFORE)'!AF283,
    TRUE, IFERROR(_xlfn.NUMBERVALUE(_xlpm.val), 0)
  )
)</f>
        <v>13</v>
      </c>
      <c r="AI275" s="5">
        <f>IF(IFERROR(VALUE(SUBSTITUTE(SUBSTITUTE(TRIM('Sales_RAW(BEFORE)'!AG283), "%", ""), ",", ".")), 0) &gt; 1, IFERROR(VALUE(SUBSTITUTE(SUBSTITUTE(TRIM('Sales_RAW(BEFORE)'!AG283), "%", ""), ",", ".")), 0) / 100, IFERROR(VALUE(SUBSTITUTE(SUBSTITUTE(TRIM('Sales_RAW(BEFORE)'!AG283), "%", ""), ",", ".")), 0))</f>
        <v>0.08</v>
      </c>
      <c r="AJ275" s="6">
        <f t="shared" si="20"/>
        <v>3547.5584000000003</v>
      </c>
      <c r="AK275" s="6">
        <f t="shared" si="21"/>
        <v>47892.038400000005</v>
      </c>
      <c r="AL275" s="6">
        <f>IFERROR(VALUE(SUBSTITUTE(SUBSTITUTE(SUBSTITUTE('Sales_RAW(BEFORE)'!AJ283,"$",""),"USD",""),",",".")),0)</f>
        <v>43.81</v>
      </c>
      <c r="AM275" s="3" t="str">
        <f>SUBSTITUTE(SUBSTITUTE(PROPER('Sales_RAW(BEFORE)'!AK283), "Fed Ex", "FedEx"),"Fedex","FedEx")</f>
        <v>FedEx</v>
      </c>
      <c r="AN275" s="3" t="s">
        <v>4429</v>
      </c>
      <c r="AO275" s="3" t="str">
        <f>SUBSTITUTE('Sales_RAW(BEFORE)'!AM283,"kg","")</f>
        <v xml:space="preserve">2.3 </v>
      </c>
      <c r="AP275" s="3" t="str">
        <f>_xlfn.LET(
  _xlpm.raw, UPPER(TRIM('Sales_RAW(BEFORE)'!AN283)),
  _xlpm.clean, RIGHT(_xlpm.raw, 1),
  IF(OR(_xlpm.raw="", _xlpm.raw="null"), "N/A", _xlpm.clean)
)</f>
        <v>A</v>
      </c>
      <c r="AQ275" s="3">
        <v>172</v>
      </c>
      <c r="AR275" s="3" cm="1">
        <f t="array" ref="AR275">_xlfn.LET(
  _xlpm.raw, LOWER(TRIM('Sales_RAW(BEFORE)'!AP283)),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275" s="3"/>
      <c r="AT275" s="3"/>
      <c r="AU275" s="3"/>
      <c r="AV275" s="8">
        <f>IF(IFERROR(VALUE(SUBSTITUTE(SUBSTITUTE(TRIM('Sales_RAW(BEFORE)'!AT283), "%", ""), ",", ".")), 0) &gt; 1, IFERROR(VALUE(SUBSTITUTE(SUBSTITUTE(TRIM('Sales_RAW(BEFORE)'!AT283), "%", ""), ",", ".")), 0) / 100, IFERROR(VALUE(SUBSTITUTE(SUBSTITUTE(TRIM('Sales_RAW(BEFORE)'!AT283), "%", ""), ",", ".")), 0))</f>
        <v>0.25</v>
      </c>
      <c r="AW275" s="6">
        <f>BA275*(_xlfn.XLOOKUP(N275,Employees!$A$2:$A$26,Employees!$E$2:$E$26,2))</f>
        <v>1077.570864</v>
      </c>
      <c r="AX275" s="3" t="str">
        <f>PROPER('Sales_RAW(BEFORE)'!AV283)</f>
        <v xml:space="preserve"> Michael Davis</v>
      </c>
      <c r="AY275" s="3" t="str">
        <f t="shared" si="23"/>
        <v xml:space="preserve"> Michael Davis</v>
      </c>
      <c r="AZ275" s="3"/>
      <c r="BA275" s="24">
        <f>AK275*(1-(_xlfn.XLOOKUP(G275, Exchange_Rates!$B$8:$F$8, Exchange_Rates!$B$9:$F$9, 0)+J275))</f>
        <v>35919.0288</v>
      </c>
      <c r="BB275" s="7" cm="1">
        <f t="array" ref="BB275">_xlfn.LET(
  _xlpm.raw_dt, SUBSTITUTE(TRIM(C275), ".", "/"),
  _xlpm.dt, IFERROR(DATEVALUE(_xlpm.raw_dt), C275),
  _xlpm.p_code, TRIM(E275),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47049</v>
      </c>
      <c r="BC275" s="25">
        <f t="shared" si="24"/>
        <v>8979.7572</v>
      </c>
    </row>
    <row r="276" spans="1:55" ht="15.75" thickBot="1" x14ac:dyDescent="0.3">
      <c r="A276" s="3" t="s">
        <v>4433</v>
      </c>
      <c r="B276" s="10">
        <f>DATE(2026,1,24)</f>
        <v>46046</v>
      </c>
      <c r="C276" s="4">
        <v>46049</v>
      </c>
      <c r="D276" s="3" t="str">
        <f>"P-" &amp; TEXT(VALUE(SUBSTITUTE(SUBSTITUTE(SUBSTITUTE(UPPER(TRIM('Sales_RAW(BEFORE)'!D284)), "P", ""), "-", ""), "_", "")),"000")</f>
        <v>P-053</v>
      </c>
      <c r="E276" s="3" t="str">
        <f>VLOOKUP(D276,Product_List!$A$2:$B$61,2,FALSE)</f>
        <v>Monitor Basic 53</v>
      </c>
      <c r="F276" s="3" t="str">
        <f>_xlfn.XLOOKUP(E276,Product_List!$B$2:$B$61,Product_List!$E$2:$E$61,2)</f>
        <v>Global Distrib</v>
      </c>
      <c r="G276" s="3" t="str">
        <f>VLOOKUP(E276,Product_List!$B$2:$C$61,2,FALSE)</f>
        <v>Equipment</v>
      </c>
      <c r="H276" s="3" t="str">
        <f>SUBSTITUTE(SUBSTITUTE('Sales_RAW(BEFORE)'!G284,"kom",""),".","")</f>
        <v xml:space="preserve">31 </v>
      </c>
      <c r="I276" s="6">
        <f>VLOOKUP(E276,Product_List!$B$2:$D$61,3,FALSE)</f>
        <v>553.22</v>
      </c>
      <c r="J276" s="5">
        <f>IF(IFERROR(VALUE(SUBSTITUTE(SUBSTITUTE(TRIM('Sales_RAW(BEFORE)'!I284), "%", ""), ",", ".")), 0) &gt; 1, IFERROR(VALUE(SUBSTITUTE(SUBSTITUTE(TRIM('Sales_RAW(BEFORE)'!I284), "%", ""), ",", ".")), 0) / 100, IFERROR(VALUE(SUBSTITUTE(SUBSTITUTE(TRIM('Sales_RAW(BEFORE)'!I284), "%", ""), ",", ".")), 0))</f>
        <v>0</v>
      </c>
      <c r="K276" s="6">
        <f t="shared" si="22"/>
        <v>17149.82</v>
      </c>
      <c r="L276" s="6" t="str" cm="1">
        <f t="array" ref="L276">_xlfn.LET(
  _xlpm.valuta, UPPER(TRIM('Sales_RAW(BEFORE)'!K284)),
  _xlfn.IFS(
    _xlpm.valuta = "", "",
    OR(_xlpm.valuta = "USD", _xlpm.valuta = "$"), "$",
    OR(_xlpm.valuta = "EUR", _xlpm.valuta = "€"), "€",
    TRUE, _xlpm.valuta
  )
)</f>
        <v>$</v>
      </c>
      <c r="M276" s="3" t="str">
        <f>"E" &amp; TEXT(VALUE(SUBSTITUTE(SUBSTITUTE(SUBSTITUTE(UPPER(TRIM('Sales_RAW(BEFORE)'!L284)), "EMP", ""), "E", ""), "-", "")),"000")</f>
        <v>E004</v>
      </c>
      <c r="N276" s="3" t="str">
        <f>_xlfn.XLOOKUP(M276,Employees!$D$2:$D$26,Employees!$A$2:$A$26)</f>
        <v>Sophia Johnson</v>
      </c>
      <c r="O276" s="3" t="str">
        <f>_xlfn.XLOOKUP(N276,Employees!$A$2:$A$26,Employees!$C$2:$C$26,2)</f>
        <v>Wholesale</v>
      </c>
      <c r="P276" s="3" t="str">
        <f>PROPER('Sales_RAW(BEFORE)'!N284)</f>
        <v>West</v>
      </c>
      <c r="Q276" s="3" t="str">
        <f>VLOOKUP(N276,Employees!$A$2:$B$26,2,FALSE)</f>
        <v>Houston</v>
      </c>
      <c r="R276" s="3" t="str">
        <f>PROPER('Sales_RAW(BEFORE)'!P284)</f>
        <v xml:space="preserve"> Initech Inc</v>
      </c>
      <c r="S276" s="3" t="str">
        <f>SUBSTITUTE(SUBSTITUTE('Sales_RAW(BEFORE)'!Q284,"EIN",""),":","")</f>
        <v xml:space="preserve"> 401296708</v>
      </c>
      <c r="T276" s="3" t="s">
        <v>505</v>
      </c>
      <c r="U276" s="3" t="s">
        <v>4443</v>
      </c>
      <c r="V276" s="3" t="s">
        <v>4444</v>
      </c>
      <c r="W276" s="3" t="s">
        <v>4445</v>
      </c>
      <c r="X276" s="3" t="s">
        <v>173</v>
      </c>
      <c r="Y276" s="3" t="str">
        <f>PROPER('Sales_RAW(BEFORE)'!W284)</f>
        <v>Paypal</v>
      </c>
      <c r="Z276" s="3" t="str">
        <f>PROPER('Sales_RAW(BEFORE)'!X284)</f>
        <v>Processing</v>
      </c>
      <c r="AA276" s="3" t="str" cm="1">
        <f t="array" ref="AA276">_xlfn.LET(
  _xlpm.val, TRIM(LOWER('Sales_RAW(BEFORE)'!Y284)),
  _xlfn.IFS(
    OR(_xlpm.val="yes", _xlpm.val="paid"), "Paid",
    OR(_xlpm.val="no", _xlpm.val="unpaid"), "Unpaid",
    OR(_xlpm.val="partial", _xlpm.val="partial paid"), "Partial",
    _xlpm.val="", "",
    TRUE, 'Sales_RAW(BEFORE)'!AY284
  )
)</f>
        <v>Paid</v>
      </c>
      <c r="AB276" s="3" t="s">
        <v>4446</v>
      </c>
      <c r="AC276" s="3" t="str">
        <f>PROPER('Sales_RAW(BEFORE)'!AA284)</f>
        <v>Web</v>
      </c>
      <c r="AD276" s="3" t="str">
        <f>SUBSTITUTE(SUBSTITUTE(SUBSTITUTE(SUBSTITUTE('Sales_RAW(BEFORE)'!AB284,"st",""),"q",""),"Q",""),"uarter","")</f>
        <v>1</v>
      </c>
      <c r="AE276" s="3" t="str">
        <f>TEXT(IFERROR(DATEVALUE('Sales_RAW(BEFORE)'!AC284 &amp; " 1"), IFERROR(DATE(2025, 'Sales_RAW(BEFORE)'!AC284, 1), 'Sales_RAW(BEFORE)'!AC284)), "mmmm")</f>
        <v>January</v>
      </c>
      <c r="AF276" s="3">
        <f>_xlfn.LET(
  _xlpm.raw, TRIM(SUBSTITUTE('Sales_RAW(BEFORE)'!AD284, "'", "")),
  _xlpm.num, IFERROR(VALUE(_xlpm.raw), 0),
  IF(_xlpm.num &lt; 100, 2000 + _xlpm.num, _xlpm.num)
)</f>
        <v>2026</v>
      </c>
      <c r="AG276" s="3" t="str">
        <f>PROPER('Sales_RAW(BEFORE)'!AE284)</f>
        <v>Net 30</v>
      </c>
      <c r="AH276" s="3" cm="1">
        <f t="array" ref="AH276">_xlfn.LET(
  _xlpm.val, LOWER(TRIM('Sales_RAW(BEFORE)'!AF284)),
  _xlfn.IFS(
    OR(_xlpm.val="", _xlpm.val="null", _xlpm.val="N/A", _xlpm.val="-", _xlpm.val="#N/A"), 0,
    ISNUMBER('Sales_RAW(BEFORE)'!AF284), 'Sales_RAW(BEFORE)'!AF284,
    TRUE, IFERROR(_xlfn.NUMBERVALUE(_xlpm.val), 0)
  )
)</f>
        <v>0</v>
      </c>
      <c r="AI276" s="5">
        <f>IF(IFERROR(VALUE(SUBSTITUTE(SUBSTITUTE(TRIM('Sales_RAW(BEFORE)'!AG284), "%", ""), ",", ".")), 0) &gt; 1, IFERROR(VALUE(SUBSTITUTE(SUBSTITUTE(TRIM('Sales_RAW(BEFORE)'!AG284), "%", ""), ",", ".")), 0) / 100, IFERROR(VALUE(SUBSTITUTE(SUBSTITUTE(TRIM('Sales_RAW(BEFORE)'!AG284), "%", ""), ",", ".")), 0))</f>
        <v>0.08</v>
      </c>
      <c r="AJ276" s="6">
        <f t="shared" si="20"/>
        <v>1371.9856</v>
      </c>
      <c r="AK276" s="6">
        <f t="shared" si="21"/>
        <v>18521.8056</v>
      </c>
      <c r="AL276" s="6">
        <f>IFERROR(VALUE(SUBSTITUTE(SUBSTITUTE(SUBSTITUTE('Sales_RAW(BEFORE)'!AJ284,"$",""),"USD",""),",",".")),0)</f>
        <v>36</v>
      </c>
      <c r="AM276" s="3" t="str">
        <f>SUBSTITUTE(SUBSTITUTE(PROPER('Sales_RAW(BEFORE)'!AK284), "Fed Ex", "FedEx"),"Fedex","FedEx")</f>
        <v>Dhl</v>
      </c>
      <c r="AN276" s="3" t="s">
        <v>4448</v>
      </c>
      <c r="AO276" s="3" t="str">
        <f>SUBSTITUTE('Sales_RAW(BEFORE)'!AM284,"kg","")</f>
        <v xml:space="preserve">11.7 </v>
      </c>
      <c r="AP276" s="3" t="str">
        <f>_xlfn.LET(
  _xlpm.raw, UPPER(TRIM('Sales_RAW(BEFORE)'!AN284)),
  _xlpm.clean, RIGHT(_xlpm.raw, 1),
  IF(OR(_xlpm.raw="", _xlpm.raw="null"), "N/A", _xlpm.clean)
)</f>
        <v>A</v>
      </c>
      <c r="AQ276" s="3">
        <v>424</v>
      </c>
      <c r="AR276" s="3" cm="1">
        <f t="array" ref="AR276">_xlfn.LET(
  _xlpm.raw, LOWER(TRIM('Sales_RAW(BEFORE)'!AP284)),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276" s="3"/>
      <c r="AT276" s="3"/>
      <c r="AU276" s="3"/>
      <c r="AV276" s="8">
        <f>IF(IFERROR(VALUE(SUBSTITUTE(SUBSTITUTE(TRIM('Sales_RAW(BEFORE)'!AT284), "%", ""), ",", ".")), 0) &gt; 1, IFERROR(VALUE(SUBSTITUTE(SUBSTITUTE(TRIM('Sales_RAW(BEFORE)'!AT284), "%", ""), ",", ".")), 0) / 100, IFERROR(VALUE(SUBSTITUTE(SUBSTITUTE(TRIM('Sales_RAW(BEFORE)'!AT284), "%", ""), ",", ".")), 0))</f>
        <v>0.15</v>
      </c>
      <c r="AW276" s="6">
        <f>BA276*(_xlfn.XLOOKUP(N276,Employees!$A$2:$A$26,Employees!$E$2:$E$26,2))</f>
        <v>833.48125200000004</v>
      </c>
      <c r="AX276" s="3" t="str">
        <f>PROPER('Sales_RAW(BEFORE)'!AV284)</f>
        <v>Sophia Johnson</v>
      </c>
      <c r="AY276" s="3" t="str">
        <f t="shared" si="23"/>
        <v>Sophia Johnson</v>
      </c>
      <c r="AZ276" s="3"/>
      <c r="BA276" s="24">
        <f>AK276*(1-(_xlfn.XLOOKUP(G276, Exchange_Rates!$B$8:$F$8, Exchange_Rates!$B$9:$F$9, 0)+J276))</f>
        <v>16669.625039999999</v>
      </c>
      <c r="BB276" s="7" cm="1">
        <f t="array" ref="BB276">_xlfn.LET(
  _xlpm.raw_dt, SUBSTITUTE(TRIM(C276), ".", "/"),
  _xlpm.dt, IFERROR(DATEVALUE(_xlpm.raw_dt), C276),
  _xlpm.p_code, TRIM(E276),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46779</v>
      </c>
      <c r="BC276" s="25">
        <f t="shared" si="24"/>
        <v>2500.4437559999997</v>
      </c>
    </row>
    <row r="277" spans="1:55" ht="15.75" thickBot="1" x14ac:dyDescent="0.3">
      <c r="A277" s="3" t="s">
        <v>4450</v>
      </c>
      <c r="B277" s="10">
        <v>46257</v>
      </c>
      <c r="C277" s="4">
        <v>46263</v>
      </c>
      <c r="D277" s="3" t="str">
        <f>"P-" &amp; TEXT(VALUE(SUBSTITUTE(SUBSTITUTE(SUBSTITUTE(UPPER(TRIM('Sales_RAW(BEFORE)'!D285)), "P", ""), "-", ""), "_", "")),"000")</f>
        <v>P-060</v>
      </c>
      <c r="E277" s="3" t="str">
        <f>VLOOKUP(D277,Product_List!$A$2:$B$61,2,FALSE)</f>
        <v>Desk Basic 60</v>
      </c>
      <c r="F277" s="3" t="str">
        <f>_xlfn.XLOOKUP(E277,Product_List!$B$2:$B$61,Product_List!$E$2:$E$61,2)</f>
        <v>Global Distrib</v>
      </c>
      <c r="G277" s="3" t="str">
        <f>VLOOKUP(E277,Product_List!$B$2:$C$61,2,FALSE)</f>
        <v>Electronics</v>
      </c>
      <c r="H277" s="3" t="str">
        <f>SUBSTITUTE(SUBSTITUTE('Sales_RAW(BEFORE)'!G285,"kom",""),".","")</f>
        <v xml:space="preserve">8 </v>
      </c>
      <c r="I277" s="6">
        <f>VLOOKUP(E277,Product_List!$B$2:$D$61,3,FALSE)</f>
        <v>334.59</v>
      </c>
      <c r="J277" s="5">
        <f>IF(IFERROR(VALUE(SUBSTITUTE(SUBSTITUTE(TRIM('Sales_RAW(BEFORE)'!I285), "%", ""), ",", ".")), 0) &gt; 1, IFERROR(VALUE(SUBSTITUTE(SUBSTITUTE(TRIM('Sales_RAW(BEFORE)'!I285), "%", ""), ",", ".")), 0) / 100, IFERROR(VALUE(SUBSTITUTE(SUBSTITUTE(TRIM('Sales_RAW(BEFORE)'!I285), "%", ""), ",", ".")), 0))</f>
        <v>0</v>
      </c>
      <c r="K277" s="6">
        <f t="shared" si="22"/>
        <v>2676.72</v>
      </c>
      <c r="L277" s="6" t="str" cm="1">
        <f t="array" ref="L277">_xlfn.LET(
  _xlpm.valuta, UPPER(TRIM('Sales_RAW(BEFORE)'!K285)),
  _xlfn.IFS(
    _xlpm.valuta = "", "",
    OR(_xlpm.valuta = "USD", _xlpm.valuta = "$"), "$",
    OR(_xlpm.valuta = "EUR", _xlpm.valuta = "€"), "€",
    TRUE, _xlpm.valuta
  )
)</f>
        <v>$</v>
      </c>
      <c r="M277" s="3" t="str">
        <f>"E" &amp; TEXT(VALUE(SUBSTITUTE(SUBSTITUTE(SUBSTITUTE(UPPER(TRIM('Sales_RAW(BEFORE)'!L285)), "EMP", ""), "E", ""), "-", "")),"000")</f>
        <v>E010</v>
      </c>
      <c r="N277" s="3" t="str">
        <f>_xlfn.XLOOKUP(M277,Employees!$D$2:$D$26,Employees!$A$2:$A$26)</f>
        <v>Olivia Anderson</v>
      </c>
      <c r="O277" s="3" t="str">
        <f>_xlfn.XLOOKUP(N277,Employees!$A$2:$A$26,Employees!$C$2:$C$26,2)</f>
        <v>Online</v>
      </c>
      <c r="P277" s="3" t="str">
        <f>PROPER('Sales_RAW(BEFORE)'!N285)</f>
        <v>West</v>
      </c>
      <c r="Q277" s="3" t="str">
        <f>VLOOKUP(N277,Employees!$A$2:$B$26,2,FALSE)</f>
        <v>Houston</v>
      </c>
      <c r="R277" s="3" t="str">
        <f>PROPER('Sales_RAW(BEFORE)'!P285)</f>
        <v>Initech Inc.</v>
      </c>
      <c r="S277" s="3" t="str">
        <f>SUBSTITUTE(SUBSTITUTE('Sales_RAW(BEFORE)'!Q285,"EIN",""),":","")</f>
        <v xml:space="preserve"> 651118510</v>
      </c>
      <c r="T277" s="3" t="s">
        <v>1708</v>
      </c>
      <c r="U277" s="3" t="s">
        <v>4455</v>
      </c>
      <c r="V277" s="3" t="s">
        <v>4456</v>
      </c>
      <c r="W277" s="3" t="s">
        <v>4457</v>
      </c>
      <c r="X277" s="3" t="s">
        <v>173</v>
      </c>
      <c r="Y277" s="3" t="str">
        <f>PROPER('Sales_RAW(BEFORE)'!W285)</f>
        <v>Credit Card</v>
      </c>
      <c r="Z277" s="3" t="str">
        <f>PROPER('Sales_RAW(BEFORE)'!X285)</f>
        <v>Delivered</v>
      </c>
      <c r="AA277" s="3" t="str" cm="1">
        <f t="array" ref="AA277">_xlfn.LET(
  _xlpm.val, TRIM(LOWER('Sales_RAW(BEFORE)'!Y285)),
  _xlfn.IFS(
    OR(_xlpm.val="yes", _xlpm.val="paid"), "Paid",
    OR(_xlpm.val="no", _xlpm.val="unpaid"), "Unpaid",
    OR(_xlpm.val="partial", _xlpm.val="partial paid"), "Partial",
    _xlpm.val="", "",
    TRUE, 'Sales_RAW(BEFORE)'!AY285
  )
)</f>
        <v>Paid</v>
      </c>
      <c r="AB277" s="3" t="s">
        <v>4458</v>
      </c>
      <c r="AC277" s="3" t="str">
        <f>PROPER('Sales_RAW(BEFORE)'!AA285)</f>
        <v>Web</v>
      </c>
      <c r="AD277" s="3" t="str">
        <f>SUBSTITUTE(SUBSTITUTE(SUBSTITUTE(SUBSTITUTE('Sales_RAW(BEFORE)'!AB285,"st",""),"q",""),"Q",""),"uarter","")</f>
        <v>1</v>
      </c>
      <c r="AE277" s="3" t="str">
        <f>TEXT(IFERROR(DATEVALUE('Sales_RAW(BEFORE)'!AC285 &amp; " 1"), IFERROR(DATE(2025, 'Sales_RAW(BEFORE)'!AC285, 1), 'Sales_RAW(BEFORE)'!AC285)), "mmmm")</f>
        <v>August</v>
      </c>
      <c r="AF277" s="3">
        <f>_xlfn.LET(
  _xlpm.raw, TRIM(SUBSTITUTE('Sales_RAW(BEFORE)'!AD285, "'", "")),
  _xlpm.num, IFERROR(VALUE(_xlpm.raw), 0),
  IF(_xlpm.num &lt; 100, 2000 + _xlpm.num, _xlpm.num)
)</f>
        <v>2026</v>
      </c>
      <c r="AG277" s="3" t="str">
        <f>PROPER('Sales_RAW(BEFORE)'!AE285)</f>
        <v>Net 60</v>
      </c>
      <c r="AH277" s="3" cm="1">
        <f t="array" ref="AH277">_xlfn.LET(
  _xlpm.val, LOWER(TRIM('Sales_RAW(BEFORE)'!AF285)),
  _xlfn.IFS(
    OR(_xlpm.val="", _xlpm.val="null", _xlpm.val="N/A", _xlpm.val="-", _xlpm.val="#N/A"), 0,
    ISNUMBER('Sales_RAW(BEFORE)'!AF285), 'Sales_RAW(BEFORE)'!AF285,
    TRUE, IFERROR(_xlfn.NUMBERVALUE(_xlpm.val), 0)
  )
)</f>
        <v>70</v>
      </c>
      <c r="AI277" s="5">
        <f>IF(IFERROR(VALUE(SUBSTITUTE(SUBSTITUTE(TRIM('Sales_RAW(BEFORE)'!AG285), "%", ""), ",", ".")), 0) &gt; 1, IFERROR(VALUE(SUBSTITUTE(SUBSTITUTE(TRIM('Sales_RAW(BEFORE)'!AG285), "%", ""), ",", ".")), 0) / 100, IFERROR(VALUE(SUBSTITUTE(SUBSTITUTE(TRIM('Sales_RAW(BEFORE)'!AG285), "%", ""), ",", ".")), 0))</f>
        <v>0.08</v>
      </c>
      <c r="AJ277" s="6">
        <f t="shared" si="20"/>
        <v>214.13759999999999</v>
      </c>
      <c r="AK277" s="6">
        <f t="shared" si="21"/>
        <v>2890.8575999999998</v>
      </c>
      <c r="AL277" s="6">
        <f>IFERROR(VALUE(SUBSTITUTE(SUBSTITUTE(SUBSTITUTE('Sales_RAW(BEFORE)'!AJ285,"$",""),"USD",""),",",".")),0)</f>
        <v>44.15</v>
      </c>
      <c r="AM277" s="3" t="str">
        <f>SUBSTITUTE(SUBSTITUTE(PROPER('Sales_RAW(BEFORE)'!AK285), "Fed Ex", "FedEx"),"Fedex","FedEx")</f>
        <v>Ups</v>
      </c>
      <c r="AN277" s="3" t="s">
        <v>4460</v>
      </c>
      <c r="AO277" s="3" t="str">
        <f>SUBSTITUTE('Sales_RAW(BEFORE)'!AM285,"kg","")</f>
        <v>29.31</v>
      </c>
      <c r="AP277" s="3" t="str">
        <f>_xlfn.LET(
  _xlpm.raw, UPPER(TRIM('Sales_RAW(BEFORE)'!AN285)),
  _xlpm.clean, RIGHT(_xlpm.raw, 1),
  IF(OR(_xlpm.raw="", _xlpm.raw="null"), "N/A", _xlpm.clean)
)</f>
        <v>B</v>
      </c>
      <c r="AQ277" s="3">
        <v>89</v>
      </c>
      <c r="AR277" s="3" cm="1">
        <f t="array" ref="AR277">_xlfn.LET(
  _xlpm.raw, LOWER(TRIM('Sales_RAW(BEFORE)'!AP285)),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277" s="3"/>
      <c r="AT277" s="3"/>
      <c r="AU277" s="3"/>
      <c r="AV277" s="8">
        <f>IF(IFERROR(VALUE(SUBSTITUTE(SUBSTITUTE(TRIM('Sales_RAW(BEFORE)'!AT285), "%", ""), ",", ".")), 0) &gt; 1, IFERROR(VALUE(SUBSTITUTE(SUBSTITUTE(TRIM('Sales_RAW(BEFORE)'!AT285), "%", ""), ",", ".")), 0) / 100, IFERROR(VALUE(SUBSTITUTE(SUBSTITUTE(TRIM('Sales_RAW(BEFORE)'!AT285), "%", ""), ",", ".")), 0))</f>
        <v>0.25</v>
      </c>
      <c r="AW277" s="6">
        <f>BA277*(_xlfn.XLOOKUP(N277,Employees!$A$2:$A$26,Employees!$E$2:$E$26,2))</f>
        <v>78.053155199999992</v>
      </c>
      <c r="AX277" s="3" t="str">
        <f>PROPER('Sales_RAW(BEFORE)'!AV285)</f>
        <v>Jessica Smith</v>
      </c>
      <c r="AY277" s="3" t="str">
        <f t="shared" si="23"/>
        <v>Jessica Smith</v>
      </c>
      <c r="AZ277" s="3"/>
      <c r="BA277" s="24">
        <f>AK277*(1-(_xlfn.XLOOKUP(G277, Exchange_Rates!$B$8:$F$8, Exchange_Rates!$B$9:$F$9, 0)+J277))</f>
        <v>2601.7718399999999</v>
      </c>
      <c r="BB277" s="7" cm="1">
        <f t="array" ref="BB277">_xlfn.LET(
  _xlpm.raw_dt, SUBSTITUTE(TRIM(C277), ".", "/"),
  _xlpm.dt, IFERROR(DATEVALUE(_xlpm.raw_dt), C277),
  _xlpm.p_code, TRIM(E277),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47359</v>
      </c>
      <c r="BC277" s="25">
        <f t="shared" si="24"/>
        <v>650.44295999999997</v>
      </c>
    </row>
    <row r="278" spans="1:55" ht="15.75" thickBot="1" x14ac:dyDescent="0.3">
      <c r="A278" s="3" t="s">
        <v>4464</v>
      </c>
      <c r="B278" s="10">
        <v>46104</v>
      </c>
      <c r="C278" s="4">
        <f>DATE(2026,3,27)</f>
        <v>46108</v>
      </c>
      <c r="D278" s="3" t="str">
        <f>"P-" &amp; TEXT(VALUE(SUBSTITUTE(SUBSTITUTE(SUBSTITUTE(UPPER(TRIM('Sales_RAW(BEFORE)'!D286)), "P", ""), "-", ""), "_", "")),"000")</f>
        <v>P-060</v>
      </c>
      <c r="E278" s="3" t="str">
        <f>VLOOKUP(D278,Product_List!$A$2:$B$61,2,FALSE)</f>
        <v>Desk Basic 60</v>
      </c>
      <c r="F278" s="3" t="str">
        <f>_xlfn.XLOOKUP(E278,Product_List!$B$2:$B$61,Product_List!$E$2:$E$61,2)</f>
        <v>Global Distrib</v>
      </c>
      <c r="G278" s="3" t="str">
        <f>VLOOKUP(E278,Product_List!$B$2:$C$61,2,FALSE)</f>
        <v>Electronics</v>
      </c>
      <c r="H278" s="3" t="str">
        <f>SUBSTITUTE(SUBSTITUTE('Sales_RAW(BEFORE)'!G286,"kom",""),".","")</f>
        <v>3</v>
      </c>
      <c r="I278" s="6">
        <f>VLOOKUP(E278,Product_List!$B$2:$D$61,3,FALSE)</f>
        <v>334.59</v>
      </c>
      <c r="J278" s="5">
        <f>IF(IFERROR(VALUE(SUBSTITUTE(SUBSTITUTE(TRIM('Sales_RAW(BEFORE)'!I286), "%", ""), ",", ".")), 0) &gt; 1, IFERROR(VALUE(SUBSTITUTE(SUBSTITUTE(TRIM('Sales_RAW(BEFORE)'!I286), "%", ""), ",", ".")), 0) / 100, IFERROR(VALUE(SUBSTITUTE(SUBSTITUTE(TRIM('Sales_RAW(BEFORE)'!I286), "%", ""), ",", ".")), 0))</f>
        <v>0.1</v>
      </c>
      <c r="K278" s="6">
        <f t="shared" si="22"/>
        <v>1003.77</v>
      </c>
      <c r="L278" s="6" t="str" cm="1">
        <f t="array" ref="L278">_xlfn.LET(
  _xlpm.valuta, UPPER(TRIM('Sales_RAW(BEFORE)'!K286)),
  _xlfn.IFS(
    _xlpm.valuta = "", "",
    OR(_xlpm.valuta = "USD", _xlpm.valuta = "$"), "$",
    OR(_xlpm.valuta = "EUR", _xlpm.valuta = "€"), "€",
    TRUE, _xlpm.valuta
  )
)</f>
        <v>$</v>
      </c>
      <c r="M278" s="3" t="str">
        <f>"E" &amp; TEXT(VALUE(SUBSTITUTE(SUBSTITUTE(SUBSTITUTE(UPPER(TRIM('Sales_RAW(BEFORE)'!L286)), "EMP", ""), "E", ""), "-", "")),"000")</f>
        <v>E009</v>
      </c>
      <c r="N278" s="3" t="str">
        <f>_xlfn.XLOOKUP(M278,Employees!$D$2:$D$26,Employees!$A$2:$A$26)</f>
        <v>Olivia Wilson</v>
      </c>
      <c r="O278" s="3" t="str">
        <f>_xlfn.XLOOKUP(N278,Employees!$A$2:$A$26,Employees!$C$2:$C$26,2)</f>
        <v>Wholesale</v>
      </c>
      <c r="P278" s="3" t="str">
        <f>PROPER('Sales_RAW(BEFORE)'!N286)</f>
        <v>West</v>
      </c>
      <c r="Q278" s="3" t="str">
        <f>VLOOKUP(N278,Employees!$A$2:$B$26,2,FALSE)</f>
        <v>Miami</v>
      </c>
      <c r="R278" s="3" t="str">
        <f>PROPER('Sales_RAW(BEFORE)'!P286)</f>
        <v xml:space="preserve">   Vortex Llc</v>
      </c>
      <c r="S278" s="3" t="str">
        <f>SUBSTITUTE(SUBSTITUTE('Sales_RAW(BEFORE)'!Q286,"EIN",""),":","")</f>
        <v xml:space="preserve"> 351580114</v>
      </c>
      <c r="T278" s="3" t="s">
        <v>484</v>
      </c>
      <c r="U278" s="3" t="s">
        <v>4470</v>
      </c>
      <c r="V278" s="3" t="s">
        <v>4471</v>
      </c>
      <c r="W278" s="3" t="s">
        <v>4472</v>
      </c>
      <c r="X278" s="3" t="s">
        <v>173</v>
      </c>
      <c r="Y278" s="3" t="str">
        <f>PROPER('Sales_RAW(BEFORE)'!W286)</f>
        <v>Wire</v>
      </c>
      <c r="Z278" s="3" t="str">
        <f>PROPER('Sales_RAW(BEFORE)'!X286)</f>
        <v>Delivered</v>
      </c>
      <c r="AA278" s="3" t="str" cm="1">
        <f t="array" ref="AA278">_xlfn.LET(
  _xlpm.val, TRIM(LOWER('Sales_RAW(BEFORE)'!Y286)),
  _xlfn.IFS(
    OR(_xlpm.val="yes", _xlpm.val="paid"), "Paid",
    OR(_xlpm.val="no", _xlpm.val="unpaid"), "Unpaid",
    OR(_xlpm.val="partial", _xlpm.val="partial paid"), "Partial",
    _xlpm.val="", "",
    TRUE, 'Sales_RAW(BEFORE)'!AY286
  )
)</f>
        <v>Paid</v>
      </c>
      <c r="AB278" s="3" t="s">
        <v>4473</v>
      </c>
      <c r="AC278" s="3" t="str">
        <f>PROPER('Sales_RAW(BEFORE)'!AA286)</f>
        <v>Phone</v>
      </c>
      <c r="AD278" s="3" t="str">
        <f>SUBSTITUTE(SUBSTITUTE(SUBSTITUTE(SUBSTITUTE('Sales_RAW(BEFORE)'!AB286,"st",""),"q",""),"Q",""),"uarter","")</f>
        <v>1</v>
      </c>
      <c r="AE278" s="3" t="str">
        <f>TEXT(IFERROR(DATEVALUE('Sales_RAW(BEFORE)'!AC286 &amp; " 1"), IFERROR(DATE(2025, 'Sales_RAW(BEFORE)'!AC286, 1), 'Sales_RAW(BEFORE)'!AC286)), "mmmm")</f>
        <v>March</v>
      </c>
      <c r="AF278" s="3">
        <f>_xlfn.LET(
  _xlpm.raw, TRIM(SUBSTITUTE('Sales_RAW(BEFORE)'!AD286, "'", "")),
  _xlpm.num, IFERROR(VALUE(_xlpm.raw), 0),
  IF(_xlpm.num &lt; 100, 2000 + _xlpm.num, _xlpm.num)
)</f>
        <v>2026</v>
      </c>
      <c r="AG278" s="3" t="str">
        <f>PROPER('Sales_RAW(BEFORE)'!AE286)</f>
        <v>Net 30</v>
      </c>
      <c r="AH278" s="3" cm="1">
        <f t="array" ref="AH278">_xlfn.LET(
  _xlpm.val, LOWER(TRIM('Sales_RAW(BEFORE)'!AF286)),
  _xlfn.IFS(
    OR(_xlpm.val="", _xlpm.val="null", _xlpm.val="N/A", _xlpm.val="-", _xlpm.val="#N/A"), 0,
    ISNUMBER('Sales_RAW(BEFORE)'!AF286), 'Sales_RAW(BEFORE)'!AF286,
    TRUE, IFERROR(_xlfn.NUMBERVALUE(_xlpm.val), 0)
  )
)</f>
        <v>82</v>
      </c>
      <c r="AI278" s="5">
        <f>IF(IFERROR(VALUE(SUBSTITUTE(SUBSTITUTE(TRIM('Sales_RAW(BEFORE)'!AG286), "%", ""), ",", ".")), 0) &gt; 1, IFERROR(VALUE(SUBSTITUTE(SUBSTITUTE(TRIM('Sales_RAW(BEFORE)'!AG286), "%", ""), ",", ".")), 0) / 100, IFERROR(VALUE(SUBSTITUTE(SUBSTITUTE(TRIM('Sales_RAW(BEFORE)'!AG286), "%", ""), ",", ".")), 0))</f>
        <v>0.08</v>
      </c>
      <c r="AJ278" s="6">
        <f t="shared" si="20"/>
        <v>80.301599999999993</v>
      </c>
      <c r="AK278" s="6">
        <f t="shared" si="21"/>
        <v>1084.0716</v>
      </c>
      <c r="AL278" s="6">
        <f>IFERROR(VALUE(SUBSTITUTE(SUBSTITUTE(SUBSTITUTE('Sales_RAW(BEFORE)'!AJ286,"$",""),"USD",""),",",".")),0)</f>
        <v>39.619999999999997</v>
      </c>
      <c r="AM278" s="3" t="str">
        <f>SUBSTITUTE(SUBSTITUTE(PROPER('Sales_RAW(BEFORE)'!AK286), "Fed Ex", "FedEx"),"Fedex","FedEx")</f>
        <v>FedEx</v>
      </c>
      <c r="AN278" s="3" t="s">
        <v>4475</v>
      </c>
      <c r="AO278" s="3" t="str">
        <f>SUBSTITUTE('Sales_RAW(BEFORE)'!AM286,"kg","")</f>
        <v>13,56</v>
      </c>
      <c r="AP278" s="3" t="str">
        <f>_xlfn.LET(
  _xlpm.raw, UPPER(TRIM('Sales_RAW(BEFORE)'!AN286)),
  _xlpm.clean, RIGHT(_xlpm.raw, 1),
  IF(OR(_xlpm.raw="", _xlpm.raw="null"), "N/A", _xlpm.clean)
)</f>
        <v>A</v>
      </c>
      <c r="AQ278" s="3">
        <v>390</v>
      </c>
      <c r="AR278" s="3" cm="1">
        <f t="array" ref="AR278">_xlfn.LET(
  _xlpm.raw, LOWER(TRIM('Sales_RAW(BEFORE)'!AP286)),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278" s="3"/>
      <c r="AT278" s="3"/>
      <c r="AU278" s="3"/>
      <c r="AV278" s="8">
        <f>IF(IFERROR(VALUE(SUBSTITUTE(SUBSTITUTE(TRIM('Sales_RAW(BEFORE)'!AT286), "%", ""), ",", ".")), 0) &gt; 1, IFERROR(VALUE(SUBSTITUTE(SUBSTITUTE(TRIM('Sales_RAW(BEFORE)'!AT286), "%", ""), ",", ".")), 0) / 100, IFERROR(VALUE(SUBSTITUTE(SUBSTITUTE(TRIM('Sales_RAW(BEFORE)'!AT286), "%", ""), ",", ".")), 0))</f>
        <v>0.18</v>
      </c>
      <c r="AW278" s="6">
        <f>BA278*(_xlfn.XLOOKUP(N278,Employees!$A$2:$A$26,Employees!$E$2:$E$26,2))</f>
        <v>26.0177184</v>
      </c>
      <c r="AX278" s="3" t="str">
        <f>PROPER('Sales_RAW(BEFORE)'!AV286)</f>
        <v xml:space="preserve">John Davis </v>
      </c>
      <c r="AY278" s="3" t="str">
        <f t="shared" si="23"/>
        <v xml:space="preserve">John Davis </v>
      </c>
      <c r="AZ278" s="3"/>
      <c r="BA278" s="24">
        <f>AK278*(1-(_xlfn.XLOOKUP(G278, Exchange_Rates!$B$8:$F$8, Exchange_Rates!$B$9:$F$9, 0)+J278))</f>
        <v>867.25728000000004</v>
      </c>
      <c r="BB278" s="7" cm="1">
        <f t="array" ref="BB278">_xlfn.LET(
  _xlpm.raw_dt, SUBSTITUTE(TRIM(C278), ".", "/"),
  _xlpm.dt, IFERROR(DATEVALUE(_xlpm.raw_dt), C278),
  _xlpm.p_code, TRIM(E278),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47204</v>
      </c>
      <c r="BC278" s="25">
        <f t="shared" si="24"/>
        <v>156.10631040000001</v>
      </c>
    </row>
    <row r="279" spans="1:55" ht="15.75" thickBot="1" x14ac:dyDescent="0.3">
      <c r="A279" s="3" t="s">
        <v>4479</v>
      </c>
      <c r="B279" s="10">
        <v>45920</v>
      </c>
      <c r="C279" s="4">
        <v>45698</v>
      </c>
      <c r="D279" s="3" t="str">
        <f>"P-" &amp; TEXT(VALUE(SUBSTITUTE(SUBSTITUTE(SUBSTITUTE(UPPER(TRIM('Sales_RAW(BEFORE)'!D287)), "P", ""), "-", ""), "_", "")),"000")</f>
        <v>P-006</v>
      </c>
      <c r="E279" s="3" t="str">
        <f>VLOOKUP(D279,Product_List!$A$2:$B$61,2,FALSE)</f>
        <v>Monitor X 6</v>
      </c>
      <c r="F279" s="3" t="str">
        <f>_xlfn.XLOOKUP(E279,Product_List!$B$2:$B$61,Product_List!$E$2:$E$61,2)</f>
        <v>TechSupply Co</v>
      </c>
      <c r="G279" s="3" t="str">
        <f>VLOOKUP(E279,Product_List!$B$2:$C$61,2,FALSE)</f>
        <v>Equipment</v>
      </c>
      <c r="H279" s="3" t="str">
        <f>SUBSTITUTE(SUBSTITUTE('Sales_RAW(BEFORE)'!G287,"kom",""),".","")</f>
        <v>35</v>
      </c>
      <c r="I279" s="6">
        <f>VLOOKUP(E279,Product_List!$B$2:$D$61,3,FALSE)</f>
        <v>1421.82</v>
      </c>
      <c r="J279" s="5">
        <f>IF(IFERROR(VALUE(SUBSTITUTE(SUBSTITUTE(TRIM('Sales_RAW(BEFORE)'!I287), "%", ""), ",", ".")), 0) &gt; 1, IFERROR(VALUE(SUBSTITUTE(SUBSTITUTE(TRIM('Sales_RAW(BEFORE)'!I287), "%", ""), ",", ".")), 0) / 100, IFERROR(VALUE(SUBSTITUTE(SUBSTITUTE(TRIM('Sales_RAW(BEFORE)'!I287), "%", ""), ",", ".")), 0))</f>
        <v>0.1</v>
      </c>
      <c r="K279" s="6">
        <f t="shared" si="22"/>
        <v>49763.7</v>
      </c>
      <c r="L279" s="6" t="str" cm="1">
        <f t="array" ref="L279">_xlfn.LET(
  _xlpm.valuta, UPPER(TRIM('Sales_RAW(BEFORE)'!K287)),
  _xlfn.IFS(
    _xlpm.valuta = "", "",
    OR(_xlpm.valuta = "USD", _xlpm.valuta = "$"), "$",
    OR(_xlpm.valuta = "EUR", _xlpm.valuta = "€"), "€",
    TRUE, _xlpm.valuta
  )
)</f>
        <v>$</v>
      </c>
      <c r="M279" s="3" t="str">
        <f>"E" &amp; TEXT(VALUE(SUBSTITUTE(SUBSTITUTE(SUBSTITUTE(UPPER(TRIM('Sales_RAW(BEFORE)'!L287)), "EMP", ""), "E", ""), "-", "")),"000")</f>
        <v>E018</v>
      </c>
      <c r="N279" s="3" t="str">
        <f>_xlfn.XLOOKUP(M279,Employees!$D$2:$D$26,Employees!$A$2:$A$26)</f>
        <v>John Miller</v>
      </c>
      <c r="O279" s="3" t="str">
        <f>_xlfn.XLOOKUP(N279,Employees!$A$2:$A$26,Employees!$C$2:$C$26,2)</f>
        <v>Retail</v>
      </c>
      <c r="P279" s="3" t="str">
        <f>PROPER('Sales_RAW(BEFORE)'!N287)</f>
        <v>East</v>
      </c>
      <c r="Q279" s="3" t="str">
        <f>VLOOKUP(N279,Employees!$A$2:$B$26,2,FALSE)</f>
        <v>Houston</v>
      </c>
      <c r="R279" s="3" t="str">
        <f>PROPER('Sales_RAW(BEFORE)'!P287)</f>
        <v>Acme Inc</v>
      </c>
      <c r="S279" s="3" t="str">
        <f>SUBSTITUTE(SUBSTITUTE('Sales_RAW(BEFORE)'!Q287,"EIN",""),":","")</f>
        <v xml:space="preserve"> 153980106</v>
      </c>
      <c r="T279" s="3" t="s">
        <v>818</v>
      </c>
      <c r="U279" s="3" t="s">
        <v>4484</v>
      </c>
      <c r="V279" s="3" t="s">
        <v>4485</v>
      </c>
      <c r="W279" s="3" t="s">
        <v>4486</v>
      </c>
      <c r="X279" s="3" t="s">
        <v>173</v>
      </c>
      <c r="Y279" s="3" t="str">
        <f>PROPER('Sales_RAW(BEFORE)'!W287)</f>
        <v>Credit Card</v>
      </c>
      <c r="Z279" s="3" t="str">
        <f>PROPER('Sales_RAW(BEFORE)'!X287)</f>
        <v>Processing</v>
      </c>
      <c r="AA279" s="3" t="str" cm="1">
        <f t="array" ref="AA279">_xlfn.LET(
  _xlpm.val, TRIM(LOWER('Sales_RAW(BEFORE)'!Y287)),
  _xlfn.IFS(
    OR(_xlpm.val="yes", _xlpm.val="paid"), "Paid",
    OR(_xlpm.val="no", _xlpm.val="unpaid"), "Unpaid",
    OR(_xlpm.val="partial", _xlpm.val="partial paid"), "Partial",
    _xlpm.val="", "",
    TRUE, 'Sales_RAW(BEFORE)'!AY287
  )
)</f>
        <v>Paid</v>
      </c>
      <c r="AB279" s="3" t="s">
        <v>4487</v>
      </c>
      <c r="AC279" s="3" t="str">
        <f>PROPER('Sales_RAW(BEFORE)'!AA287)</f>
        <v>Online</v>
      </c>
      <c r="AD279" s="3" t="str">
        <f>SUBSTITUTE(SUBSTITUTE(SUBSTITUTE(SUBSTITUTE('Sales_RAW(BEFORE)'!AB287,"st",""),"q",""),"Q",""),"uarter","")</f>
        <v>1</v>
      </c>
      <c r="AE279" s="3" t="str">
        <f>TEXT(IFERROR(DATEVALUE('Sales_RAW(BEFORE)'!AC287 &amp; " 1"), IFERROR(DATE(2025, 'Sales_RAW(BEFORE)'!AC287, 1), 'Sales_RAW(BEFORE)'!AC287)), "mmmm")</f>
        <v>September</v>
      </c>
      <c r="AF279" s="3">
        <f>_xlfn.LET(
  _xlpm.raw, TRIM(SUBSTITUTE('Sales_RAW(BEFORE)'!AD287, "'", "")),
  _xlpm.num, IFERROR(VALUE(_xlpm.raw), 0),
  IF(_xlpm.num &lt; 100, 2000 + _xlpm.num, _xlpm.num)
)</f>
        <v>2025</v>
      </c>
      <c r="AG279" s="3" t="str">
        <f>PROPER('Sales_RAW(BEFORE)'!AE287)</f>
        <v>Immediate</v>
      </c>
      <c r="AH279" s="3" cm="1">
        <f t="array" ref="AH279">_xlfn.LET(
  _xlpm.val, LOWER(TRIM('Sales_RAW(BEFORE)'!AF287)),
  _xlfn.IFS(
    OR(_xlpm.val="", _xlpm.val="null", _xlpm.val="N/A", _xlpm.val="-", _xlpm.val="#N/A"), 0,
    ISNUMBER('Sales_RAW(BEFORE)'!AF287), 'Sales_RAW(BEFORE)'!AF287,
    TRUE, IFERROR(_xlfn.NUMBERVALUE(_xlpm.val), 0)
  )
)</f>
        <v>27</v>
      </c>
      <c r="AI279" s="5">
        <f>IF(IFERROR(VALUE(SUBSTITUTE(SUBSTITUTE(TRIM('Sales_RAW(BEFORE)'!AG287), "%", ""), ",", ".")), 0) &gt; 1, IFERROR(VALUE(SUBSTITUTE(SUBSTITUTE(TRIM('Sales_RAW(BEFORE)'!AG287), "%", ""), ",", ".")), 0) / 100, IFERROR(VALUE(SUBSTITUTE(SUBSTITUTE(TRIM('Sales_RAW(BEFORE)'!AG287), "%", ""), ",", ".")), 0))</f>
        <v>0.08</v>
      </c>
      <c r="AJ279" s="6">
        <f t="shared" si="20"/>
        <v>3981.096</v>
      </c>
      <c r="AK279" s="6">
        <f t="shared" si="21"/>
        <v>53744.795999999995</v>
      </c>
      <c r="AL279" s="6">
        <f>IFERROR(VALUE(SUBSTITUTE(SUBSTITUTE(SUBSTITUTE('Sales_RAW(BEFORE)'!AJ287,"$",""),"USD",""),",",".")),0)</f>
        <v>9.9</v>
      </c>
      <c r="AM279" s="3" t="str">
        <f>SUBSTITUTE(SUBSTITUTE(PROPER('Sales_RAW(BEFORE)'!AK287), "Fed Ex", "FedEx"),"Fedex","FedEx")</f>
        <v>Ups</v>
      </c>
      <c r="AN279" s="3" t="s">
        <v>4488</v>
      </c>
      <c r="AO279" s="3" t="str">
        <f>SUBSTITUTE('Sales_RAW(BEFORE)'!AM287,"kg","")</f>
        <v>13,8</v>
      </c>
      <c r="AP279" s="3" t="str">
        <f>_xlfn.LET(
  _xlpm.raw, UPPER(TRIM('Sales_RAW(BEFORE)'!AN287)),
  _xlpm.clean, RIGHT(_xlpm.raw, 1),
  IF(OR(_xlpm.raw="", _xlpm.raw="null"), "N/A", _xlpm.clean)
)</f>
        <v>B</v>
      </c>
      <c r="AQ279" s="3">
        <v>83</v>
      </c>
      <c r="AR279" s="3" cm="1">
        <f t="array" ref="AR279">_xlfn.LET(
  _xlpm.raw, LOWER(TRIM('Sales_RAW(BEFORE)'!AP287)),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279" s="3"/>
      <c r="AT279" s="3"/>
      <c r="AU279" s="3"/>
      <c r="AV279" s="8">
        <f>IF(IFERROR(VALUE(SUBSTITUTE(SUBSTITUTE(TRIM('Sales_RAW(BEFORE)'!AT287), "%", ""), ",", ".")), 0) &gt; 1, IFERROR(VALUE(SUBSTITUTE(SUBSTITUTE(TRIM('Sales_RAW(BEFORE)'!AT287), "%", ""), ",", ".")), 0) / 100, IFERROR(VALUE(SUBSTITUTE(SUBSTITUTE(TRIM('Sales_RAW(BEFORE)'!AT287), "%", ""), ",", ".")), 0))</f>
        <v>0</v>
      </c>
      <c r="AW279" s="6">
        <f>BA279*(_xlfn.XLOOKUP(N279,Employees!$A$2:$A$26,Employees!$E$2:$E$26,2))</f>
        <v>859.91673600000001</v>
      </c>
      <c r="AX279" s="3" t="str">
        <f>PROPER('Sales_RAW(BEFORE)'!AV287)</f>
        <v>Laura Davis</v>
      </c>
      <c r="AY279" s="3" t="str">
        <f t="shared" si="23"/>
        <v>Laura Davis</v>
      </c>
      <c r="AZ279" s="3"/>
      <c r="BA279" s="24">
        <f>AK279*(1-(_xlfn.XLOOKUP(G279, Exchange_Rates!$B$8:$F$8, Exchange_Rates!$B$9:$F$9, 0)+J279))</f>
        <v>42995.836799999997</v>
      </c>
      <c r="BB279" s="7" cm="1">
        <f t="array" ref="BB279">_xlfn.LET(
  _xlpm.raw_dt, SUBSTITUTE(TRIM(C279), ".", "/"),
  _xlpm.dt, IFERROR(DATEVALUE(_xlpm.raw_dt), C279),
  _xlpm.p_code, TRIM(E279),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46063</v>
      </c>
      <c r="BC279" s="25">
        <f t="shared" si="24"/>
        <v>0</v>
      </c>
    </row>
    <row r="280" spans="1:55" ht="15.75" thickBot="1" x14ac:dyDescent="0.3">
      <c r="A280" s="3" t="s">
        <v>4490</v>
      </c>
      <c r="B280" s="10">
        <v>46151</v>
      </c>
      <c r="C280" s="4">
        <f>DATE(2026,5,15)</f>
        <v>46157</v>
      </c>
      <c r="D280" s="3" t="str">
        <f>"P-" &amp; TEXT(VALUE(SUBSTITUTE(SUBSTITUTE(SUBSTITUTE(UPPER(TRIM('Sales_RAW(BEFORE)'!D288)), "P", ""), "-", ""), "_", "")),"000")</f>
        <v>P-022</v>
      </c>
      <c r="E280" s="3" t="str">
        <f>VLOOKUP(D280,Product_List!$A$2:$B$61,2,FALSE)</f>
        <v>Desk Basic 22</v>
      </c>
      <c r="F280" s="3" t="str">
        <f>_xlfn.XLOOKUP(E280,Product_List!$B$2:$B$61,Product_List!$E$2:$E$61,2)</f>
        <v>BestParts</v>
      </c>
      <c r="G280" s="3" t="str">
        <f>VLOOKUP(E280,Product_List!$B$2:$C$61,2,FALSE)</f>
        <v>Furniture</v>
      </c>
      <c r="H280" s="3" t="str">
        <f>SUBSTITUTE(SUBSTITUTE('Sales_RAW(BEFORE)'!G288,"kom",""),".","")</f>
        <v xml:space="preserve">6 </v>
      </c>
      <c r="I280" s="6">
        <f>VLOOKUP(E280,Product_List!$B$2:$D$61,3,FALSE)</f>
        <v>893.58</v>
      </c>
      <c r="J280" s="5">
        <f>IF(IFERROR(VALUE(SUBSTITUTE(SUBSTITUTE(TRIM('Sales_RAW(BEFORE)'!I288), "%", ""), ",", ".")), 0) &gt; 1, IFERROR(VALUE(SUBSTITUTE(SUBSTITUTE(TRIM('Sales_RAW(BEFORE)'!I288), "%", ""), ",", ".")), 0) / 100, IFERROR(VALUE(SUBSTITUTE(SUBSTITUTE(TRIM('Sales_RAW(BEFORE)'!I288), "%", ""), ",", ".")), 0))</f>
        <v>0.1</v>
      </c>
      <c r="K280" s="6">
        <f t="shared" si="22"/>
        <v>5361.4800000000005</v>
      </c>
      <c r="L280" s="6" t="str" cm="1">
        <f t="array" ref="L280">_xlfn.LET(
  _xlpm.valuta, UPPER(TRIM('Sales_RAW(BEFORE)'!K288)),
  _xlfn.IFS(
    _xlpm.valuta = "", "",
    OR(_xlpm.valuta = "USD", _xlpm.valuta = "$"), "$",
    OR(_xlpm.valuta = "EUR", _xlpm.valuta = "€"), "€",
    TRUE, _xlpm.valuta
  )
)</f>
        <v>$</v>
      </c>
      <c r="M280" s="3" t="str">
        <f>"E" &amp; TEXT(VALUE(SUBSTITUTE(SUBSTITUTE(SUBSTITUTE(UPPER(TRIM('Sales_RAW(BEFORE)'!L288)), "EMP", ""), "E", ""), "-", "")),"000")</f>
        <v>E002</v>
      </c>
      <c r="N280" s="3" t="str">
        <f>_xlfn.XLOOKUP(M280,Employees!$D$2:$D$26,Employees!$A$2:$A$26)</f>
        <v>Sarah Wilson</v>
      </c>
      <c r="O280" s="3" t="str">
        <f>_xlfn.XLOOKUP(N280,Employees!$A$2:$A$26,Employees!$C$2:$C$26,2)</f>
        <v>Online</v>
      </c>
      <c r="P280" s="3" t="str">
        <f>PROPER('Sales_RAW(BEFORE)'!N288)</f>
        <v>North</v>
      </c>
      <c r="Q280" s="3" t="str">
        <f>VLOOKUP(N280,Employees!$A$2:$B$26,2,FALSE)</f>
        <v>Los Angeles</v>
      </c>
      <c r="R280" s="3" t="str">
        <f>PROPER('Sales_RAW(BEFORE)'!P288)</f>
        <v xml:space="preserve">   Umbrella Inc</v>
      </c>
      <c r="S280" s="3" t="str">
        <f>SUBSTITUTE(SUBSTITUTE('Sales_RAW(BEFORE)'!Q288,"EIN",""),":","")</f>
        <v>691994688</v>
      </c>
      <c r="T280" s="3" t="s">
        <v>564</v>
      </c>
      <c r="U280" s="3" t="s">
        <v>4494</v>
      </c>
      <c r="V280" s="3" t="s">
        <v>4495</v>
      </c>
      <c r="W280" s="3" t="s">
        <v>4496</v>
      </c>
      <c r="X280" s="3" t="s">
        <v>173</v>
      </c>
      <c r="Y280" s="3" t="str">
        <f>PROPER('Sales_RAW(BEFORE)'!W288)</f>
        <v>Wire Transfer</v>
      </c>
      <c r="Z280" s="3" t="str">
        <f>PROPER('Sales_RAW(BEFORE)'!X288)</f>
        <v>Delivered</v>
      </c>
      <c r="AA280" s="3" t="str" cm="1">
        <f t="array" ref="AA280">_xlfn.LET(
  _xlpm.val, TRIM(LOWER('Sales_RAW(BEFORE)'!Y288)),
  _xlfn.IFS(
    OR(_xlpm.val="yes", _xlpm.val="paid"), "Paid",
    OR(_xlpm.val="no", _xlpm.val="unpaid"), "Unpaid",
    OR(_xlpm.val="partial", _xlpm.val="partial paid"), "Partial",
    _xlpm.val="", "",
    TRUE, 'Sales_RAW(BEFORE)'!AY288
  )
)</f>
        <v>Paid</v>
      </c>
      <c r="AB280" s="3" t="s">
        <v>4497</v>
      </c>
      <c r="AC280" s="3" t="str">
        <f>PROPER('Sales_RAW(BEFORE)'!AA288)</f>
        <v>Phone</v>
      </c>
      <c r="AD280" s="3" t="str">
        <f>SUBSTITUTE(SUBSTITUTE(SUBSTITUTE(SUBSTITUTE('Sales_RAW(BEFORE)'!AB288,"st",""),"q",""),"Q",""),"uarter","")</f>
        <v>3</v>
      </c>
      <c r="AE280" s="3" t="str">
        <f>TEXT(IFERROR(DATEVALUE('Sales_RAW(BEFORE)'!AC288 &amp; " 1"), IFERROR(DATE(2025, 'Sales_RAW(BEFORE)'!AC288, 1), 'Sales_RAW(BEFORE)'!AC288)), "mmmm")</f>
        <v>May</v>
      </c>
      <c r="AF280" s="3">
        <f>_xlfn.LET(
  _xlpm.raw, TRIM(SUBSTITUTE('Sales_RAW(BEFORE)'!AD288, "'", "")),
  _xlpm.num, IFERROR(VALUE(_xlpm.raw), 0),
  IF(_xlpm.num &lt; 100, 2000 + _xlpm.num, _xlpm.num)
)</f>
        <v>2026</v>
      </c>
      <c r="AG280" s="3" t="str">
        <f>PROPER('Sales_RAW(BEFORE)'!AE288)</f>
        <v>Immediate</v>
      </c>
      <c r="AH280" s="3" cm="1">
        <f t="array" ref="AH280">_xlfn.LET(
  _xlpm.val, LOWER(TRIM('Sales_RAW(BEFORE)'!AF288)),
  _xlfn.IFS(
    OR(_xlpm.val="", _xlpm.val="null", _xlpm.val="N/A", _xlpm.val="-", _xlpm.val="#N/A"), 0,
    ISNUMBER('Sales_RAW(BEFORE)'!AF288), 'Sales_RAW(BEFORE)'!AF288,
    TRUE, IFERROR(_xlfn.NUMBERVALUE(_xlpm.val), 0)
  )
)</f>
        <v>3</v>
      </c>
      <c r="AI280" s="5">
        <f>IF(IFERROR(VALUE(SUBSTITUTE(SUBSTITUTE(TRIM('Sales_RAW(BEFORE)'!AG288), "%", ""), ",", ".")), 0) &gt; 1, IFERROR(VALUE(SUBSTITUTE(SUBSTITUTE(TRIM('Sales_RAW(BEFORE)'!AG288), "%", ""), ",", ".")), 0) / 100, IFERROR(VALUE(SUBSTITUTE(SUBSTITUTE(TRIM('Sales_RAW(BEFORE)'!AG288), "%", ""), ",", ".")), 0))</f>
        <v>0.08</v>
      </c>
      <c r="AJ280" s="6">
        <f t="shared" si="20"/>
        <v>428.91840000000002</v>
      </c>
      <c r="AK280" s="6">
        <f t="shared" si="21"/>
        <v>5790.3984</v>
      </c>
      <c r="AL280" s="6">
        <f>IFERROR(VALUE(SUBSTITUTE(SUBSTITUTE(SUBSTITUTE('Sales_RAW(BEFORE)'!AJ288,"$",""),"USD",""),",",".")),0)</f>
        <v>31.02</v>
      </c>
      <c r="AM280" s="3" t="str">
        <f>SUBSTITUTE(SUBSTITUTE(PROPER('Sales_RAW(BEFORE)'!AK288), "Fed Ex", "FedEx"),"Fedex","FedEx")</f>
        <v>Usps</v>
      </c>
      <c r="AN280" s="3" t="s">
        <v>4499</v>
      </c>
      <c r="AO280" s="3" t="str">
        <f>SUBSTITUTE('Sales_RAW(BEFORE)'!AM288,"kg","")</f>
        <v>29.07</v>
      </c>
      <c r="AP280" s="3" t="str">
        <f>_xlfn.LET(
  _xlpm.raw, UPPER(TRIM('Sales_RAW(BEFORE)'!AN288)),
  _xlpm.clean, RIGHT(_xlpm.raw, 1),
  IF(OR(_xlpm.raw="", _xlpm.raw="null"), "N/A", _xlpm.clean)
)</f>
        <v>A</v>
      </c>
      <c r="AQ280" s="3">
        <v>146</v>
      </c>
      <c r="AR280" s="3" cm="1">
        <f t="array" ref="AR280">_xlfn.LET(
  _xlpm.raw, LOWER(TRIM('Sales_RAW(BEFORE)'!AP288)),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280" s="3"/>
      <c r="AT280" s="3"/>
      <c r="AU280" s="3"/>
      <c r="AV280" s="8">
        <f>IF(IFERROR(VALUE(SUBSTITUTE(SUBSTITUTE(TRIM('Sales_RAW(BEFORE)'!AT288), "%", ""), ",", ".")), 0) &gt; 1, IFERROR(VALUE(SUBSTITUTE(SUBSTITUTE(TRIM('Sales_RAW(BEFORE)'!AT288), "%", ""), ",", ".")), 0) / 100, IFERROR(VALUE(SUBSTITUTE(SUBSTITUTE(TRIM('Sales_RAW(BEFORE)'!AT288), "%", ""), ",", ".")), 0))</f>
        <v>0.25</v>
      </c>
      <c r="AW280" s="6">
        <f>BA280*(_xlfn.XLOOKUP(N280,Employees!$A$2:$A$26,Employees!$E$2:$E$26,2))</f>
        <v>138.96956159999999</v>
      </c>
      <c r="AX280" s="3" t="str">
        <f>PROPER('Sales_RAW(BEFORE)'!AV288)</f>
        <v>Emily Davis</v>
      </c>
      <c r="AY280" s="3" t="str">
        <f t="shared" si="23"/>
        <v>Emily Davis</v>
      </c>
      <c r="AZ280" s="3"/>
      <c r="BA280" s="24">
        <f>AK280*(1-(_xlfn.XLOOKUP(G280, Exchange_Rates!$B$8:$F$8, Exchange_Rates!$B$9:$F$9, 0)+J280))</f>
        <v>4632.3187200000002</v>
      </c>
      <c r="BB280" s="7" cm="1">
        <f t="array" ref="BB280">_xlfn.LET(
  _xlpm.raw_dt, SUBSTITUTE(TRIM(C280), ".", "/"),
  _xlpm.dt, IFERROR(DATEVALUE(_xlpm.raw_dt), C280),
  _xlpm.p_code, TRIM(E280),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46522</v>
      </c>
      <c r="BC280" s="25">
        <f t="shared" si="24"/>
        <v>1158.0796800000001</v>
      </c>
    </row>
    <row r="281" spans="1:55" ht="15.75" thickBot="1" x14ac:dyDescent="0.3">
      <c r="A281" s="3" t="s">
        <v>4501</v>
      </c>
      <c r="B281" s="10">
        <v>46049</v>
      </c>
      <c r="C281" s="4">
        <v>46056</v>
      </c>
      <c r="D281" s="3" t="str">
        <f>"P-" &amp; TEXT(VALUE(SUBSTITUTE(SUBSTITUTE(SUBSTITUTE(UPPER(TRIM('Sales_RAW(BEFORE)'!D289)), "P", ""), "-", ""), "_", "")),"000")</f>
        <v>P-025</v>
      </c>
      <c r="E281" s="3" t="str">
        <f>VLOOKUP(D281,Product_List!$A$2:$B$61,2,FALSE)</f>
        <v>Chair Max 25</v>
      </c>
      <c r="F281" s="3" t="str">
        <f>_xlfn.XLOOKUP(E281,Product_List!$B$2:$B$61,Product_List!$E$2:$E$61,2)</f>
        <v>TechSupply Co</v>
      </c>
      <c r="G281" s="3" t="str">
        <f>VLOOKUP(E281,Product_List!$B$2:$C$61,2,FALSE)</f>
        <v>Software</v>
      </c>
      <c r="H281" s="3" t="str">
        <f>SUBSTITUTE(SUBSTITUTE('Sales_RAW(BEFORE)'!G289,"kom",""),".","")</f>
        <v xml:space="preserve">37 </v>
      </c>
      <c r="I281" s="6">
        <f>VLOOKUP(E281,Product_List!$B$2:$D$61,3,FALSE)</f>
        <v>430.47</v>
      </c>
      <c r="J281" s="5">
        <f>IF(IFERROR(VALUE(SUBSTITUTE(SUBSTITUTE(TRIM('Sales_RAW(BEFORE)'!I289), "%", ""), ",", ".")), 0) &gt; 1, IFERROR(VALUE(SUBSTITUTE(SUBSTITUTE(TRIM('Sales_RAW(BEFORE)'!I289), "%", ""), ",", ".")), 0) / 100, IFERROR(VALUE(SUBSTITUTE(SUBSTITUTE(TRIM('Sales_RAW(BEFORE)'!I289), "%", ""), ",", ".")), 0))</f>
        <v>0</v>
      </c>
      <c r="K281" s="6">
        <f t="shared" si="22"/>
        <v>15927.390000000001</v>
      </c>
      <c r="L281" s="6" t="str" cm="1">
        <f t="array" ref="L281">_xlfn.LET(
  _xlpm.valuta, UPPER(TRIM('Sales_RAW(BEFORE)'!K289)),
  _xlfn.IFS(
    _xlpm.valuta = "", "",
    OR(_xlpm.valuta = "USD", _xlpm.valuta = "$"), "$",
    OR(_xlpm.valuta = "EUR", _xlpm.valuta = "€"), "€",
    TRUE, _xlpm.valuta
  )
)</f>
        <v>$</v>
      </c>
      <c r="M281" s="3" t="str">
        <f>"E" &amp; TEXT(VALUE(SUBSTITUTE(SUBSTITUTE(SUBSTITUTE(UPPER(TRIM('Sales_RAW(BEFORE)'!L289)), "EMP", ""), "E", ""), "-", "")),"000")</f>
        <v>E017</v>
      </c>
      <c r="N281" s="3" t="str">
        <f>_xlfn.XLOOKUP(M281,Employees!$D$2:$D$26,Employees!$A$2:$A$26)</f>
        <v>Robert Davis</v>
      </c>
      <c r="O281" s="3" t="str">
        <f>_xlfn.XLOOKUP(N281,Employees!$A$2:$A$26,Employees!$C$2:$C$26,2)</f>
        <v>Wholesale</v>
      </c>
      <c r="P281" s="3" t="str">
        <f>PROPER('Sales_RAW(BEFORE)'!N289)</f>
        <v>West</v>
      </c>
      <c r="Q281" s="3" t="str">
        <f>VLOOKUP(N281,Employees!$A$2:$B$26,2,FALSE)</f>
        <v>Miami</v>
      </c>
      <c r="R281" s="3" t="str">
        <f>PROPER('Sales_RAW(BEFORE)'!P289)</f>
        <v>Umbrella Inc</v>
      </c>
      <c r="S281" s="3" t="str">
        <f>SUBSTITUTE(SUBSTITUTE('Sales_RAW(BEFORE)'!Q289,"EIN",""),":","")</f>
        <v xml:space="preserve"> 432470535</v>
      </c>
      <c r="T281" s="3" t="s">
        <v>378</v>
      </c>
      <c r="U281" s="3" t="s">
        <v>4507</v>
      </c>
      <c r="V281" s="3" t="s">
        <v>4508</v>
      </c>
      <c r="W281" s="3" t="s">
        <v>4509</v>
      </c>
      <c r="X281" s="3" t="s">
        <v>173</v>
      </c>
      <c r="Y281" s="3" t="str">
        <f>PROPER('Sales_RAW(BEFORE)'!W289)</f>
        <v>Wire</v>
      </c>
      <c r="Z281" s="3" t="str">
        <f>PROPER('Sales_RAW(BEFORE)'!X289)</f>
        <v>Delivered</v>
      </c>
      <c r="AA281" s="3" t="str" cm="1">
        <f t="array" ref="AA281">_xlfn.LET(
  _xlpm.val, TRIM(LOWER('Sales_RAW(BEFORE)'!Y289)),
  _xlfn.IFS(
    OR(_xlpm.val="yes", _xlpm.val="paid"), "Paid",
    OR(_xlpm.val="no", _xlpm.val="unpaid"), "Unpaid",
    OR(_xlpm.val="partial", _xlpm.val="partial paid"), "Partial",
    _xlpm.val="", "",
    TRUE, 'Sales_RAW(BEFORE)'!AY289
  )
)</f>
        <v>Paid</v>
      </c>
      <c r="AB281" s="3" t="s">
        <v>4510</v>
      </c>
      <c r="AC281" s="3" t="str">
        <f>PROPER('Sales_RAW(BEFORE)'!AA289)</f>
        <v>Phone</v>
      </c>
      <c r="AD281" s="3" t="str">
        <f>SUBSTITUTE(SUBSTITUTE(SUBSTITUTE(SUBSTITUTE('Sales_RAW(BEFORE)'!AB289,"st",""),"q",""),"Q",""),"uarter","")</f>
        <v>2</v>
      </c>
      <c r="AE281" s="3" t="str">
        <f>TEXT(IFERROR(DATEVALUE('Sales_RAW(BEFORE)'!AC289 &amp; " 1"), IFERROR(DATE(2025, 'Sales_RAW(BEFORE)'!AC289, 1), 'Sales_RAW(BEFORE)'!AC289)), "mmmm")</f>
        <v>January</v>
      </c>
      <c r="AF281" s="3">
        <f>_xlfn.LET(
  _xlpm.raw, TRIM(SUBSTITUTE('Sales_RAW(BEFORE)'!AD289, "'", "")),
  _xlpm.num, IFERROR(VALUE(_xlpm.raw), 0),
  IF(_xlpm.num &lt; 100, 2000 + _xlpm.num, _xlpm.num)
)</f>
        <v>2026</v>
      </c>
      <c r="AG281" s="3" t="str">
        <f>PROPER('Sales_RAW(BEFORE)'!AE289)</f>
        <v>Net 30</v>
      </c>
      <c r="AH281" s="3" cm="1">
        <f t="array" ref="AH281">_xlfn.LET(
  _xlpm.val, LOWER(TRIM('Sales_RAW(BEFORE)'!AF289)),
  _xlfn.IFS(
    OR(_xlpm.val="", _xlpm.val="null", _xlpm.val="N/A", _xlpm.val="-", _xlpm.val="#N/A"), 0,
    ISNUMBER('Sales_RAW(BEFORE)'!AF289), 'Sales_RAW(BEFORE)'!AF289,
    TRUE, IFERROR(_xlfn.NUMBERVALUE(_xlpm.val), 0)
  )
)</f>
        <v>66</v>
      </c>
      <c r="AI281" s="5">
        <f>IF(IFERROR(VALUE(SUBSTITUTE(SUBSTITUTE(TRIM('Sales_RAW(BEFORE)'!AG289), "%", ""), ",", ".")), 0) &gt; 1, IFERROR(VALUE(SUBSTITUTE(SUBSTITUTE(TRIM('Sales_RAW(BEFORE)'!AG289), "%", ""), ",", ".")), 0) / 100, IFERROR(VALUE(SUBSTITUTE(SUBSTITUTE(TRIM('Sales_RAW(BEFORE)'!AG289), "%", ""), ",", ".")), 0))</f>
        <v>0.08</v>
      </c>
      <c r="AJ281" s="6">
        <f t="shared" si="20"/>
        <v>1274.1912000000002</v>
      </c>
      <c r="AK281" s="6">
        <f t="shared" si="21"/>
        <v>17201.581200000001</v>
      </c>
      <c r="AL281" s="6">
        <f>IFERROR(VALUE(SUBSTITUTE(SUBSTITUTE(SUBSTITUTE('Sales_RAW(BEFORE)'!AJ289,"$",""),"USD",""),",",".")),0)</f>
        <v>41.89</v>
      </c>
      <c r="AM281" s="3" t="str">
        <f>SUBSTITUTE(SUBSTITUTE(PROPER('Sales_RAW(BEFORE)'!AK289), "Fed Ex", "FedEx"),"Fedex","FedEx")</f>
        <v>Usps</v>
      </c>
      <c r="AN281" s="3" t="s">
        <v>4512</v>
      </c>
      <c r="AO281" s="3" t="str">
        <f>SUBSTITUTE('Sales_RAW(BEFORE)'!AM289,"kg","")</f>
        <v>21,43</v>
      </c>
      <c r="AP281" s="3" t="str">
        <f>_xlfn.LET(
  _xlpm.raw, UPPER(TRIM('Sales_RAW(BEFORE)'!AN289)),
  _xlpm.clean, RIGHT(_xlpm.raw, 1),
  IF(OR(_xlpm.raw="", _xlpm.raw="null"), "N/A", _xlpm.clean)
)</f>
        <v>B</v>
      </c>
      <c r="AQ281" s="3">
        <v>15</v>
      </c>
      <c r="AR281" s="3" cm="1">
        <f t="array" ref="AR281">_xlfn.LET(
  _xlpm.raw, LOWER(TRIM('Sales_RAW(BEFORE)'!AP289)),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281" s="3"/>
      <c r="AT281" s="3"/>
      <c r="AU281" s="3"/>
      <c r="AV281" s="8">
        <f>IF(IFERROR(VALUE(SUBSTITUTE(SUBSTITUTE(TRIM('Sales_RAW(BEFORE)'!AT289), "%", ""), ",", ".")), 0) &gt; 1, IFERROR(VALUE(SUBSTITUTE(SUBSTITUTE(TRIM('Sales_RAW(BEFORE)'!AT289), "%", ""), ",", ".")), 0) / 100, IFERROR(VALUE(SUBSTITUTE(SUBSTITUTE(TRIM('Sales_RAW(BEFORE)'!AT289), "%", ""), ",", ".")), 0))</f>
        <v>0.15</v>
      </c>
      <c r="AW281" s="6">
        <f>BA281*(_xlfn.XLOOKUP(N281,Employees!$A$2:$A$26,Employees!$E$2:$E$26,2))</f>
        <v>438.6403206</v>
      </c>
      <c r="AX281" s="3" t="str">
        <f>PROPER('Sales_RAW(BEFORE)'!AV289)</f>
        <v>Emma Wilson</v>
      </c>
      <c r="AY281" s="3" t="str">
        <f t="shared" si="23"/>
        <v>Emma Wilson</v>
      </c>
      <c r="AZ281" s="3"/>
      <c r="BA281" s="24">
        <f>AK281*(1-(_xlfn.XLOOKUP(G281, Exchange_Rates!$B$8:$F$8, Exchange_Rates!$B$9:$F$9, 0)+J281))</f>
        <v>14621.34402</v>
      </c>
      <c r="BB281" s="7" cm="1">
        <f t="array" ref="BB281">_xlfn.LET(
  _xlpm.raw_dt, SUBSTITUTE(TRIM(C281), ".", "/"),
  _xlpm.dt, IFERROR(DATEVALUE(_xlpm.raw_dt), C281),
  _xlpm.p_code, TRIM(E281),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46421</v>
      </c>
      <c r="BC281" s="25">
        <f t="shared" si="24"/>
        <v>2193.201603</v>
      </c>
    </row>
    <row r="282" spans="1:55" ht="15.75" thickBot="1" x14ac:dyDescent="0.3">
      <c r="A282" s="3" t="s">
        <v>4515</v>
      </c>
      <c r="B282" s="10">
        <v>46154</v>
      </c>
      <c r="C282" s="4">
        <v>46157</v>
      </c>
      <c r="D282" s="3" t="str">
        <f>"P-" &amp; TEXT(VALUE(SUBSTITUTE(SUBSTITUTE(SUBSTITUTE(UPPER(TRIM('Sales_RAW(BEFORE)'!D290)), "P", ""), "-", ""), "_", "")),"000")</f>
        <v>P-041</v>
      </c>
      <c r="E282" s="3" t="str">
        <f>VLOOKUP(D282,Product_List!$A$2:$B$61,2,FALSE)</f>
        <v>Monitor X 41</v>
      </c>
      <c r="F282" s="3" t="str">
        <f>_xlfn.XLOOKUP(E282,Product_List!$B$2:$B$61,Product_List!$E$2:$E$61,2)</f>
        <v>TechSupply Co</v>
      </c>
      <c r="G282" s="3" t="str">
        <f>VLOOKUP(E282,Product_List!$B$2:$C$61,2,FALSE)</f>
        <v>Software</v>
      </c>
      <c r="H282" s="3" t="str">
        <f>SUBSTITUTE(SUBSTITUTE('Sales_RAW(BEFORE)'!G290,"kom",""),".","")</f>
        <v xml:space="preserve">25 </v>
      </c>
      <c r="I282" s="6">
        <f>VLOOKUP(E282,Product_List!$B$2:$D$61,3,FALSE)</f>
        <v>247.64</v>
      </c>
      <c r="J282" s="5">
        <f>IF(IFERROR(VALUE(SUBSTITUTE(SUBSTITUTE(TRIM('Sales_RAW(BEFORE)'!I290), "%", ""), ",", ".")), 0) &gt; 1, IFERROR(VALUE(SUBSTITUTE(SUBSTITUTE(TRIM('Sales_RAW(BEFORE)'!I290), "%", ""), ",", ".")), 0) / 100, IFERROR(VALUE(SUBSTITUTE(SUBSTITUTE(TRIM('Sales_RAW(BEFORE)'!I290), "%", ""), ",", ".")), 0))</f>
        <v>0</v>
      </c>
      <c r="K282" s="6">
        <f t="shared" si="22"/>
        <v>6191</v>
      </c>
      <c r="L282" s="6" t="str" cm="1">
        <f t="array" ref="L282">_xlfn.LET(
  _xlpm.valuta, UPPER(TRIM('Sales_RAW(BEFORE)'!K290)),
  _xlfn.IFS(
    _xlpm.valuta = "", "",
    OR(_xlpm.valuta = "USD", _xlpm.valuta = "$"), "$",
    OR(_xlpm.valuta = "EUR", _xlpm.valuta = "€"), "€",
    TRUE, _xlpm.valuta
  )
)</f>
        <v>$</v>
      </c>
      <c r="M282" s="3" t="str">
        <f>"E" &amp; TEXT(VALUE(SUBSTITUTE(SUBSTITUTE(SUBSTITUTE(UPPER(TRIM('Sales_RAW(BEFORE)'!L290)), "EMP", ""), "E", ""), "-", "")),"000")</f>
        <v>E003</v>
      </c>
      <c r="N282" s="3" t="str">
        <f>_xlfn.XLOOKUP(M282,Employees!$D$2:$D$26,Employees!$A$2:$A$26)</f>
        <v>Laura Miller</v>
      </c>
      <c r="O282" s="3" t="str">
        <f>_xlfn.XLOOKUP(N282,Employees!$A$2:$A$26,Employees!$C$2:$C$26,2)</f>
        <v>Sales</v>
      </c>
      <c r="P282" s="3" t="str">
        <f>PROPER('Sales_RAW(BEFORE)'!N290)</f>
        <v>North</v>
      </c>
      <c r="Q282" s="3" t="str">
        <f>VLOOKUP(N282,Employees!$A$2:$B$26,2,FALSE)</f>
        <v>Miami</v>
      </c>
      <c r="R282" s="3" t="str">
        <f>PROPER('Sales_RAW(BEFORE)'!P290)</f>
        <v xml:space="preserve">Globex Ltd.   </v>
      </c>
      <c r="S282" s="3" t="str">
        <f>SUBSTITUTE(SUBSTITUTE('Sales_RAW(BEFORE)'!Q290,"EIN",""),":","")</f>
        <v xml:space="preserve"> 510274483</v>
      </c>
      <c r="T282" s="3" t="s">
        <v>201</v>
      </c>
      <c r="U282" s="3" t="s">
        <v>4520</v>
      </c>
      <c r="V282" s="3" t="s">
        <v>4521</v>
      </c>
      <c r="W282" s="3" t="s">
        <v>4522</v>
      </c>
      <c r="X282" s="3" t="s">
        <v>173</v>
      </c>
      <c r="Y282" s="3" t="str">
        <f>PROPER('Sales_RAW(BEFORE)'!W290)</f>
        <v>Wire</v>
      </c>
      <c r="Z282" s="3" t="str">
        <f>PROPER('Sales_RAW(BEFORE)'!X290)</f>
        <v>Delivered</v>
      </c>
      <c r="AA282" s="3" t="str" cm="1">
        <f t="array" ref="AA282">_xlfn.LET(
  _xlpm.val, TRIM(LOWER('Sales_RAW(BEFORE)'!Y290)),
  _xlfn.IFS(
    OR(_xlpm.val="yes", _xlpm.val="paid"), "Paid",
    OR(_xlpm.val="no", _xlpm.val="unpaid"), "Unpaid",
    OR(_xlpm.val="partial", _xlpm.val="partial paid"), "Partial",
    _xlpm.val="", "",
    TRUE, 'Sales_RAW(BEFORE)'!AY290
  )
)</f>
        <v>Paid</v>
      </c>
      <c r="AB282" s="3" t="s">
        <v>4523</v>
      </c>
      <c r="AC282" s="3" t="str">
        <f>PROPER('Sales_RAW(BEFORE)'!AA290)</f>
        <v>Online</v>
      </c>
      <c r="AD282" s="3" t="str">
        <f>SUBSTITUTE(SUBSTITUTE(SUBSTITUTE(SUBSTITUTE('Sales_RAW(BEFORE)'!AB290,"st",""),"q",""),"Q",""),"uarter","")</f>
        <v xml:space="preserve">1 </v>
      </c>
      <c r="AE282" s="3" t="str">
        <f>TEXT(IFERROR(DATEVALUE('Sales_RAW(BEFORE)'!AC290 &amp; " 1"), IFERROR(DATE(2025, 'Sales_RAW(BEFORE)'!AC290, 1), 'Sales_RAW(BEFORE)'!AC290)), "mmmm")</f>
        <v>May</v>
      </c>
      <c r="AF282" s="3">
        <f>_xlfn.LET(
  _xlpm.raw, TRIM(SUBSTITUTE('Sales_RAW(BEFORE)'!AD290, "'", "")),
  _xlpm.num, IFERROR(VALUE(_xlpm.raw), 0),
  IF(_xlpm.num &lt; 100, 2000 + _xlpm.num, _xlpm.num)
)</f>
        <v>2026</v>
      </c>
      <c r="AG282" s="3" t="str">
        <f>PROPER('Sales_RAW(BEFORE)'!AE290)</f>
        <v>Net 60</v>
      </c>
      <c r="AH282" s="3" cm="1">
        <f t="array" ref="AH282">_xlfn.LET(
  _xlpm.val, LOWER(TRIM('Sales_RAW(BEFORE)'!AF290)),
  _xlfn.IFS(
    OR(_xlpm.val="", _xlpm.val="null", _xlpm.val="N/A", _xlpm.val="-", _xlpm.val="#N/A"), 0,
    ISNUMBER('Sales_RAW(BEFORE)'!AF290), 'Sales_RAW(BEFORE)'!AF290,
    TRUE, IFERROR(_xlfn.NUMBERVALUE(_xlpm.val), 0)
  )
)</f>
        <v>47</v>
      </c>
      <c r="AI282" s="5">
        <f>IF(IFERROR(VALUE(SUBSTITUTE(SUBSTITUTE(TRIM('Sales_RAW(BEFORE)'!AG290), "%", ""), ",", ".")), 0) &gt; 1, IFERROR(VALUE(SUBSTITUTE(SUBSTITUTE(TRIM('Sales_RAW(BEFORE)'!AG290), "%", ""), ",", ".")), 0) / 100, IFERROR(VALUE(SUBSTITUTE(SUBSTITUTE(TRIM('Sales_RAW(BEFORE)'!AG290), "%", ""), ",", ".")), 0))</f>
        <v>0.08</v>
      </c>
      <c r="AJ282" s="6">
        <f t="shared" si="20"/>
        <v>495.28000000000003</v>
      </c>
      <c r="AK282" s="6">
        <f t="shared" si="21"/>
        <v>6686.28</v>
      </c>
      <c r="AL282" s="6">
        <f>IFERROR(VALUE(SUBSTITUTE(SUBSTITUTE(SUBSTITUTE('Sales_RAW(BEFORE)'!AJ290,"$",""),"USD",""),",",".")),0)</f>
        <v>24.9</v>
      </c>
      <c r="AM282" s="3" t="str">
        <f>SUBSTITUTE(SUBSTITUTE(PROPER('Sales_RAW(BEFORE)'!AK290), "Fed Ex", "FedEx"),"Fedex","FedEx")</f>
        <v>Ups</v>
      </c>
      <c r="AN282" s="3" t="s">
        <v>4525</v>
      </c>
      <c r="AO282" s="3" t="str">
        <f>SUBSTITUTE('Sales_RAW(BEFORE)'!AM290,"kg","")</f>
        <v>17.48</v>
      </c>
      <c r="AP282" s="3" t="str">
        <f>_xlfn.LET(
  _xlpm.raw, UPPER(TRIM('Sales_RAW(BEFORE)'!AN290)),
  _xlpm.clean, RIGHT(_xlpm.raw, 1),
  IF(OR(_xlpm.raw="", _xlpm.raw="null"), "N/A", _xlpm.clean)
)</f>
        <v>A</v>
      </c>
      <c r="AQ282" s="3">
        <v>323</v>
      </c>
      <c r="AR282" s="3" cm="1">
        <f t="array" ref="AR282">_xlfn.LET(
  _xlpm.raw, LOWER(TRIM('Sales_RAW(BEFORE)'!AP290)),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282" s="3"/>
      <c r="AT282" s="3"/>
      <c r="AU282" s="3"/>
      <c r="AV282" s="8">
        <f>IF(IFERROR(VALUE(SUBSTITUTE(SUBSTITUTE(TRIM('Sales_RAW(BEFORE)'!AT290), "%", ""), ",", ".")), 0) &gt; 1, IFERROR(VALUE(SUBSTITUTE(SUBSTITUTE(TRIM('Sales_RAW(BEFORE)'!AT290), "%", ""), ",", ".")), 0) / 100, IFERROR(VALUE(SUBSTITUTE(SUBSTITUTE(TRIM('Sales_RAW(BEFORE)'!AT290), "%", ""), ",", ".")), 0))</f>
        <v>0.3</v>
      </c>
      <c r="AW282" s="6">
        <f>BA282*(_xlfn.XLOOKUP(N282,Employees!$A$2:$A$26,Employees!$E$2:$E$26,2))</f>
        <v>284.1669</v>
      </c>
      <c r="AX282" s="3" t="str">
        <f>PROPER('Sales_RAW(BEFORE)'!AV290)</f>
        <v xml:space="preserve">Laura Jones  </v>
      </c>
      <c r="AY282" s="3" t="str">
        <f t="shared" si="23"/>
        <v xml:space="preserve">Laura Jones  </v>
      </c>
      <c r="AZ282" s="3"/>
      <c r="BA282" s="24">
        <f>AK282*(1-(_xlfn.XLOOKUP(G282, Exchange_Rates!$B$8:$F$8, Exchange_Rates!$B$9:$F$9, 0)+J282))</f>
        <v>5683.3379999999997</v>
      </c>
      <c r="BB282" s="7" cm="1">
        <f t="array" ref="BB282">_xlfn.LET(
  _xlpm.raw_dt, SUBSTITUTE(TRIM(C282), ".", "/"),
  _xlpm.dt, IFERROR(DATEVALUE(_xlpm.raw_dt), C282),
  _xlpm.p_code, TRIM(E282),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46888</v>
      </c>
      <c r="BC282" s="25">
        <f t="shared" si="24"/>
        <v>1705.0013999999999</v>
      </c>
    </row>
    <row r="283" spans="1:55" ht="15.75" thickBot="1" x14ac:dyDescent="0.3">
      <c r="A283" s="3" t="s">
        <v>4527</v>
      </c>
      <c r="B283" s="10">
        <v>45802</v>
      </c>
      <c r="C283" s="4">
        <v>45663</v>
      </c>
      <c r="D283" s="3" t="str">
        <f>"P-" &amp; TEXT(VALUE(SUBSTITUTE(SUBSTITUTE(SUBSTITUTE(UPPER(TRIM('Sales_RAW(BEFORE)'!D291)), "P", ""), "-", ""), "_", "")),"000")</f>
        <v>P-020</v>
      </c>
      <c r="E283" s="3" t="str">
        <f>VLOOKUP(D283,Product_List!$A$2:$B$61,2,FALSE)</f>
        <v>Desk X 20</v>
      </c>
      <c r="F283" s="3" t="str">
        <f>_xlfn.XLOOKUP(E283,Product_List!$B$2:$B$61,Product_List!$E$2:$E$61,2)</f>
        <v>BestParts</v>
      </c>
      <c r="G283" s="3" t="str">
        <f>VLOOKUP(E283,Product_List!$B$2:$C$61,2,FALSE)</f>
        <v>Software</v>
      </c>
      <c r="H283" s="3" t="str">
        <f>SUBSTITUTE(SUBSTITUTE('Sales_RAW(BEFORE)'!G291,"kom",""),".","")</f>
        <v>27</v>
      </c>
      <c r="I283" s="6">
        <f>VLOOKUP(E283,Product_List!$B$2:$D$61,3,FALSE)</f>
        <v>635.44000000000005</v>
      </c>
      <c r="J283" s="5">
        <f>IF(IFERROR(VALUE(SUBSTITUTE(SUBSTITUTE(TRIM('Sales_RAW(BEFORE)'!I291), "%", ""), ",", ".")), 0) &gt; 1, IFERROR(VALUE(SUBSTITUTE(SUBSTITUTE(TRIM('Sales_RAW(BEFORE)'!I291), "%", ""), ",", ".")), 0) / 100, IFERROR(VALUE(SUBSTITUTE(SUBSTITUTE(TRIM('Sales_RAW(BEFORE)'!I291), "%", ""), ",", ".")), 0))</f>
        <v>0.1</v>
      </c>
      <c r="K283" s="6">
        <f t="shared" si="22"/>
        <v>17156.88</v>
      </c>
      <c r="L283" s="6" t="str" cm="1">
        <f t="array" ref="L283">_xlfn.LET(
  _xlpm.valuta, UPPER(TRIM('Sales_RAW(BEFORE)'!K291)),
  _xlfn.IFS(
    _xlpm.valuta = "", "",
    OR(_xlpm.valuta = "USD", _xlpm.valuta = "$"), "$",
    OR(_xlpm.valuta = "EUR", _xlpm.valuta = "€"), "€",
    TRUE, _xlpm.valuta
  )
)</f>
        <v>$</v>
      </c>
      <c r="M283" s="3" t="str">
        <f>"E" &amp; TEXT(VALUE(SUBSTITUTE(SUBSTITUTE(SUBSTITUTE(UPPER(TRIM('Sales_RAW(BEFORE)'!L291)), "EMP", ""), "E", ""), "-", "")),"000")</f>
        <v>E011</v>
      </c>
      <c r="N283" s="3" t="str">
        <f>_xlfn.XLOOKUP(M283,Employees!$D$2:$D$26,Employees!$A$2:$A$26)</f>
        <v>Michael Taylor</v>
      </c>
      <c r="O283" s="3" t="str">
        <f>_xlfn.XLOOKUP(N283,Employees!$A$2:$A$26,Employees!$C$2:$C$26,2)</f>
        <v>Wholesale</v>
      </c>
      <c r="P283" s="3" t="str">
        <f>PROPER('Sales_RAW(BEFORE)'!N291)</f>
        <v>North</v>
      </c>
      <c r="Q283" s="3" t="str">
        <f>VLOOKUP(N283,Employees!$A$2:$B$26,2,FALSE)</f>
        <v>Boston</v>
      </c>
      <c r="R283" s="3" t="str">
        <f>PROPER('Sales_RAW(BEFORE)'!P291)</f>
        <v>Vortex Ltd.</v>
      </c>
      <c r="S283" s="3" t="str">
        <f>SUBSTITUTE(SUBSTITUTE('Sales_RAW(BEFORE)'!Q291,"EIN",""),":","")</f>
        <v>155867731</v>
      </c>
      <c r="T283" s="3" t="s">
        <v>1984</v>
      </c>
      <c r="U283" s="3" t="s">
        <v>4534</v>
      </c>
      <c r="V283" s="3" t="s">
        <v>4535</v>
      </c>
      <c r="W283" s="3" t="s">
        <v>4536</v>
      </c>
      <c r="X283" s="3" t="s">
        <v>173</v>
      </c>
      <c r="Y283" s="3" t="str">
        <f>PROPER('Sales_RAW(BEFORE)'!W291)</f>
        <v>Credit Card</v>
      </c>
      <c r="Z283" s="3" t="str">
        <f>PROPER('Sales_RAW(BEFORE)'!X291)</f>
        <v>Delivered</v>
      </c>
      <c r="AA283" s="3" t="str" cm="1">
        <f t="array" ref="AA283">_xlfn.LET(
  _xlpm.val, TRIM(LOWER('Sales_RAW(BEFORE)'!Y291)),
  _xlfn.IFS(
    OR(_xlpm.val="yes", _xlpm.val="paid"), "Paid",
    OR(_xlpm.val="no", _xlpm.val="unpaid"), "Unpaid",
    OR(_xlpm.val="partial", _xlpm.val="partial paid"), "Partial",
    _xlpm.val="", "",
    TRUE, 'Sales_RAW(BEFORE)'!AY291
  )
)</f>
        <v>Unpaid</v>
      </c>
      <c r="AB283" s="3" t="s">
        <v>4537</v>
      </c>
      <c r="AC283" s="3" t="str">
        <f>PROPER('Sales_RAW(BEFORE)'!AA291)</f>
        <v>Web</v>
      </c>
      <c r="AD283" s="3" t="str">
        <f>SUBSTITUTE(SUBSTITUTE(SUBSTITUTE(SUBSTITUTE('Sales_RAW(BEFORE)'!AB291,"st",""),"q",""),"Q",""),"uarter","")</f>
        <v>4</v>
      </c>
      <c r="AE283" s="3" t="str">
        <f>TEXT(IFERROR(DATEVALUE('Sales_RAW(BEFORE)'!AC291 &amp; " 1"), IFERROR(DATE(2025, 'Sales_RAW(BEFORE)'!AC291, 1), 'Sales_RAW(BEFORE)'!AC291)), "mmmm")</f>
        <v>May</v>
      </c>
      <c r="AF283" s="3">
        <f>_xlfn.LET(
  _xlpm.raw, TRIM(SUBSTITUTE('Sales_RAW(BEFORE)'!AD291, "'", "")),
  _xlpm.num, IFERROR(VALUE(_xlpm.raw), 0),
  IF(_xlpm.num &lt; 100, 2000 + _xlpm.num, _xlpm.num)
)</f>
        <v>2025</v>
      </c>
      <c r="AG283" s="3" t="str">
        <f>PROPER('Sales_RAW(BEFORE)'!AE291)</f>
        <v>15</v>
      </c>
      <c r="AH283" s="3" cm="1">
        <f t="array" ref="AH283">_xlfn.LET(
  _xlpm.val, LOWER(TRIM('Sales_RAW(BEFORE)'!AF291)),
  _xlfn.IFS(
    OR(_xlpm.val="", _xlpm.val="null", _xlpm.val="N/A", _xlpm.val="-", _xlpm.val="#N/A"), 0,
    ISNUMBER('Sales_RAW(BEFORE)'!AF291), 'Sales_RAW(BEFORE)'!AF291,
    TRUE, IFERROR(_xlfn.NUMBERVALUE(_xlpm.val), 0)
  )
)</f>
        <v>52</v>
      </c>
      <c r="AI283" s="5">
        <f>IF(IFERROR(VALUE(SUBSTITUTE(SUBSTITUTE(TRIM('Sales_RAW(BEFORE)'!AG291), "%", ""), ",", ".")), 0) &gt; 1, IFERROR(VALUE(SUBSTITUTE(SUBSTITUTE(TRIM('Sales_RAW(BEFORE)'!AG291), "%", ""), ",", ".")), 0) / 100, IFERROR(VALUE(SUBSTITUTE(SUBSTITUTE(TRIM('Sales_RAW(BEFORE)'!AG291), "%", ""), ",", ".")), 0))</f>
        <v>0.08</v>
      </c>
      <c r="AJ283" s="6">
        <f t="shared" si="20"/>
        <v>1372.5504000000001</v>
      </c>
      <c r="AK283" s="6">
        <f t="shared" si="21"/>
        <v>18529.430400000001</v>
      </c>
      <c r="AL283" s="6">
        <f>IFERROR(VALUE(SUBSTITUTE(SUBSTITUTE(SUBSTITUTE('Sales_RAW(BEFORE)'!AJ291,"$",""),"USD",""),",",".")),0)</f>
        <v>30.62</v>
      </c>
      <c r="AM283" s="3" t="str">
        <f>SUBSTITUTE(SUBSTITUTE(PROPER('Sales_RAW(BEFORE)'!AK291), "Fed Ex", "FedEx"),"Fedex","FedEx")</f>
        <v>Ups</v>
      </c>
      <c r="AN283" s="3" t="s">
        <v>4539</v>
      </c>
      <c r="AO283" s="3" t="str">
        <f>SUBSTITUTE('Sales_RAW(BEFORE)'!AM291,"kg","")</f>
        <v>19.52</v>
      </c>
      <c r="AP283" s="3" t="str">
        <f>_xlfn.LET(
  _xlpm.raw, UPPER(TRIM('Sales_RAW(BEFORE)'!AN291)),
  _xlpm.clean, RIGHT(_xlpm.raw, 1),
  IF(OR(_xlpm.raw="", _xlpm.raw="null"), "N/A", _xlpm.clean)
)</f>
        <v>C</v>
      </c>
      <c r="AQ283" s="3">
        <v>206</v>
      </c>
      <c r="AR283" s="3" cm="1">
        <f t="array" ref="AR283">_xlfn.LET(
  _xlpm.raw, LOWER(TRIM('Sales_RAW(BEFORE)'!AP291)),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283" s="3"/>
      <c r="AT283" s="3"/>
      <c r="AU283" s="3"/>
      <c r="AV283" s="8">
        <f>IF(IFERROR(VALUE(SUBSTITUTE(SUBSTITUTE(TRIM('Sales_RAW(BEFORE)'!AT291), "%", ""), ",", ".")), 0) &gt; 1, IFERROR(VALUE(SUBSTITUTE(SUBSTITUTE(TRIM('Sales_RAW(BEFORE)'!AT291), "%", ""), ",", ".")), 0) / 100, IFERROR(VALUE(SUBSTITUTE(SUBSTITUTE(TRIM('Sales_RAW(BEFORE)'!AT291), "%", ""), ",", ".")), 0))</f>
        <v>0.18</v>
      </c>
      <c r="AW283" s="6">
        <f>BA283*(_xlfn.XLOOKUP(N283,Employees!$A$2:$A$26,Employees!$E$2:$E$26,2))</f>
        <v>277.94145600000002</v>
      </c>
      <c r="AX283" s="3" t="str">
        <f>PROPER('Sales_RAW(BEFORE)'!AV291)</f>
        <v xml:space="preserve"> Michael Wilson</v>
      </c>
      <c r="AY283" s="3" t="str">
        <f t="shared" si="23"/>
        <v xml:space="preserve"> Michael Wilson</v>
      </c>
      <c r="AZ283" s="3"/>
      <c r="BA283" s="24">
        <f>AK283*(1-(_xlfn.XLOOKUP(G283, Exchange_Rates!$B$8:$F$8, Exchange_Rates!$B$9:$F$9, 0)+J283))</f>
        <v>13897.072800000002</v>
      </c>
      <c r="BB283" s="7" cm="1">
        <f t="array" ref="BB283">_xlfn.LET(
  _xlpm.raw_dt, SUBSTITUTE(TRIM(C283), ".", "/"),
  _xlpm.dt, IFERROR(DATEVALUE(_xlpm.raw_dt), C283),
  _xlpm.p_code, TRIM(E283),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46393</v>
      </c>
      <c r="BC283" s="25">
        <f t="shared" si="24"/>
        <v>2501.4731040000001</v>
      </c>
    </row>
    <row r="284" spans="1:55" ht="15.75" thickBot="1" x14ac:dyDescent="0.3">
      <c r="A284" s="3" t="s">
        <v>4541</v>
      </c>
      <c r="B284" s="10">
        <v>45746</v>
      </c>
      <c r="C284" s="4" t="s">
        <v>142</v>
      </c>
      <c r="D284" s="3" t="str">
        <f>"P-" &amp; TEXT(VALUE(SUBSTITUTE(SUBSTITUTE(SUBSTITUTE(UPPER(TRIM('Sales_RAW(BEFORE)'!D293)), "P", ""), "-", ""), "_", "")),"000")</f>
        <v>P-043</v>
      </c>
      <c r="E284" s="3" t="str">
        <f>VLOOKUP(D284,Product_List!$A$2:$B$61,2,FALSE)</f>
        <v>Headphones X 43</v>
      </c>
      <c r="F284" s="3" t="str">
        <f>_xlfn.XLOOKUP(E284,Product_List!$B$2:$B$61,Product_List!$E$2:$E$61,2)</f>
        <v>Global Distrib</v>
      </c>
      <c r="G284" s="3" t="str">
        <f>VLOOKUP(E284,Product_List!$B$2:$C$61,2,FALSE)</f>
        <v>Equipment</v>
      </c>
      <c r="H284" s="3" t="str">
        <f>SUBSTITUTE(SUBSTITUTE('Sales_RAW(BEFORE)'!G293,"kom",""),".","")</f>
        <v xml:space="preserve">28 </v>
      </c>
      <c r="I284" s="6">
        <f>VLOOKUP(E284,Product_List!$B$2:$D$61,3,FALSE)</f>
        <v>156.69</v>
      </c>
      <c r="J284" s="5">
        <f>IF(IFERROR(VALUE(SUBSTITUTE(SUBSTITUTE(TRIM('Sales_RAW(BEFORE)'!I293), "%", ""), ",", ".")), 0) &gt; 1, IFERROR(VALUE(SUBSTITUTE(SUBSTITUTE(TRIM('Sales_RAW(BEFORE)'!I293), "%", ""), ",", ".")), 0) / 100, IFERROR(VALUE(SUBSTITUTE(SUBSTITUTE(TRIM('Sales_RAW(BEFORE)'!I293), "%", ""), ",", ".")), 0))</f>
        <v>0.05</v>
      </c>
      <c r="K284" s="6">
        <f>(H284*I284)/(HLOOKUP(AE284,Exchange_Rates!$B$1:$M$2,2,FALSE))</f>
        <v>4717.5483870967737</v>
      </c>
      <c r="L284" s="6" t="str" cm="1">
        <f t="array" ref="L284">_xlfn.LET(
  _xlpm.valuta, UPPER(TRIM('Sales_RAW(BEFORE)'!K293)),
  _xlfn.IFS(
    _xlpm.valuta = "", "",
    OR(_xlpm.valuta = "USD", _xlpm.valuta = "$"), "$",
    OR(_xlpm.valuta = "EUR", _xlpm.valuta = "€"), "€",
    TRUE, _xlpm.valuta
  )
)</f>
        <v>€</v>
      </c>
      <c r="M284" s="3" t="str">
        <f>"E" &amp; TEXT(VALUE(SUBSTITUTE(SUBSTITUTE(SUBSTITUTE(UPPER(TRIM('Sales_RAW(BEFORE)'!L293)), "EMP", ""), "E", ""), "-", "")),"000")</f>
        <v>E023</v>
      </c>
      <c r="N284" s="3" t="str">
        <f>_xlfn.XLOOKUP(M284,Employees!$D$2:$D$26,Employees!$A$2:$A$26)</f>
        <v>Laura Anderson</v>
      </c>
      <c r="O284" s="3" t="str">
        <f>_xlfn.XLOOKUP(N284,Employees!$A$2:$A$26,Employees!$C$2:$C$26,2)</f>
        <v>Sales</v>
      </c>
      <c r="P284" s="3" t="str">
        <f>PROPER('Sales_RAW(BEFORE)'!N293)</f>
        <v>West</v>
      </c>
      <c r="Q284" s="3" t="str">
        <f>VLOOKUP(N284,Employees!$A$2:$B$26,2,FALSE)</f>
        <v>Seattle</v>
      </c>
      <c r="R284" s="3" t="str">
        <f>PROPER('Sales_RAW(BEFORE)'!P293)</f>
        <v xml:space="preserve">  Initech Inc.</v>
      </c>
      <c r="S284" s="3" t="str">
        <f>SUBSTITUTE(SUBSTITUTE('Sales_RAW(BEFORE)'!Q293,"EIN",""),":","")</f>
        <v>671697376</v>
      </c>
      <c r="T284" s="3" t="s">
        <v>2076</v>
      </c>
      <c r="U284" s="3" t="s">
        <v>4545</v>
      </c>
      <c r="V284" s="3" t="s">
        <v>4546</v>
      </c>
      <c r="W284" s="3" t="s">
        <v>4547</v>
      </c>
      <c r="X284" s="3" t="s">
        <v>173</v>
      </c>
      <c r="Y284" s="3" t="str">
        <f>PROPER('Sales_RAW(BEFORE)'!W293)</f>
        <v>Cash</v>
      </c>
      <c r="Z284" s="3" t="str">
        <f>PROPER('Sales_RAW(BEFORE)'!X293)</f>
        <v>Cancelled</v>
      </c>
      <c r="AA284" s="3" t="str" cm="1">
        <f t="array" ref="AA284">_xlfn.LET(
  _xlpm.val, TRIM(LOWER('Sales_RAW(BEFORE)'!Y293)),
  _xlfn.IFS(
    OR(_xlpm.val="yes", _xlpm.val="paid"), "Paid",
    OR(_xlpm.val="no", _xlpm.val="unpaid"), "Unpaid",
    OR(_xlpm.val="partial", _xlpm.val="partial paid"), "Partial",
    _xlpm.val="", "",
    TRUE, 'Sales_RAW(BEFORE)'!AY293
  )
)</f>
        <v>Unpaid</v>
      </c>
      <c r="AB284" s="3" t="s">
        <v>4548</v>
      </c>
      <c r="AC284" s="3" t="str">
        <f>PROPER('Sales_RAW(BEFORE)'!AA293)</f>
        <v>Phone</v>
      </c>
      <c r="AD284" s="3" t="str">
        <f>SUBSTITUTE(SUBSTITUTE(SUBSTITUTE(SUBSTITUTE('Sales_RAW(BEFORE)'!AB293,"st",""),"q",""),"Q",""),"uarter","")</f>
        <v>2</v>
      </c>
      <c r="AE284" s="3" t="str">
        <f>TEXT(IFERROR(DATEVALUE('Sales_RAW(BEFORE)'!AC293 &amp; " 1"), IFERROR(DATE(2025, 'Sales_RAW(BEFORE)'!AC293, 1), 'Sales_RAW(BEFORE)'!AC293)), "mmmm")</f>
        <v>March</v>
      </c>
      <c r="AF284" s="3">
        <f>_xlfn.LET(
  _xlpm.raw, TRIM(SUBSTITUTE('Sales_RAW(BEFORE)'!AD293, "'", "")),
  _xlpm.num, IFERROR(VALUE(_xlpm.raw), 0),
  IF(_xlpm.num &lt; 100, 2000 + _xlpm.num, _xlpm.num)
)</f>
        <v>2025</v>
      </c>
      <c r="AG284" s="3" t="str">
        <f>PROPER('Sales_RAW(BEFORE)'!AE293)</f>
        <v>Net 60</v>
      </c>
      <c r="AH284" s="3" cm="1">
        <f t="array" ref="AH284">_xlfn.LET(
  _xlpm.val, LOWER(TRIM('Sales_RAW(BEFORE)'!AF293)),
  _xlfn.IFS(
    OR(_xlpm.val="", _xlpm.val="null", _xlpm.val="N/A", _xlpm.val="-", _xlpm.val="#N/A"), 0,
    ISNUMBER('Sales_RAW(BEFORE)'!AF293), 'Sales_RAW(BEFORE)'!AF293,
    TRUE, IFERROR(_xlfn.NUMBERVALUE(_xlpm.val), 0)
  )
)</f>
        <v>0</v>
      </c>
      <c r="AI284" s="5">
        <f>IF(IFERROR(VALUE(SUBSTITUTE(SUBSTITUTE(TRIM('Sales_RAW(BEFORE)'!AG293), "%", ""), ",", ".")), 0) &gt; 1, IFERROR(VALUE(SUBSTITUTE(SUBSTITUTE(TRIM('Sales_RAW(BEFORE)'!AG293), "%", ""), ",", ".")), 0) / 100, IFERROR(VALUE(SUBSTITUTE(SUBSTITUTE(TRIM('Sales_RAW(BEFORE)'!AG293), "%", ""), ",", ".")), 0))</f>
        <v>0.08</v>
      </c>
      <c r="AJ284" s="6">
        <f t="shared" si="20"/>
        <v>377.40387096774191</v>
      </c>
      <c r="AK284" s="6">
        <f t="shared" si="21"/>
        <v>5094.9522580645153</v>
      </c>
      <c r="AL284" s="6">
        <f>IFERROR(VALUE(SUBSTITUTE(SUBSTITUTE(SUBSTITUTE('Sales_RAW(BEFORE)'!AJ293,"$",""),"USD",""),",",".")),0)</f>
        <v>0</v>
      </c>
      <c r="AM284" s="3" t="str">
        <f>SUBSTITUTE(SUBSTITUTE(PROPER('Sales_RAW(BEFORE)'!AK293), "Fed Ex", "FedEx"),"Fedex","FedEx")</f>
        <v>Ups</v>
      </c>
      <c r="AN284" s="3" t="s">
        <v>4549</v>
      </c>
      <c r="AO284" s="3" t="str">
        <f>SUBSTITUTE('Sales_RAW(BEFORE)'!AM293,"kg","")</f>
        <v xml:space="preserve">11.0 </v>
      </c>
      <c r="AP284" s="3" t="str">
        <f>_xlfn.LET(
  _xlpm.raw, UPPER(TRIM('Sales_RAW(BEFORE)'!AN293)),
  _xlpm.clean, RIGHT(_xlpm.raw, 1),
  IF(OR(_xlpm.raw="", _xlpm.raw="null"), "N/A", _xlpm.clean)
)</f>
        <v>B</v>
      </c>
      <c r="AQ284" s="3">
        <v>342</v>
      </c>
      <c r="AR284" s="3" cm="1">
        <f t="array" ref="AR284">_xlfn.LET(
  _xlpm.raw, LOWER(TRIM('Sales_RAW(BEFORE)'!AP293)),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284" s="3"/>
      <c r="AT284" s="3"/>
      <c r="AU284" s="3"/>
      <c r="AV284" s="8">
        <f>IF(IFERROR(VALUE(SUBSTITUTE(SUBSTITUTE(TRIM('Sales_RAW(BEFORE)'!AT293), "%", ""), ",", ".")), 0) &gt; 1, IFERROR(VALUE(SUBSTITUTE(SUBSTITUTE(TRIM('Sales_RAW(BEFORE)'!AT293), "%", ""), ",", ".")), 0) / 100, IFERROR(VALUE(SUBSTITUTE(SUBSTITUTE(TRIM('Sales_RAW(BEFORE)'!AT293), "%", ""), ",", ".")), 0))</f>
        <v>0.15</v>
      </c>
      <c r="AW284" s="6">
        <f>BA284*(_xlfn.XLOOKUP(N284,Employees!$A$2:$A$26,Employees!$E$2:$E$26,2))</f>
        <v>86.61418838709676</v>
      </c>
      <c r="AX284" s="3" t="str">
        <f>PROPER('Sales_RAW(BEFORE)'!AV293)</f>
        <v xml:space="preserve">Michael Anderson   </v>
      </c>
      <c r="AY284" s="3" t="str">
        <f t="shared" si="23"/>
        <v xml:space="preserve">Michael Anderson   </v>
      </c>
      <c r="AZ284" s="3"/>
      <c r="BA284" s="24">
        <f>AK284*(1-(_xlfn.XLOOKUP(G284, Exchange_Rates!$B$8:$F$8, Exchange_Rates!$B$9:$F$9, 0)+J284))</f>
        <v>4330.7094193548382</v>
      </c>
      <c r="BB284" s="7" t="str" cm="1">
        <f t="array" ref="BB284">_xlfn.LET(
  _xlpm.raw_dt, SUBSTITUTE(TRIM(C284), ".", "/"),
  _xlpm.dt, IFERROR(DATEVALUE(_xlpm.raw_dt), C284),
  _xlpm.p_code, TRIM(E284),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Empty</v>
      </c>
      <c r="BC284" s="25">
        <f t="shared" si="24"/>
        <v>649.60641290322576</v>
      </c>
    </row>
    <row r="285" spans="1:55" ht="15.75" thickBot="1" x14ac:dyDescent="0.3">
      <c r="A285" s="3" t="s">
        <v>4551</v>
      </c>
      <c r="B285" s="10">
        <v>45846</v>
      </c>
      <c r="C285" s="4">
        <v>45999</v>
      </c>
      <c r="D285" s="3" t="str">
        <f>"P-" &amp; TEXT(VALUE(SUBSTITUTE(SUBSTITUTE(SUBSTITUTE(UPPER(TRIM('Sales_RAW(BEFORE)'!D294)), "P", ""), "-", ""), "_", "")),"000")</f>
        <v>P-043</v>
      </c>
      <c r="E285" s="3" t="str">
        <f>VLOOKUP(D285,Product_List!$A$2:$B$61,2,FALSE)</f>
        <v>Headphones X 43</v>
      </c>
      <c r="F285" s="3" t="str">
        <f>_xlfn.XLOOKUP(E285,Product_List!$B$2:$B$61,Product_List!$E$2:$E$61,2)</f>
        <v>Global Distrib</v>
      </c>
      <c r="G285" s="3" t="str">
        <f>VLOOKUP(E285,Product_List!$B$2:$C$61,2,FALSE)</f>
        <v>Equipment</v>
      </c>
      <c r="H285" s="3" t="str">
        <f>SUBSTITUTE(SUBSTITUTE('Sales_RAW(BEFORE)'!G294,"kom",""),".","")</f>
        <v>11</v>
      </c>
      <c r="I285" s="6">
        <f>VLOOKUP(E285,Product_List!$B$2:$D$61,3,FALSE)</f>
        <v>156.69</v>
      </c>
      <c r="J285" s="5">
        <f>IF(IFERROR(VALUE(SUBSTITUTE(SUBSTITUTE(TRIM('Sales_RAW(BEFORE)'!I294), "%", ""), ",", ".")), 0) &gt; 1, IFERROR(VALUE(SUBSTITUTE(SUBSTITUTE(TRIM('Sales_RAW(BEFORE)'!I294), "%", ""), ",", ".")), 0) / 100, IFERROR(VALUE(SUBSTITUTE(SUBSTITUTE(TRIM('Sales_RAW(BEFORE)'!I294), "%", ""), ",", ".")), 0))</f>
        <v>0.1</v>
      </c>
      <c r="K285" s="6">
        <f t="shared" si="22"/>
        <v>1723.59</v>
      </c>
      <c r="L285" s="6" t="str" cm="1">
        <f t="array" ref="L285">_xlfn.LET(
  _xlpm.valuta, UPPER(TRIM('Sales_RAW(BEFORE)'!K294)),
  _xlfn.IFS(
    _xlpm.valuta = "", "",
    OR(_xlpm.valuta = "USD", _xlpm.valuta = "$"), "$",
    OR(_xlpm.valuta = "EUR", _xlpm.valuta = "€"), "€",
    TRUE, _xlpm.valuta
  )
)</f>
        <v>$</v>
      </c>
      <c r="M285" s="3" t="str">
        <f>"E" &amp; TEXT(VALUE(SUBSTITUTE(SUBSTITUTE(SUBSTITUTE(UPPER(TRIM('Sales_RAW(BEFORE)'!L294)), "EMP", ""), "E", ""), "-", "")),"000")</f>
        <v>E011</v>
      </c>
      <c r="N285" s="3" t="str">
        <f>_xlfn.XLOOKUP(M285,Employees!$D$2:$D$26,Employees!$A$2:$A$26)</f>
        <v>Michael Taylor</v>
      </c>
      <c r="O285" s="3" t="str">
        <f>_xlfn.XLOOKUP(N285,Employees!$A$2:$A$26,Employees!$C$2:$C$26,2)</f>
        <v>Wholesale</v>
      </c>
      <c r="P285" s="3" t="str">
        <f>PROPER('Sales_RAW(BEFORE)'!N294)</f>
        <v>North</v>
      </c>
      <c r="Q285" s="3" t="str">
        <f>VLOOKUP(N285,Employees!$A$2:$B$26,2,FALSE)</f>
        <v>Boston</v>
      </c>
      <c r="R285" s="3" t="str">
        <f>PROPER('Sales_RAW(BEFORE)'!P294)</f>
        <v>Acme Inc</v>
      </c>
      <c r="S285" s="3" t="str">
        <f>SUBSTITUTE(SUBSTITUTE('Sales_RAW(BEFORE)'!Q294,"EIN",""),":","")</f>
        <v>543176412</v>
      </c>
      <c r="T285" s="3" t="s">
        <v>1502</v>
      </c>
      <c r="U285" s="3" t="s">
        <v>4555</v>
      </c>
      <c r="V285" s="3" t="s">
        <v>4556</v>
      </c>
      <c r="W285" s="3" t="s">
        <v>4557</v>
      </c>
      <c r="X285" s="3" t="s">
        <v>173</v>
      </c>
      <c r="Y285" s="3" t="str">
        <f>PROPER('Sales_RAW(BEFORE)'!W294)</f>
        <v>Wire Transfer</v>
      </c>
      <c r="Z285" s="3" t="str">
        <f>PROPER('Sales_RAW(BEFORE)'!X294)</f>
        <v>Cancelled</v>
      </c>
      <c r="AA285" s="3" t="str" cm="1">
        <f t="array" ref="AA285">_xlfn.LET(
  _xlpm.val, TRIM(LOWER('Sales_RAW(BEFORE)'!Y294)),
  _xlfn.IFS(
    OR(_xlpm.val="yes", _xlpm.val="paid"), "Paid",
    OR(_xlpm.val="no", _xlpm.val="unpaid"), "Unpaid",
    OR(_xlpm.val="partial", _xlpm.val="partial paid"), "Partial",
    _xlpm.val="", "",
    TRUE, 'Sales_RAW(BEFORE)'!AY294
  )
)</f>
        <v>Paid</v>
      </c>
      <c r="AB285" s="3" t="s">
        <v>4558</v>
      </c>
      <c r="AC285" s="3" t="str">
        <f>PROPER('Sales_RAW(BEFORE)'!AA294)</f>
        <v>Online</v>
      </c>
      <c r="AD285" s="3" t="str">
        <f>SUBSTITUTE(SUBSTITUTE(SUBSTITUTE(SUBSTITUTE('Sales_RAW(BEFORE)'!AB294,"st",""),"q",""),"Q",""),"uarter","")</f>
        <v>1</v>
      </c>
      <c r="AE285" s="3" t="str">
        <f>TEXT(IFERROR(DATEVALUE('Sales_RAW(BEFORE)'!AC294 &amp; " 1"), IFERROR(DATE(2025, 'Sales_RAW(BEFORE)'!AC294, 1), 'Sales_RAW(BEFORE)'!AC294)), "mmmm")</f>
        <v>August</v>
      </c>
      <c r="AF285" s="3">
        <f>_xlfn.LET(
  _xlpm.raw, TRIM(SUBSTITUTE('Sales_RAW(BEFORE)'!AD294, "'", "")),
  _xlpm.num, IFERROR(VALUE(_xlpm.raw), 0),
  IF(_xlpm.num &lt; 100, 2000 + _xlpm.num, _xlpm.num)
)</f>
        <v>2025</v>
      </c>
      <c r="AG285" s="3" t="str">
        <f>PROPER('Sales_RAW(BEFORE)'!AE294)</f>
        <v>Immediate</v>
      </c>
      <c r="AH285" s="3" cm="1">
        <f t="array" ref="AH285">_xlfn.LET(
  _xlpm.val, LOWER(TRIM('Sales_RAW(BEFORE)'!AF294)),
  _xlfn.IFS(
    OR(_xlpm.val="", _xlpm.val="null", _xlpm.val="N/A", _xlpm.val="-", _xlpm.val="#N/A"), 0,
    ISNUMBER('Sales_RAW(BEFORE)'!AF294), 'Sales_RAW(BEFORE)'!AF294,
    TRUE, IFERROR(_xlfn.NUMBERVALUE(_xlpm.val), 0)
  )
)</f>
        <v>1</v>
      </c>
      <c r="AI285" s="5">
        <f>IF(IFERROR(VALUE(SUBSTITUTE(SUBSTITUTE(TRIM('Sales_RAW(BEFORE)'!AG294), "%", ""), ",", ".")), 0) &gt; 1, IFERROR(VALUE(SUBSTITUTE(SUBSTITUTE(TRIM('Sales_RAW(BEFORE)'!AG294), "%", ""), ",", ".")), 0) / 100, IFERROR(VALUE(SUBSTITUTE(SUBSTITUTE(TRIM('Sales_RAW(BEFORE)'!AG294), "%", ""), ",", ".")), 0))</f>
        <v>0.08</v>
      </c>
      <c r="AJ285" s="6">
        <f t="shared" si="20"/>
        <v>137.88720000000001</v>
      </c>
      <c r="AK285" s="6">
        <f t="shared" si="21"/>
        <v>1861.4771999999998</v>
      </c>
      <c r="AL285" s="6">
        <f>IFERROR(VALUE(SUBSTITUTE(SUBSTITUTE(SUBSTITUTE('Sales_RAW(BEFORE)'!AJ294,"$",""),"USD",""),",",".")),0)</f>
        <v>31</v>
      </c>
      <c r="AM285" s="3" t="str">
        <f>SUBSTITUTE(SUBSTITUTE(PROPER('Sales_RAW(BEFORE)'!AK294), "Fed Ex", "FedEx"),"Fedex","FedEx")</f>
        <v>Ups</v>
      </c>
      <c r="AN285" s="3" t="s">
        <v>4559</v>
      </c>
      <c r="AO285" s="3" t="str">
        <f>SUBSTITUTE('Sales_RAW(BEFORE)'!AM294,"kg","")</f>
        <v xml:space="preserve">24.8 </v>
      </c>
      <c r="AP285" s="3" t="str">
        <f>_xlfn.LET(
  _xlpm.raw, UPPER(TRIM('Sales_RAW(BEFORE)'!AN294)),
  _xlpm.clean, RIGHT(_xlpm.raw, 1),
  IF(OR(_xlpm.raw="", _xlpm.raw="null"), "N/A", _xlpm.clean)
)</f>
        <v>A</v>
      </c>
      <c r="AQ285" s="3">
        <v>261</v>
      </c>
      <c r="AR285" s="3" cm="1">
        <f t="array" ref="AR285">_xlfn.LET(
  _xlpm.raw, LOWER(TRIM('Sales_RAW(BEFORE)'!AP294)),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285" s="3"/>
      <c r="AT285" s="3"/>
      <c r="AU285" s="3"/>
      <c r="AV285" s="8">
        <f>IF(IFERROR(VALUE(SUBSTITUTE(SUBSTITUTE(TRIM('Sales_RAW(BEFORE)'!AT294), "%", ""), ",", ".")), 0) &gt; 1, IFERROR(VALUE(SUBSTITUTE(SUBSTITUTE(TRIM('Sales_RAW(BEFORE)'!AT294), "%", ""), ",", ".")), 0) / 100, IFERROR(VALUE(SUBSTITUTE(SUBSTITUTE(TRIM('Sales_RAW(BEFORE)'!AT294), "%", ""), ",", ".")), 0))</f>
        <v>0.18</v>
      </c>
      <c r="AW285" s="6">
        <f>BA285*(_xlfn.XLOOKUP(N285,Employees!$A$2:$A$26,Employees!$E$2:$E$26,2))</f>
        <v>29.783635199999999</v>
      </c>
      <c r="AX285" s="3" t="str">
        <f>PROPER('Sales_RAW(BEFORE)'!AV294)</f>
        <v xml:space="preserve"> Daniel Williams</v>
      </c>
      <c r="AY285" s="3" t="str">
        <f t="shared" si="23"/>
        <v xml:space="preserve"> Daniel Williams</v>
      </c>
      <c r="AZ285" s="3"/>
      <c r="BA285" s="24">
        <f>AK285*(1-(_xlfn.XLOOKUP(G285, Exchange_Rates!$B$8:$F$8, Exchange_Rates!$B$9:$F$9, 0)+J285))</f>
        <v>1489.1817599999999</v>
      </c>
      <c r="BB285" s="7" cm="1">
        <f t="array" ref="BB285">_xlfn.LET(
  _xlpm.raw_dt, SUBSTITUTE(TRIM(C285), ".", "/"),
  _xlpm.dt, IFERROR(DATEVALUE(_xlpm.raw_dt), C285),
  _xlpm.p_code, TRIM(E285),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46364</v>
      </c>
      <c r="BC285" s="25">
        <f t="shared" si="24"/>
        <v>268.05271679999998</v>
      </c>
    </row>
    <row r="286" spans="1:55" ht="15.75" thickBot="1" x14ac:dyDescent="0.3">
      <c r="A286" s="3" t="s">
        <v>4562</v>
      </c>
      <c r="B286" s="10">
        <v>45784</v>
      </c>
      <c r="C286" s="4">
        <v>45796</v>
      </c>
      <c r="D286" s="3" t="str">
        <f>"P-" &amp; TEXT(VALUE(SUBSTITUTE(SUBSTITUTE(SUBSTITUTE(UPPER(TRIM('Sales_RAW(BEFORE)'!D295)), "P", ""), "-", ""), "_", "")),"000")</f>
        <v>P-021</v>
      </c>
      <c r="E286" s="3" t="str">
        <f>VLOOKUP(D286,Product_List!$A$2:$B$61,2,FALSE)</f>
        <v>Monitor Max 21</v>
      </c>
      <c r="F286" s="3" t="str">
        <f>_xlfn.XLOOKUP(E286,Product_List!$B$2:$B$61,Product_List!$E$2:$E$61,2)</f>
        <v>OfficeHub</v>
      </c>
      <c r="G286" s="3" t="str">
        <f>VLOOKUP(E286,Product_List!$B$2:$C$61,2,FALSE)</f>
        <v>Equipment</v>
      </c>
      <c r="H286" s="3" t="str">
        <f>SUBSTITUTE(SUBSTITUTE('Sales_RAW(BEFORE)'!G295,"kom",""),".","")</f>
        <v xml:space="preserve">29 </v>
      </c>
      <c r="I286" s="6">
        <f>VLOOKUP(E286,Product_List!$B$2:$D$61,3,FALSE)</f>
        <v>1184.7</v>
      </c>
      <c r="J286" s="5">
        <f>IF(IFERROR(VALUE(SUBSTITUTE(SUBSTITUTE(TRIM('Sales_RAW(BEFORE)'!I295), "%", ""), ",", ".")), 0) &gt; 1, IFERROR(VALUE(SUBSTITUTE(SUBSTITUTE(TRIM('Sales_RAW(BEFORE)'!I295), "%", ""), ",", ".")), 0) / 100, IFERROR(VALUE(SUBSTITUTE(SUBSTITUTE(TRIM('Sales_RAW(BEFORE)'!I295), "%", ""), ",", ".")), 0))</f>
        <v>0.1</v>
      </c>
      <c r="K286" s="6">
        <f t="shared" si="22"/>
        <v>34356.300000000003</v>
      </c>
      <c r="L286" s="6" t="str" cm="1">
        <f t="array" ref="L286">_xlfn.LET(
  _xlpm.valuta, UPPER(TRIM('Sales_RAW(BEFORE)'!K295)),
  _xlfn.IFS(
    _xlpm.valuta = "", "",
    OR(_xlpm.valuta = "USD", _xlpm.valuta = "$"), "$",
    OR(_xlpm.valuta = "EUR", _xlpm.valuta = "€"), "€",
    TRUE, _xlpm.valuta
  )
)</f>
        <v>$</v>
      </c>
      <c r="M286" s="3" t="str">
        <f>"E" &amp; TEXT(VALUE(SUBSTITUTE(SUBSTITUTE(SUBSTITUTE(UPPER(TRIM('Sales_RAW(BEFORE)'!L295)), "EMP", ""), "E", ""), "-", "")),"000")</f>
        <v>E023</v>
      </c>
      <c r="N286" s="3" t="str">
        <f>_xlfn.XLOOKUP(M286,Employees!$D$2:$D$26,Employees!$A$2:$A$26)</f>
        <v>Laura Anderson</v>
      </c>
      <c r="O286" s="3" t="str">
        <f>_xlfn.XLOOKUP(N286,Employees!$A$2:$A$26,Employees!$C$2:$C$26,2)</f>
        <v>Sales</v>
      </c>
      <c r="P286" s="3" t="str">
        <f>PROPER('Sales_RAW(BEFORE)'!N295)</f>
        <v>East</v>
      </c>
      <c r="Q286" s="3" t="str">
        <f>VLOOKUP(N286,Employees!$A$2:$B$26,2,FALSE)</f>
        <v>Seattle</v>
      </c>
      <c r="R286" s="3" t="str">
        <f>PROPER('Sales_RAW(BEFORE)'!P295)</f>
        <v xml:space="preserve">Initech Inc  </v>
      </c>
      <c r="S286" s="3" t="str">
        <f>SUBSTITUTE(SUBSTITUTE('Sales_RAW(BEFORE)'!Q295,"EIN",""),":","")</f>
        <v>274699300</v>
      </c>
      <c r="T286" s="3" t="s">
        <v>702</v>
      </c>
      <c r="U286" s="3" t="s">
        <v>4568</v>
      </c>
      <c r="V286" s="3" t="s">
        <v>4569</v>
      </c>
      <c r="W286" s="3" t="s">
        <v>4570</v>
      </c>
      <c r="X286" s="3" t="s">
        <v>173</v>
      </c>
      <c r="Y286" s="3" t="str">
        <f>PROPER('Sales_RAW(BEFORE)'!W295)</f>
        <v>Cash</v>
      </c>
      <c r="Z286" s="3" t="str">
        <f>PROPER('Sales_RAW(BEFORE)'!X295)</f>
        <v>Processing</v>
      </c>
      <c r="AA286" s="3" t="str" cm="1">
        <f t="array" ref="AA286">_xlfn.LET(
  _xlpm.val, TRIM(LOWER('Sales_RAW(BEFORE)'!Y295)),
  _xlfn.IFS(
    OR(_xlpm.val="yes", _xlpm.val="paid"), "Paid",
    OR(_xlpm.val="no", _xlpm.val="unpaid"), "Unpaid",
    OR(_xlpm.val="partial", _xlpm.val="partial paid"), "Partial",
    _xlpm.val="", "",
    TRUE, 'Sales_RAW(BEFORE)'!AY295
  )
)</f>
        <v>Unpaid</v>
      </c>
      <c r="AB286" s="3" t="s">
        <v>4571</v>
      </c>
      <c r="AC286" s="3" t="str">
        <f>PROPER('Sales_RAW(BEFORE)'!AA295)</f>
        <v>Web</v>
      </c>
      <c r="AD286" s="3" t="str">
        <f>SUBSTITUTE(SUBSTITUTE(SUBSTITUTE(SUBSTITUTE('Sales_RAW(BEFORE)'!AB295,"st",""),"q",""),"Q",""),"uarter","")</f>
        <v>3</v>
      </c>
      <c r="AE286" s="3" t="str">
        <f>TEXT(IFERROR(DATEVALUE('Sales_RAW(BEFORE)'!AC295 &amp; " 1"), IFERROR(DATE(2025, 'Sales_RAW(BEFORE)'!AC295, 1), 'Sales_RAW(BEFORE)'!AC295)), "mmmm")</f>
        <v>May</v>
      </c>
      <c r="AF286" s="3">
        <f>_xlfn.LET(
  _xlpm.raw, TRIM(SUBSTITUTE('Sales_RAW(BEFORE)'!AD295, "'", "")),
  _xlpm.num, IFERROR(VALUE(_xlpm.raw), 0),
  IF(_xlpm.num &lt; 100, 2000 + _xlpm.num, _xlpm.num)
)</f>
        <v>2025</v>
      </c>
      <c r="AG286" s="3" t="str">
        <f>PROPER('Sales_RAW(BEFORE)'!AE295)</f>
        <v>Immediate</v>
      </c>
      <c r="AH286" s="3" cm="1">
        <f t="array" ref="AH286">_xlfn.LET(
  _xlpm.val, LOWER(TRIM('Sales_RAW(BEFORE)'!AF295)),
  _xlfn.IFS(
    OR(_xlpm.val="", _xlpm.val="null", _xlpm.val="N/A", _xlpm.val="-", _xlpm.val="#N/A"), 0,
    ISNUMBER('Sales_RAW(BEFORE)'!AF295), 'Sales_RAW(BEFORE)'!AF295,
    TRUE, IFERROR(_xlfn.NUMBERVALUE(_xlpm.val), 0)
  )
)</f>
        <v>40</v>
      </c>
      <c r="AI286" s="5">
        <f>IF(IFERROR(VALUE(SUBSTITUTE(SUBSTITUTE(TRIM('Sales_RAW(BEFORE)'!AG295), "%", ""), ",", ".")), 0) &gt; 1, IFERROR(VALUE(SUBSTITUTE(SUBSTITUTE(TRIM('Sales_RAW(BEFORE)'!AG295), "%", ""), ",", ".")), 0) / 100, IFERROR(VALUE(SUBSTITUTE(SUBSTITUTE(TRIM('Sales_RAW(BEFORE)'!AG295), "%", ""), ",", ".")), 0))</f>
        <v>0.08</v>
      </c>
      <c r="AJ286" s="6">
        <f t="shared" si="20"/>
        <v>2748.5040000000004</v>
      </c>
      <c r="AK286" s="6">
        <f t="shared" si="21"/>
        <v>37104.804000000004</v>
      </c>
      <c r="AL286" s="6">
        <f>IFERROR(VALUE(SUBSTITUTE(SUBSTITUTE(SUBSTITUTE('Sales_RAW(BEFORE)'!AJ295,"$",""),"USD",""),",",".")),0)</f>
        <v>13.29</v>
      </c>
      <c r="AM286" s="3" t="str">
        <f>SUBSTITUTE(SUBSTITUTE(PROPER('Sales_RAW(BEFORE)'!AK295), "Fed Ex", "FedEx"),"Fedex","FedEx")</f>
        <v>Ups</v>
      </c>
      <c r="AN286" s="3" t="s">
        <v>4573</v>
      </c>
      <c r="AO286" s="3" t="str">
        <f>SUBSTITUTE('Sales_RAW(BEFORE)'!AM295,"kg","")</f>
        <v>8.33</v>
      </c>
      <c r="AP286" s="3" t="str">
        <f>_xlfn.LET(
  _xlpm.raw, UPPER(TRIM('Sales_RAW(BEFORE)'!AN295)),
  _xlpm.clean, RIGHT(_xlpm.raw, 1),
  IF(OR(_xlpm.raw="", _xlpm.raw="null"), "N/A", _xlpm.clean)
)</f>
        <v>B</v>
      </c>
      <c r="AQ286" s="3">
        <v>298</v>
      </c>
      <c r="AR286" s="3" cm="1">
        <f t="array" ref="AR286">_xlfn.LET(
  _xlpm.raw, LOWER(TRIM('Sales_RAW(BEFORE)'!AP295)),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286" s="3"/>
      <c r="AT286" s="3"/>
      <c r="AU286" s="3"/>
      <c r="AV286" s="8">
        <f>IF(IFERROR(VALUE(SUBSTITUTE(SUBSTITUTE(TRIM('Sales_RAW(BEFORE)'!AT295), "%", ""), ",", ".")), 0) &gt; 1, IFERROR(VALUE(SUBSTITUTE(SUBSTITUTE(TRIM('Sales_RAW(BEFORE)'!AT295), "%", ""), ",", ".")), 0) / 100, IFERROR(VALUE(SUBSTITUTE(SUBSTITUTE(TRIM('Sales_RAW(BEFORE)'!AT295), "%", ""), ",", ".")), 0))</f>
        <v>0</v>
      </c>
      <c r="AW286" s="6">
        <f>BA286*(_xlfn.XLOOKUP(N286,Employees!$A$2:$A$26,Employees!$E$2:$E$26,2))</f>
        <v>593.67686400000002</v>
      </c>
      <c r="AX286" s="3" t="str">
        <f>PROPER('Sales_RAW(BEFORE)'!AV295)</f>
        <v xml:space="preserve"> Jessica Johnson   </v>
      </c>
      <c r="AY286" s="3" t="str">
        <f t="shared" si="23"/>
        <v xml:space="preserve"> Jessica Johnson   </v>
      </c>
      <c r="AZ286" s="3"/>
      <c r="BA286" s="24">
        <f>AK286*(1-(_xlfn.XLOOKUP(G286, Exchange_Rates!$B$8:$F$8, Exchange_Rates!$B$9:$F$9, 0)+J286))</f>
        <v>29683.843200000003</v>
      </c>
      <c r="BB286" s="7" cm="1">
        <f t="array" ref="BB286">_xlfn.LET(
  _xlpm.raw_dt, SUBSTITUTE(TRIM(C286), ".", "/"),
  _xlpm.dt, IFERROR(DATEVALUE(_xlpm.raw_dt), C286),
  _xlpm.p_code, TRIM(E286),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46526</v>
      </c>
      <c r="BC286" s="25">
        <f t="shared" si="24"/>
        <v>0</v>
      </c>
    </row>
    <row r="287" spans="1:55" ht="15.75" thickBot="1" x14ac:dyDescent="0.3">
      <c r="A287" s="3" t="s">
        <v>4576</v>
      </c>
      <c r="B287" s="10">
        <v>46190</v>
      </c>
      <c r="C287" s="4">
        <v>46199</v>
      </c>
      <c r="D287" s="3" t="str">
        <f>"P-" &amp; TEXT(VALUE(SUBSTITUTE(SUBSTITUTE(SUBSTITUTE(UPPER(TRIM('Sales_RAW(BEFORE)'!D296)), "P", ""), "-", ""), "_", "")),"000")</f>
        <v>P-029</v>
      </c>
      <c r="E287" s="3" t="str">
        <f>VLOOKUP(D287,Product_List!$A$2:$B$61,2,FALSE)</f>
        <v>Keyboard Plus 29</v>
      </c>
      <c r="F287" s="3" t="str">
        <f>_xlfn.XLOOKUP(E287,Product_List!$B$2:$B$61,Product_List!$E$2:$E$61,2)</f>
        <v>OfficeHub</v>
      </c>
      <c r="G287" s="3" t="str">
        <f>VLOOKUP(E287,Product_List!$B$2:$C$61,2,FALSE)</f>
        <v>Software</v>
      </c>
      <c r="H287" s="3" t="str">
        <f>SUBSTITUTE(SUBSTITUTE('Sales_RAW(BEFORE)'!G296,"kom",""),".","")</f>
        <v>38</v>
      </c>
      <c r="I287" s="6">
        <f>VLOOKUP(E287,Product_List!$B$2:$D$61,3,FALSE)</f>
        <v>1375.64</v>
      </c>
      <c r="J287" s="5">
        <f>IF(IFERROR(VALUE(SUBSTITUTE(SUBSTITUTE(TRIM('Sales_RAW(BEFORE)'!I296), "%", ""), ",", ".")), 0) &gt; 1, IFERROR(VALUE(SUBSTITUTE(SUBSTITUTE(TRIM('Sales_RAW(BEFORE)'!I296), "%", ""), ",", ".")), 0) / 100, IFERROR(VALUE(SUBSTITUTE(SUBSTITUTE(TRIM('Sales_RAW(BEFORE)'!I296), "%", ""), ",", ".")), 0))</f>
        <v>0</v>
      </c>
      <c r="K287" s="6">
        <f t="shared" si="22"/>
        <v>52274.320000000007</v>
      </c>
      <c r="L287" s="6" t="str" cm="1">
        <f t="array" ref="L287">_xlfn.LET(
  _xlpm.valuta, UPPER(TRIM('Sales_RAW(BEFORE)'!K296)),
  _xlfn.IFS(
    _xlpm.valuta = "", "",
    OR(_xlpm.valuta = "USD", _xlpm.valuta = "$"), "$",
    OR(_xlpm.valuta = "EUR", _xlpm.valuta = "€"), "€",
    TRUE, _xlpm.valuta
  )
)</f>
        <v>$</v>
      </c>
      <c r="M287" s="3" t="str">
        <f>"E" &amp; TEXT(VALUE(SUBSTITUTE(SUBSTITUTE(SUBSTITUTE(UPPER(TRIM('Sales_RAW(BEFORE)'!L296)), "EMP", ""), "E", ""), "-", "")),"000")</f>
        <v>E023</v>
      </c>
      <c r="N287" s="3" t="str">
        <f>_xlfn.XLOOKUP(M287,Employees!$D$2:$D$26,Employees!$A$2:$A$26)</f>
        <v>Laura Anderson</v>
      </c>
      <c r="O287" s="3" t="str">
        <f>_xlfn.XLOOKUP(N287,Employees!$A$2:$A$26,Employees!$C$2:$C$26,2)</f>
        <v>Sales</v>
      </c>
      <c r="P287" s="3" t="str">
        <f>PROPER('Sales_RAW(BEFORE)'!N296)</f>
        <v>South</v>
      </c>
      <c r="Q287" s="3" t="str">
        <f>VLOOKUP(N287,Employees!$A$2:$B$26,2,FALSE)</f>
        <v>Seattle</v>
      </c>
      <c r="R287" s="3" t="str">
        <f>PROPER('Sales_RAW(BEFORE)'!P296)</f>
        <v>Wayne Inc.</v>
      </c>
      <c r="S287" s="3" t="str">
        <f>SUBSTITUTE(SUBSTITUTE('Sales_RAW(BEFORE)'!Q296,"EIN",""),":","")</f>
        <v xml:space="preserve"> 692125431</v>
      </c>
      <c r="T287" s="3" t="s">
        <v>420</v>
      </c>
      <c r="U287" s="3" t="s">
        <v>4583</v>
      </c>
      <c r="V287" s="3" t="s">
        <v>4584</v>
      </c>
      <c r="W287" s="3" t="s">
        <v>4585</v>
      </c>
      <c r="X287" s="3" t="s">
        <v>173</v>
      </c>
      <c r="Y287" s="3" t="str">
        <f>PROPER('Sales_RAW(BEFORE)'!W296)</f>
        <v>Cash</v>
      </c>
      <c r="Z287" s="3" t="str">
        <f>PROPER('Sales_RAW(BEFORE)'!X296)</f>
        <v>Delivered</v>
      </c>
      <c r="AA287" s="3" t="str" cm="1">
        <f t="array" ref="AA287">_xlfn.LET(
  _xlpm.val, TRIM(LOWER('Sales_RAW(BEFORE)'!Y296)),
  _xlfn.IFS(
    OR(_xlpm.val="yes", _xlpm.val="paid"), "Paid",
    OR(_xlpm.val="no", _xlpm.val="unpaid"), "Unpaid",
    OR(_xlpm.val="partial", _xlpm.val="partial paid"), "Partial",
    _xlpm.val="", "",
    TRUE, 'Sales_RAW(BEFORE)'!AY296
  )
)</f>
        <v>Unpaid</v>
      </c>
      <c r="AB287" s="3" t="s">
        <v>4586</v>
      </c>
      <c r="AC287" s="3" t="str">
        <f>PROPER('Sales_RAW(BEFORE)'!AA296)</f>
        <v>Web</v>
      </c>
      <c r="AD287" s="3" t="str">
        <f>SUBSTITUTE(SUBSTITUTE(SUBSTITUTE(SUBSTITUTE('Sales_RAW(BEFORE)'!AB296,"st",""),"q",""),"Q",""),"uarter","")</f>
        <v>4</v>
      </c>
      <c r="AE287" s="3" t="str">
        <f>TEXT(IFERROR(DATEVALUE('Sales_RAW(BEFORE)'!AC296 &amp; " 1"), IFERROR(DATE(2025, 'Sales_RAW(BEFORE)'!AC296, 1), 'Sales_RAW(BEFORE)'!AC296)), "mmmm")</f>
        <v>June</v>
      </c>
      <c r="AF287" s="3">
        <f>_xlfn.LET(
  _xlpm.raw, TRIM(SUBSTITUTE('Sales_RAW(BEFORE)'!AD296, "'", "")),
  _xlpm.num, IFERROR(VALUE(_xlpm.raw), 0),
  IF(_xlpm.num &lt; 100, 2000 + _xlpm.num, _xlpm.num)
)</f>
        <v>2026</v>
      </c>
      <c r="AG287" s="3" t="str">
        <f>PROPER('Sales_RAW(BEFORE)'!AE296)</f>
        <v>15</v>
      </c>
      <c r="AH287" s="3" cm="1">
        <f t="array" ref="AH287">_xlfn.LET(
  _xlpm.val, LOWER(TRIM('Sales_RAW(BEFORE)'!AF296)),
  _xlfn.IFS(
    OR(_xlpm.val="", _xlpm.val="null", _xlpm.val="N/A", _xlpm.val="-", _xlpm.val="#N/A"), 0,
    ISNUMBER('Sales_RAW(BEFORE)'!AF296), 'Sales_RAW(BEFORE)'!AF296,
    TRUE, IFERROR(_xlfn.NUMBERVALUE(_xlpm.val), 0)
  )
)</f>
        <v>0</v>
      </c>
      <c r="AI287" s="5">
        <f>IF(IFERROR(VALUE(SUBSTITUTE(SUBSTITUTE(TRIM('Sales_RAW(BEFORE)'!AG296), "%", ""), ",", ".")), 0) &gt; 1, IFERROR(VALUE(SUBSTITUTE(SUBSTITUTE(TRIM('Sales_RAW(BEFORE)'!AG296), "%", ""), ",", ".")), 0) / 100, IFERROR(VALUE(SUBSTITUTE(SUBSTITUTE(TRIM('Sales_RAW(BEFORE)'!AG296), "%", ""), ",", ".")), 0))</f>
        <v>0.08</v>
      </c>
      <c r="AJ287" s="6">
        <f t="shared" si="20"/>
        <v>4181.9456000000009</v>
      </c>
      <c r="AK287" s="6">
        <f t="shared" si="21"/>
        <v>56456.265600000006</v>
      </c>
      <c r="AL287" s="6">
        <f>IFERROR(VALUE(SUBSTITUTE(SUBSTITUTE(SUBSTITUTE('Sales_RAW(BEFORE)'!AJ296,"$",""),"USD",""),",",".")),0)</f>
        <v>7.87</v>
      </c>
      <c r="AM287" s="3" t="str">
        <f>SUBSTITUTE(SUBSTITUTE(PROPER('Sales_RAW(BEFORE)'!AK296), "Fed Ex", "FedEx"),"Fedex","FedEx")</f>
        <v>FedEx</v>
      </c>
      <c r="AN287" s="3" t="s">
        <v>4588</v>
      </c>
      <c r="AO287" s="3" t="str">
        <f>SUBSTITUTE('Sales_RAW(BEFORE)'!AM296,"kg","")</f>
        <v>9.61</v>
      </c>
      <c r="AP287" s="3" t="str">
        <f>_xlfn.LET(
  _xlpm.raw, UPPER(TRIM('Sales_RAW(BEFORE)'!AN296)),
  _xlpm.clean, RIGHT(_xlpm.raw, 1),
  IF(OR(_xlpm.raw="", _xlpm.raw="null"), "N/A", _xlpm.clean)
)</f>
        <v>A</v>
      </c>
      <c r="AQ287" s="3">
        <v>193</v>
      </c>
      <c r="AR287" s="3" cm="1">
        <f t="array" ref="AR287">_xlfn.LET(
  _xlpm.raw, LOWER(TRIM('Sales_RAW(BEFORE)'!AP296)),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287" s="3"/>
      <c r="AT287" s="3"/>
      <c r="AU287" s="3"/>
      <c r="AV287" s="8">
        <f>IF(IFERROR(VALUE(SUBSTITUTE(SUBSTITUTE(TRIM('Sales_RAW(BEFORE)'!AT296), "%", ""), ",", ".")), 0) &gt; 1, IFERROR(VALUE(SUBSTITUTE(SUBSTITUTE(TRIM('Sales_RAW(BEFORE)'!AT296), "%", ""), ",", ".")), 0) / 100, IFERROR(VALUE(SUBSTITUTE(SUBSTITUTE(TRIM('Sales_RAW(BEFORE)'!AT296), "%", ""), ",", ".")), 0))</f>
        <v>0</v>
      </c>
      <c r="AW287" s="6">
        <f>BA287*(_xlfn.XLOOKUP(N287,Employees!$A$2:$A$26,Employees!$E$2:$E$26,2))</f>
        <v>959.75651520000019</v>
      </c>
      <c r="AX287" s="3" t="str">
        <f>PROPER('Sales_RAW(BEFORE)'!AV296)</f>
        <v>David Davis</v>
      </c>
      <c r="AY287" s="3" t="str">
        <f t="shared" si="23"/>
        <v>David Davis</v>
      </c>
      <c r="AZ287" s="3"/>
      <c r="BA287" s="24">
        <f>AK287*(1-(_xlfn.XLOOKUP(G287, Exchange_Rates!$B$8:$F$8, Exchange_Rates!$B$9:$F$9, 0)+J287))</f>
        <v>47987.825760000007</v>
      </c>
      <c r="BB287" s="7" cm="1">
        <f t="array" ref="BB287">_xlfn.LET(
  _xlpm.raw_dt, SUBSTITUTE(TRIM(C287), ".", "/"),
  _xlpm.dt, IFERROR(DATEVALUE(_xlpm.raw_dt), C287),
  _xlpm.p_code, TRIM(E287),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46930</v>
      </c>
      <c r="BC287" s="25">
        <f t="shared" si="24"/>
        <v>0</v>
      </c>
    </row>
    <row r="288" spans="1:55" ht="15.75" thickBot="1" x14ac:dyDescent="0.3">
      <c r="A288" s="3" t="s">
        <v>4591</v>
      </c>
      <c r="B288" s="10">
        <v>46041</v>
      </c>
      <c r="C288" s="4">
        <v>46046</v>
      </c>
      <c r="D288" s="3" t="str">
        <f>"P-" &amp; TEXT(VALUE(SUBSTITUTE(SUBSTITUTE(SUBSTITUTE(UPPER(TRIM('Sales_RAW(BEFORE)'!D297)), "P", ""), "-", ""), "_", "")),"000")</f>
        <v>P-041</v>
      </c>
      <c r="E288" s="3" t="str">
        <f>VLOOKUP(D288,Product_List!$A$2:$B$61,2,FALSE)</f>
        <v>Monitor X 41</v>
      </c>
      <c r="F288" s="3" t="str">
        <f>_xlfn.XLOOKUP(E288,Product_List!$B$2:$B$61,Product_List!$E$2:$E$61,2)</f>
        <v>TechSupply Co</v>
      </c>
      <c r="G288" s="3" t="str">
        <f>VLOOKUP(E288,Product_List!$B$2:$C$61,2,FALSE)</f>
        <v>Software</v>
      </c>
      <c r="H288" s="3" t="str">
        <f>SUBSTITUTE(SUBSTITUTE('Sales_RAW(BEFORE)'!G297,"kom",""),".","")</f>
        <v>20</v>
      </c>
      <c r="I288" s="6">
        <f>VLOOKUP(E288,Product_List!$B$2:$D$61,3,FALSE)</f>
        <v>247.64</v>
      </c>
      <c r="J288" s="5">
        <f>IF(IFERROR(VALUE(SUBSTITUTE(SUBSTITUTE(TRIM('Sales_RAW(BEFORE)'!I297), "%", ""), ",", ".")), 0) &gt; 1, IFERROR(VALUE(SUBSTITUTE(SUBSTITUTE(TRIM('Sales_RAW(BEFORE)'!I297), "%", ""), ",", ".")), 0) / 100, IFERROR(VALUE(SUBSTITUTE(SUBSTITUTE(TRIM('Sales_RAW(BEFORE)'!I297), "%", ""), ",", ".")), 0))</f>
        <v>0.1</v>
      </c>
      <c r="K288" s="6">
        <f>(H288*I288)/(HLOOKUP(AE288,Exchange_Rates!$B$1:$M$2,2,FALSE))</f>
        <v>5354.3783783783774</v>
      </c>
      <c r="L288" s="6" t="str" cm="1">
        <f t="array" ref="L288">_xlfn.LET(
  _xlpm.valuta, UPPER(TRIM('Sales_RAW(BEFORE)'!K297)),
  _xlfn.IFS(
    _xlpm.valuta = "", "",
    OR(_xlpm.valuta = "USD", _xlpm.valuta = "$"), "$",
    OR(_xlpm.valuta = "EUR", _xlpm.valuta = "€"), "€",
    TRUE, _xlpm.valuta
  )
)</f>
        <v>€</v>
      </c>
      <c r="M288" s="3" t="str">
        <f>"E" &amp; TEXT(VALUE(SUBSTITUTE(SUBSTITUTE(SUBSTITUTE(UPPER(TRIM('Sales_RAW(BEFORE)'!L297)), "EMP", ""), "E", ""), "-", "")),"000")</f>
        <v>E022</v>
      </c>
      <c r="N288" s="3" t="str">
        <f>_xlfn.XLOOKUP(M288,Employees!$D$2:$D$26,Employees!$A$2:$A$26)</f>
        <v>Chris Williams</v>
      </c>
      <c r="O288" s="3" t="str">
        <f>_xlfn.XLOOKUP(N288,Employees!$A$2:$A$26,Employees!$C$2:$C$26,2)</f>
        <v>Sales</v>
      </c>
      <c r="P288" s="3" t="str">
        <f>PROPER('Sales_RAW(BEFORE)'!N297)</f>
        <v>North</v>
      </c>
      <c r="Q288" s="3" t="str">
        <f>VLOOKUP(N288,Employees!$A$2:$B$26,2,FALSE)</f>
        <v>Boston</v>
      </c>
      <c r="R288" s="3" t="str">
        <f>PROPER('Sales_RAW(BEFORE)'!P297)</f>
        <v>Initech Inc</v>
      </c>
      <c r="S288" s="3" t="str">
        <f>SUBSTITUTE(SUBSTITUTE('Sales_RAW(BEFORE)'!Q297,"EIN",""),":","")</f>
        <v>753920561</v>
      </c>
      <c r="T288" s="3" t="s">
        <v>994</v>
      </c>
      <c r="U288" s="3" t="s">
        <v>4597</v>
      </c>
      <c r="V288" s="3" t="s">
        <v>4598</v>
      </c>
      <c r="W288" s="3" t="s">
        <v>4599</v>
      </c>
      <c r="X288" s="3" t="s">
        <v>173</v>
      </c>
      <c r="Y288" s="3" t="str">
        <f>PROPER('Sales_RAW(BEFORE)'!W297)</f>
        <v>Paypal</v>
      </c>
      <c r="Z288" s="3" t="str">
        <f>PROPER('Sales_RAW(BEFORE)'!X297)</f>
        <v>Processing</v>
      </c>
      <c r="AA288" s="3" t="str" cm="1">
        <f t="array" ref="AA288">_xlfn.LET(
  _xlpm.val, TRIM(LOWER('Sales_RAW(BEFORE)'!Y297)),
  _xlfn.IFS(
    OR(_xlpm.val="yes", _xlpm.val="paid"), "Paid",
    OR(_xlpm.val="no", _xlpm.val="unpaid"), "Unpaid",
    OR(_xlpm.val="partial", _xlpm.val="partial paid"), "Partial",
    _xlpm.val="", "",
    TRUE, 'Sales_RAW(BEFORE)'!AY297
  )
)</f>
        <v>Unpaid</v>
      </c>
      <c r="AB288" s="3" t="s">
        <v>4600</v>
      </c>
      <c r="AC288" s="3" t="str">
        <f>PROPER('Sales_RAW(BEFORE)'!AA297)</f>
        <v>Store</v>
      </c>
      <c r="AD288" s="3" t="str">
        <f>SUBSTITUTE(SUBSTITUTE(SUBSTITUTE(SUBSTITUTE('Sales_RAW(BEFORE)'!AB297,"st",""),"q",""),"Q",""),"uarter","")</f>
        <v xml:space="preserve">1 </v>
      </c>
      <c r="AE288" s="3" t="str">
        <f>TEXT(IFERROR(DATEVALUE('Sales_RAW(BEFORE)'!AC297 &amp; " 1"), IFERROR(DATE(2025, 'Sales_RAW(BEFORE)'!AC297, 1), 'Sales_RAW(BEFORE)'!AC297)), "mmmm")</f>
        <v>January</v>
      </c>
      <c r="AF288" s="3">
        <f>_xlfn.LET(
  _xlpm.raw, TRIM(SUBSTITUTE('Sales_RAW(BEFORE)'!AD297, "'", "")),
  _xlpm.num, IFERROR(VALUE(_xlpm.raw), 0),
  IF(_xlpm.num &lt; 100, 2000 + _xlpm.num, _xlpm.num)
)</f>
        <v>2026</v>
      </c>
      <c r="AG288" s="3" t="str">
        <f>PROPER('Sales_RAW(BEFORE)'!AE297)</f>
        <v>Net 30</v>
      </c>
      <c r="AH288" s="3" cm="1">
        <f t="array" ref="AH288">_xlfn.LET(
  _xlpm.val, LOWER(TRIM('Sales_RAW(BEFORE)'!AF297)),
  _xlfn.IFS(
    OR(_xlpm.val="", _xlpm.val="null", _xlpm.val="N/A", _xlpm.val="-", _xlpm.val="#N/A"), 0,
    ISNUMBER('Sales_RAW(BEFORE)'!AF297), 'Sales_RAW(BEFORE)'!AF297,
    TRUE, IFERROR(_xlfn.NUMBERVALUE(_xlpm.val), 0)
  )
)</f>
        <v>65</v>
      </c>
      <c r="AI288" s="5">
        <f>IF(IFERROR(VALUE(SUBSTITUTE(SUBSTITUTE(TRIM('Sales_RAW(BEFORE)'!AG297), "%", ""), ",", ".")), 0) &gt; 1, IFERROR(VALUE(SUBSTITUTE(SUBSTITUTE(TRIM('Sales_RAW(BEFORE)'!AG297), "%", ""), ",", ".")), 0) / 100, IFERROR(VALUE(SUBSTITUTE(SUBSTITUTE(TRIM('Sales_RAW(BEFORE)'!AG297), "%", ""), ",", ".")), 0))</f>
        <v>0.08</v>
      </c>
      <c r="AJ288" s="6">
        <f t="shared" si="20"/>
        <v>428.35027027027019</v>
      </c>
      <c r="AK288" s="6">
        <f t="shared" si="21"/>
        <v>5782.7286486486473</v>
      </c>
      <c r="AL288" s="6">
        <f>IFERROR(VALUE(SUBSTITUTE(SUBSTITUTE(SUBSTITUTE('Sales_RAW(BEFORE)'!AJ297,"$",""),"USD",""),",",".")),0)</f>
        <v>25.76</v>
      </c>
      <c r="AM288" s="3" t="str">
        <f>SUBSTITUTE(SUBSTITUTE(PROPER('Sales_RAW(BEFORE)'!AK297), "Fed Ex", "FedEx"),"Fedex","FedEx")</f>
        <v>Ups</v>
      </c>
      <c r="AN288" s="3" t="s">
        <v>4602</v>
      </c>
      <c r="AO288" s="3" t="str">
        <f>SUBSTITUTE('Sales_RAW(BEFORE)'!AM297,"kg","")</f>
        <v xml:space="preserve">9.7 </v>
      </c>
      <c r="AP288" s="3" t="str">
        <f>_xlfn.LET(
  _xlpm.raw, UPPER(TRIM('Sales_RAW(BEFORE)'!AN297)),
  _xlpm.clean, RIGHT(_xlpm.raw, 1),
  IF(OR(_xlpm.raw="", _xlpm.raw="null"), "N/A", _xlpm.clean)
)</f>
        <v>A</v>
      </c>
      <c r="AQ288" s="3">
        <v>237</v>
      </c>
      <c r="AR288" s="3" cm="1">
        <f t="array" ref="AR288">_xlfn.LET(
  _xlpm.raw, LOWER(TRIM('Sales_RAW(BEFORE)'!AP297)),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288" s="3"/>
      <c r="AT288" s="3"/>
      <c r="AU288" s="3"/>
      <c r="AV288" s="8">
        <f>IF(IFERROR(VALUE(SUBSTITUTE(SUBSTITUTE(TRIM('Sales_RAW(BEFORE)'!AT297), "%", ""), ",", ".")), 0) &gt; 1, IFERROR(VALUE(SUBSTITUTE(SUBSTITUTE(TRIM('Sales_RAW(BEFORE)'!AT297), "%", ""), ",", ".")), 0) / 100, IFERROR(VALUE(SUBSTITUTE(SUBSTITUTE(TRIM('Sales_RAW(BEFORE)'!AT297), "%", ""), ",", ".")), 0))</f>
        <v>0</v>
      </c>
      <c r="AW288" s="6">
        <f>BA288*(_xlfn.XLOOKUP(N288,Employees!$A$2:$A$26,Employees!$E$2:$E$26,2))</f>
        <v>130.11139459459454</v>
      </c>
      <c r="AX288" s="3" t="str">
        <f>PROPER('Sales_RAW(BEFORE)'!AV297)</f>
        <v>Laura Smith</v>
      </c>
      <c r="AY288" s="3" t="str">
        <f t="shared" si="23"/>
        <v>Laura Smith</v>
      </c>
      <c r="AZ288" s="3"/>
      <c r="BA288" s="24">
        <f>AK288*(1-(_xlfn.XLOOKUP(G288, Exchange_Rates!$B$8:$F$8, Exchange_Rates!$B$9:$F$9, 0)+J288))</f>
        <v>4337.0464864864853</v>
      </c>
      <c r="BB288" s="7" cm="1">
        <f t="array" ref="BB288">_xlfn.LET(
  _xlpm.raw_dt, SUBSTITUTE(TRIM(C288), ".", "/"),
  _xlpm.dt, IFERROR(DATEVALUE(_xlpm.raw_dt), C288),
  _xlpm.p_code, TRIM(E288),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46776</v>
      </c>
      <c r="BC288" s="25">
        <f t="shared" si="24"/>
        <v>0</v>
      </c>
    </row>
    <row r="289" spans="1:55" ht="15.75" thickBot="1" x14ac:dyDescent="0.3">
      <c r="A289" s="3" t="s">
        <v>4605</v>
      </c>
      <c r="B289" s="10">
        <v>46221</v>
      </c>
      <c r="C289" s="4">
        <f>DATE(2026,7,30)</f>
        <v>46233</v>
      </c>
      <c r="D289" s="3" t="str">
        <f>"P-" &amp; TEXT(VALUE(SUBSTITUTE(SUBSTITUTE(SUBSTITUTE(UPPER(TRIM('Sales_RAW(BEFORE)'!D298)), "P", ""), "-", ""), "_", "")),"000")</f>
        <v>P-019</v>
      </c>
      <c r="E289" s="3" t="str">
        <f>VLOOKUP(D289,Product_List!$A$2:$B$61,2,FALSE)</f>
        <v>Monitor Max 19</v>
      </c>
      <c r="F289" s="3" t="str">
        <f>_xlfn.XLOOKUP(E289,Product_List!$B$2:$B$61,Product_List!$E$2:$E$61,2)</f>
        <v>BestParts</v>
      </c>
      <c r="G289" s="3" t="str">
        <f>VLOOKUP(E289,Product_List!$B$2:$C$61,2,FALSE)</f>
        <v>Software</v>
      </c>
      <c r="H289" s="3" t="str">
        <f>SUBSTITUTE(SUBSTITUTE('Sales_RAW(BEFORE)'!G298,"kom",""),".","")</f>
        <v xml:space="preserve">31 </v>
      </c>
      <c r="I289" s="6">
        <f>VLOOKUP(E289,Product_List!$B$2:$D$61,3,FALSE)</f>
        <v>251.62</v>
      </c>
      <c r="J289" s="5">
        <f>IF(IFERROR(VALUE(SUBSTITUTE(SUBSTITUTE(TRIM('Sales_RAW(BEFORE)'!I298), "%", ""), ",", ".")), 0) &gt; 1, IFERROR(VALUE(SUBSTITUTE(SUBSTITUTE(TRIM('Sales_RAW(BEFORE)'!I298), "%", ""), ",", ".")), 0) / 100, IFERROR(VALUE(SUBSTITUTE(SUBSTITUTE(TRIM('Sales_RAW(BEFORE)'!I298), "%", ""), ",", ".")), 0))</f>
        <v>0</v>
      </c>
      <c r="K289" s="6">
        <f t="shared" si="22"/>
        <v>7800.22</v>
      </c>
      <c r="L289" s="6" t="str" cm="1">
        <f t="array" ref="L289">_xlfn.LET(
  _xlpm.valuta, UPPER(TRIM('Sales_RAW(BEFORE)'!K298)),
  _xlfn.IFS(
    _xlpm.valuta = "", "",
    OR(_xlpm.valuta = "USD", _xlpm.valuta = "$"), "$",
    OR(_xlpm.valuta = "EUR", _xlpm.valuta = "€"), "€",
    TRUE, _xlpm.valuta
  )
)</f>
        <v>$</v>
      </c>
      <c r="M289" s="3" t="str">
        <f>"E" &amp; TEXT(VALUE(SUBSTITUTE(SUBSTITUTE(SUBSTITUTE(UPPER(TRIM('Sales_RAW(BEFORE)'!L298)), "EMP", ""), "E", ""), "-", "")),"000")</f>
        <v>E001</v>
      </c>
      <c r="N289" s="3" t="str">
        <f>_xlfn.XLOOKUP(M289,Employees!$D$2:$D$26,Employees!$A$2:$A$26)</f>
        <v>Sarah Wilson</v>
      </c>
      <c r="O289" s="3" t="str">
        <f>_xlfn.XLOOKUP(N289,Employees!$A$2:$A$26,Employees!$C$2:$C$26,2)</f>
        <v>Online</v>
      </c>
      <c r="P289" s="3" t="str">
        <f>PROPER('Sales_RAW(BEFORE)'!N298)</f>
        <v>North</v>
      </c>
      <c r="Q289" s="3" t="str">
        <f>VLOOKUP(N289,Employees!$A$2:$B$26,2,FALSE)</f>
        <v>Los Angeles</v>
      </c>
      <c r="R289" s="3" t="str">
        <f>PROPER('Sales_RAW(BEFORE)'!P298)</f>
        <v>Globex Inc</v>
      </c>
      <c r="S289" s="3" t="str">
        <f>SUBSTITUTE(SUBSTITUTE('Sales_RAW(BEFORE)'!Q298,"EIN",""),":","")</f>
        <v>106227104</v>
      </c>
      <c r="T289" s="3" t="s">
        <v>684</v>
      </c>
      <c r="U289" s="3" t="s">
        <v>4611</v>
      </c>
      <c r="V289" s="3" t="s">
        <v>4612</v>
      </c>
      <c r="W289" s="3" t="s">
        <v>4613</v>
      </c>
      <c r="X289" s="3" t="s">
        <v>173</v>
      </c>
      <c r="Y289" s="3" t="str">
        <f>PROPER('Sales_RAW(BEFORE)'!W298)</f>
        <v>Credit Card</v>
      </c>
      <c r="Z289" s="3" t="str">
        <f>PROPER('Sales_RAW(BEFORE)'!X298)</f>
        <v>Pending</v>
      </c>
      <c r="AA289" s="3" t="str" cm="1">
        <f t="array" ref="AA289">_xlfn.LET(
  _xlpm.val, TRIM(LOWER('Sales_RAW(BEFORE)'!Y298)),
  _xlfn.IFS(
    OR(_xlpm.val="yes", _xlpm.val="paid"), "Paid",
    OR(_xlpm.val="no", _xlpm.val="unpaid"), "Unpaid",
    OR(_xlpm.val="partial", _xlpm.val="partial paid"), "Partial",
    _xlpm.val="", "",
    TRUE, 'Sales_RAW(BEFORE)'!AY298
  )
)</f>
        <v>Unpaid</v>
      </c>
      <c r="AB289" s="3" t="s">
        <v>4614</v>
      </c>
      <c r="AC289" s="3" t="str">
        <f>PROPER('Sales_RAW(BEFORE)'!AA298)</f>
        <v>Online</v>
      </c>
      <c r="AD289" s="3" t="str">
        <f>SUBSTITUTE(SUBSTITUTE(SUBSTITUTE(SUBSTITUTE('Sales_RAW(BEFORE)'!AB298,"st",""),"q",""),"Q",""),"uarter","")</f>
        <v>4</v>
      </c>
      <c r="AE289" s="3" t="str">
        <f>TEXT(IFERROR(DATEVALUE('Sales_RAW(BEFORE)'!AC298 &amp; " 1"), IFERROR(DATE(2025, 'Sales_RAW(BEFORE)'!AC298, 1), 'Sales_RAW(BEFORE)'!AC298)), "mmmm")</f>
        <v>July</v>
      </c>
      <c r="AF289" s="3">
        <f>_xlfn.LET(
  _xlpm.raw, TRIM(SUBSTITUTE('Sales_RAW(BEFORE)'!AD298, "'", "")),
  _xlpm.num, IFERROR(VALUE(_xlpm.raw), 0),
  IF(_xlpm.num &lt; 100, 2000 + _xlpm.num, _xlpm.num)
)</f>
        <v>2026</v>
      </c>
      <c r="AG289" s="3" t="str">
        <f>PROPER('Sales_RAW(BEFORE)'!AE298)</f>
        <v>Immediate</v>
      </c>
      <c r="AH289" s="3" cm="1">
        <f t="array" ref="AH289">_xlfn.LET(
  _xlpm.val, LOWER(TRIM('Sales_RAW(BEFORE)'!AF298)),
  _xlfn.IFS(
    OR(_xlpm.val="", _xlpm.val="null", _xlpm.val="N/A", _xlpm.val="-", _xlpm.val="#N/A"), 0,
    ISNUMBER('Sales_RAW(BEFORE)'!AF298), 'Sales_RAW(BEFORE)'!AF298,
    TRUE, IFERROR(_xlfn.NUMBERVALUE(_xlpm.val), 0)
  )
)</f>
        <v>52</v>
      </c>
      <c r="AI289" s="5">
        <f>IF(IFERROR(VALUE(SUBSTITUTE(SUBSTITUTE(TRIM('Sales_RAW(BEFORE)'!AG298), "%", ""), ",", ".")), 0) &gt; 1, IFERROR(VALUE(SUBSTITUTE(SUBSTITUTE(TRIM('Sales_RAW(BEFORE)'!AG298), "%", ""), ",", ".")), 0) / 100, IFERROR(VALUE(SUBSTITUTE(SUBSTITUTE(TRIM('Sales_RAW(BEFORE)'!AG298), "%", ""), ",", ".")), 0))</f>
        <v>0.08</v>
      </c>
      <c r="AJ289" s="6">
        <f t="shared" si="20"/>
        <v>624.01760000000002</v>
      </c>
      <c r="AK289" s="6">
        <f t="shared" si="21"/>
        <v>8424.2376000000004</v>
      </c>
      <c r="AL289" s="6">
        <f>IFERROR(VALUE(SUBSTITUTE(SUBSTITUTE(SUBSTITUTE('Sales_RAW(BEFORE)'!AJ298,"$",""),"USD",""),",",".")),0)</f>
        <v>47.65</v>
      </c>
      <c r="AM289" s="3" t="str">
        <f>SUBSTITUTE(SUBSTITUTE(PROPER('Sales_RAW(BEFORE)'!AK298), "Fed Ex", "FedEx"),"Fedex","FedEx")</f>
        <v>Usps</v>
      </c>
      <c r="AN289" s="3" t="s">
        <v>4616</v>
      </c>
      <c r="AO289" s="3" t="str">
        <f>SUBSTITUTE('Sales_RAW(BEFORE)'!AM298,"kg","")</f>
        <v>25,02</v>
      </c>
      <c r="AP289" s="3" t="str">
        <f>_xlfn.LET(
  _xlpm.raw, UPPER(TRIM('Sales_RAW(BEFORE)'!AN298)),
  _xlpm.clean, RIGHT(_xlpm.raw, 1),
  IF(OR(_xlpm.raw="", _xlpm.raw="null"), "N/A", _xlpm.clean)
)</f>
        <v>A</v>
      </c>
      <c r="AQ289" s="3">
        <v>254</v>
      </c>
      <c r="AR289" s="3" cm="1">
        <f t="array" ref="AR289">_xlfn.LET(
  _xlpm.raw, LOWER(TRIM('Sales_RAW(BEFORE)'!AP298)),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289" s="3"/>
      <c r="AT289" s="3"/>
      <c r="AU289" s="3"/>
      <c r="AV289" s="8">
        <f>IF(IFERROR(VALUE(SUBSTITUTE(SUBSTITUTE(TRIM('Sales_RAW(BEFORE)'!AT298), "%", ""), ",", ".")), 0) &gt; 1, IFERROR(VALUE(SUBSTITUTE(SUBSTITUTE(TRIM('Sales_RAW(BEFORE)'!AT298), "%", ""), ",", ".")), 0) / 100, IFERROR(VALUE(SUBSTITUTE(SUBSTITUTE(TRIM('Sales_RAW(BEFORE)'!AT298), "%", ""), ",", ".")), 0))</f>
        <v>0.3</v>
      </c>
      <c r="AW289" s="6">
        <f>BA289*(_xlfn.XLOOKUP(N289,Employees!$A$2:$A$26,Employees!$E$2:$E$26,2))</f>
        <v>214.81805879999999</v>
      </c>
      <c r="AX289" s="3" t="str">
        <f>PROPER('Sales_RAW(BEFORE)'!AV298)</f>
        <v xml:space="preserve">   Jessica Anderson</v>
      </c>
      <c r="AY289" s="3" t="str">
        <f t="shared" si="23"/>
        <v xml:space="preserve">   Jessica Anderson</v>
      </c>
      <c r="AZ289" s="3"/>
      <c r="BA289" s="24">
        <f>AK289*(1-(_xlfn.XLOOKUP(G289, Exchange_Rates!$B$8:$F$8, Exchange_Rates!$B$9:$F$9, 0)+J289))</f>
        <v>7160.60196</v>
      </c>
      <c r="BB289" s="7" cm="1">
        <f t="array" ref="BB289">_xlfn.LET(
  _xlpm.raw_dt, SUBSTITUTE(TRIM(C289), ".", "/"),
  _xlpm.dt, IFERROR(DATEVALUE(_xlpm.raw_dt), C289),
  _xlpm.p_code, TRIM(E289),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46964</v>
      </c>
      <c r="BC289" s="25">
        <f t="shared" si="24"/>
        <v>2148.1805879999997</v>
      </c>
    </row>
    <row r="290" spans="1:55" ht="15.75" thickBot="1" x14ac:dyDescent="0.3">
      <c r="A290" s="3" t="s">
        <v>4621</v>
      </c>
      <c r="B290" s="10">
        <v>45681</v>
      </c>
      <c r="C290" s="4">
        <v>45695</v>
      </c>
      <c r="D290" s="3" t="str">
        <f>"P-" &amp; TEXT(VALUE(SUBSTITUTE(SUBSTITUTE(SUBSTITUTE(UPPER(TRIM('Sales_RAW(BEFORE)'!D299)), "P", ""), "-", ""), "_", "")),"000")</f>
        <v>P-010</v>
      </c>
      <c r="E290" s="3" t="str">
        <f>VLOOKUP(D290,Product_List!$A$2:$B$61,2,FALSE)</f>
        <v>Headphones Basic 10</v>
      </c>
      <c r="F290" s="3" t="str">
        <f>_xlfn.XLOOKUP(E290,Product_List!$B$2:$B$61,Product_List!$E$2:$E$61,2)</f>
        <v>TechSupply Co</v>
      </c>
      <c r="G290" s="3" t="str">
        <f>VLOOKUP(E290,Product_List!$B$2:$C$61,2,FALSE)</f>
        <v>Equipment</v>
      </c>
      <c r="H290" s="3" t="str">
        <f>SUBSTITUTE(SUBSTITUTE('Sales_RAW(BEFORE)'!G299,"kom",""),".","")</f>
        <v>25</v>
      </c>
      <c r="I290" s="6">
        <f>VLOOKUP(E290,Product_List!$B$2:$D$61,3,FALSE)</f>
        <v>1225.1099999999999</v>
      </c>
      <c r="J290" s="5">
        <f>IF(IFERROR(VALUE(SUBSTITUTE(SUBSTITUTE(TRIM('Sales_RAW(BEFORE)'!I299), "%", ""), ",", ".")), 0) &gt; 1, IFERROR(VALUE(SUBSTITUTE(SUBSTITUTE(TRIM('Sales_RAW(BEFORE)'!I299), "%", ""), ",", ".")), 0) / 100, IFERROR(VALUE(SUBSTITUTE(SUBSTITUTE(TRIM('Sales_RAW(BEFORE)'!I299), "%", ""), ",", ".")), 0))</f>
        <v>0.1</v>
      </c>
      <c r="K290" s="6">
        <f t="shared" si="22"/>
        <v>30627.749999999996</v>
      </c>
      <c r="L290" s="6" t="str" cm="1">
        <f t="array" ref="L290">_xlfn.LET(
  _xlpm.valuta, UPPER(TRIM('Sales_RAW(BEFORE)'!K299)),
  _xlfn.IFS(
    _xlpm.valuta = "", "",
    OR(_xlpm.valuta = "USD", _xlpm.valuta = "$"), "$",
    OR(_xlpm.valuta = "EUR", _xlpm.valuta = "€"), "€",
    TRUE, _xlpm.valuta
  )
)</f>
        <v>$</v>
      </c>
      <c r="M290" s="3" t="str">
        <f>"E" &amp; TEXT(VALUE(SUBSTITUTE(SUBSTITUTE(SUBSTITUTE(UPPER(TRIM('Sales_RAW(BEFORE)'!L299)), "EMP", ""), "E", ""), "-", "")),"000")</f>
        <v>E006</v>
      </c>
      <c r="N290" s="3" t="str">
        <f>_xlfn.XLOOKUP(M290,Employees!$D$2:$D$26,Employees!$A$2:$A$26)</f>
        <v>Emily Davis</v>
      </c>
      <c r="O290" s="3" t="str">
        <f>_xlfn.XLOOKUP(N290,Employees!$A$2:$A$26,Employees!$C$2:$C$26,2)</f>
        <v>Retail</v>
      </c>
      <c r="P290" s="3" t="str">
        <f>PROPER('Sales_RAW(BEFORE)'!N299)</f>
        <v>East</v>
      </c>
      <c r="Q290" s="3" t="str">
        <f>VLOOKUP(N290,Employees!$A$2:$B$26,2,FALSE)</f>
        <v>Houston</v>
      </c>
      <c r="R290" s="3" t="str">
        <f>PROPER('Sales_RAW(BEFORE)'!P299)</f>
        <v>Wayne Llc</v>
      </c>
      <c r="S290" s="3" t="str">
        <f>SUBSTITUTE(SUBSTITUTE('Sales_RAW(BEFORE)'!Q299,"EIN",""),":","")</f>
        <v>466989656</v>
      </c>
      <c r="T290" s="3" t="s">
        <v>2076</v>
      </c>
      <c r="U290" s="3" t="s">
        <v>4628</v>
      </c>
      <c r="V290" s="3" t="s">
        <v>4629</v>
      </c>
      <c r="W290" s="3" t="s">
        <v>4630</v>
      </c>
      <c r="X290" s="3" t="s">
        <v>173</v>
      </c>
      <c r="Y290" s="3" t="str">
        <f>PROPER('Sales_RAW(BEFORE)'!W299)</f>
        <v>Cash</v>
      </c>
      <c r="Z290" s="3" t="str">
        <f>PROPER('Sales_RAW(BEFORE)'!X299)</f>
        <v>Delivered</v>
      </c>
      <c r="AA290" s="3" t="str" cm="1">
        <f t="array" ref="AA290">_xlfn.LET(
  _xlpm.val, TRIM(LOWER('Sales_RAW(BEFORE)'!Y299)),
  _xlfn.IFS(
    OR(_xlpm.val="yes", _xlpm.val="paid"), "Paid",
    OR(_xlpm.val="no", _xlpm.val="unpaid"), "Unpaid",
    OR(_xlpm.val="partial", _xlpm.val="partial paid"), "Partial",
    _xlpm.val="", "",
    TRUE, 'Sales_RAW(BEFORE)'!AY299
  )
)</f>
        <v>Paid</v>
      </c>
      <c r="AB290" s="3" t="s">
        <v>4631</v>
      </c>
      <c r="AC290" s="3" t="str">
        <f>PROPER('Sales_RAW(BEFORE)'!AA299)</f>
        <v>Online</v>
      </c>
      <c r="AD290" s="3" t="str">
        <f>SUBSTITUTE(SUBSTITUTE(SUBSTITUTE(SUBSTITUTE('Sales_RAW(BEFORE)'!AB299,"st",""),"q",""),"Q",""),"uarter","")</f>
        <v>1</v>
      </c>
      <c r="AE290" s="3" t="str">
        <f>TEXT(IFERROR(DATEVALUE('Sales_RAW(BEFORE)'!AC299 &amp; " 1"), IFERROR(DATE(2025, 'Sales_RAW(BEFORE)'!AC299, 1), 'Sales_RAW(BEFORE)'!AC299)), "mmmm")</f>
        <v>January</v>
      </c>
      <c r="AF290" s="3">
        <f>_xlfn.LET(
  _xlpm.raw, TRIM(SUBSTITUTE('Sales_RAW(BEFORE)'!AD299, "'", "")),
  _xlpm.num, IFERROR(VALUE(_xlpm.raw), 0),
  IF(_xlpm.num &lt; 100, 2000 + _xlpm.num, _xlpm.num)
)</f>
        <v>2025</v>
      </c>
      <c r="AG290" s="3" t="str">
        <f>PROPER('Sales_RAW(BEFORE)'!AE299)</f>
        <v>Net 30</v>
      </c>
      <c r="AH290" s="3" cm="1">
        <f t="array" ref="AH290">_xlfn.LET(
  _xlpm.val, LOWER(TRIM('Sales_RAW(BEFORE)'!AF299)),
  _xlfn.IFS(
    OR(_xlpm.val="", _xlpm.val="null", _xlpm.val="N/A", _xlpm.val="-", _xlpm.val="#N/A"), 0,
    ISNUMBER('Sales_RAW(BEFORE)'!AF299), 'Sales_RAW(BEFORE)'!AF299,
    TRUE, IFERROR(_xlfn.NUMBERVALUE(_xlpm.val), 0)
  )
)</f>
        <v>0</v>
      </c>
      <c r="AI290" s="5">
        <f>IF(IFERROR(VALUE(SUBSTITUTE(SUBSTITUTE(TRIM('Sales_RAW(BEFORE)'!AG299), "%", ""), ",", ".")), 0) &gt; 1, IFERROR(VALUE(SUBSTITUTE(SUBSTITUTE(TRIM('Sales_RAW(BEFORE)'!AG299), "%", ""), ",", ".")), 0) / 100, IFERROR(VALUE(SUBSTITUTE(SUBSTITUTE(TRIM('Sales_RAW(BEFORE)'!AG299), "%", ""), ",", ".")), 0))</f>
        <v>0.08</v>
      </c>
      <c r="AJ290" s="6">
        <f t="shared" si="20"/>
        <v>2450.2199999999998</v>
      </c>
      <c r="AK290" s="6">
        <f t="shared" si="21"/>
        <v>33077.969999999994</v>
      </c>
      <c r="AL290" s="6">
        <f>IFERROR(VALUE(SUBSTITUTE(SUBSTITUTE(SUBSTITUTE('Sales_RAW(BEFORE)'!AJ299,"$",""),"USD",""),",",".")),0)</f>
        <v>11.52</v>
      </c>
      <c r="AM290" s="3" t="str">
        <f>SUBSTITUTE(SUBSTITUTE(PROPER('Sales_RAW(BEFORE)'!AK299), "Fed Ex", "FedEx"),"Fedex","FedEx")</f>
        <v>FedEx</v>
      </c>
      <c r="AN290" s="3" t="s">
        <v>4633</v>
      </c>
      <c r="AO290" s="3" t="str">
        <f>SUBSTITUTE('Sales_RAW(BEFORE)'!AM299,"kg","")</f>
        <v xml:space="preserve">23.6 </v>
      </c>
      <c r="AP290" s="3" t="str">
        <f>_xlfn.LET(
  _xlpm.raw, UPPER(TRIM('Sales_RAW(BEFORE)'!AN299)),
  _xlpm.clean, RIGHT(_xlpm.raw, 1),
  IF(OR(_xlpm.raw="", _xlpm.raw="null"), "N/A", _xlpm.clean)
)</f>
        <v>A</v>
      </c>
      <c r="AQ290" s="3">
        <v>432</v>
      </c>
      <c r="AR290" s="3" cm="1">
        <f t="array" ref="AR290">_xlfn.LET(
  _xlpm.raw, LOWER(TRIM('Sales_RAW(BEFORE)'!AP299)),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290" s="3"/>
      <c r="AT290" s="3"/>
      <c r="AU290" s="3"/>
      <c r="AV290" s="8">
        <f>IF(IFERROR(VALUE(SUBSTITUTE(SUBSTITUTE(TRIM('Sales_RAW(BEFORE)'!AT299), "%", ""), ",", ".")), 0) &gt; 1, IFERROR(VALUE(SUBSTITUTE(SUBSTITUTE(TRIM('Sales_RAW(BEFORE)'!AT299), "%", ""), ",", ".")), 0) / 100, IFERROR(VALUE(SUBSTITUTE(SUBSTITUTE(TRIM('Sales_RAW(BEFORE)'!AT299), "%", ""), ",", ".")), 0))</f>
        <v>0.15</v>
      </c>
      <c r="AW290" s="6">
        <f>BA290*(_xlfn.XLOOKUP(N290,Employees!$A$2:$A$26,Employees!$E$2:$E$26,2))</f>
        <v>1323.1188</v>
      </c>
      <c r="AX290" s="3" t="str">
        <f>PROPER('Sales_RAW(BEFORE)'!AV299)</f>
        <v>Michael Wilson</v>
      </c>
      <c r="AY290" s="3" t="str">
        <f t="shared" si="23"/>
        <v>Michael Wilson</v>
      </c>
      <c r="AZ290" s="3"/>
      <c r="BA290" s="24">
        <f>AK290*(1-(_xlfn.XLOOKUP(G290, Exchange_Rates!$B$8:$F$8, Exchange_Rates!$B$9:$F$9, 0)+J290))</f>
        <v>26462.375999999997</v>
      </c>
      <c r="BB290" s="7" cm="1">
        <f t="array" ref="BB290">_xlfn.LET(
  _xlpm.raw_dt, SUBSTITUTE(TRIM(C290), ".", "/"),
  _xlpm.dt, IFERROR(DATEVALUE(_xlpm.raw_dt), C290),
  _xlpm.p_code, TRIM(E290),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46425</v>
      </c>
      <c r="BC290" s="25">
        <f t="shared" si="24"/>
        <v>3969.3563999999992</v>
      </c>
    </row>
    <row r="291" spans="1:55" ht="15.75" thickBot="1" x14ac:dyDescent="0.3">
      <c r="A291" s="3" t="s">
        <v>4635</v>
      </c>
      <c r="B291" s="10">
        <v>46209</v>
      </c>
      <c r="C291" s="4">
        <v>46218</v>
      </c>
      <c r="D291" s="3" t="str">
        <f>"P-" &amp; TEXT(VALUE(SUBSTITUTE(SUBSTITUTE(SUBSTITUTE(UPPER(TRIM('Sales_RAW(BEFORE)'!D300)), "P", ""), "-", ""), "_", "")),"000")</f>
        <v>P-032</v>
      </c>
      <c r="E291" s="3" t="str">
        <f>VLOOKUP(D291,Product_List!$A$2:$B$61,2,FALSE)</f>
        <v>Cable Basic 32</v>
      </c>
      <c r="F291" s="3" t="str">
        <f>_xlfn.XLOOKUP(E291,Product_List!$B$2:$B$61,Product_List!$E$2:$E$61,2)</f>
        <v>OfficeHub</v>
      </c>
      <c r="G291" s="3" t="str">
        <f>VLOOKUP(E291,Product_List!$B$2:$C$61,2,FALSE)</f>
        <v>Software</v>
      </c>
      <c r="H291" s="3" t="str">
        <f>SUBSTITUTE(SUBSTITUTE('Sales_RAW(BEFORE)'!G300,"kom",""),".","")</f>
        <v xml:space="preserve">8 </v>
      </c>
      <c r="I291" s="6">
        <f>VLOOKUP(E291,Product_List!$B$2:$D$61,3,FALSE)</f>
        <v>1479.77</v>
      </c>
      <c r="J291" s="5">
        <f>IF(IFERROR(VALUE(SUBSTITUTE(SUBSTITUTE(TRIM('Sales_RAW(BEFORE)'!I300), "%", ""), ",", ".")), 0) &gt; 1, IFERROR(VALUE(SUBSTITUTE(SUBSTITUTE(TRIM('Sales_RAW(BEFORE)'!I300), "%", ""), ",", ".")), 0) / 100, IFERROR(VALUE(SUBSTITUTE(SUBSTITUTE(TRIM('Sales_RAW(BEFORE)'!I300), "%", ""), ",", ".")), 0))</f>
        <v>0.1</v>
      </c>
      <c r="K291" s="6">
        <f>(H291*I291)/(HLOOKUP(AE291,Exchange_Rates!$B$1:$M$2,2,FALSE))</f>
        <v>12674.689507494646</v>
      </c>
      <c r="L291" s="6" t="str" cm="1">
        <f t="array" ref="L291">_xlfn.LET(
  _xlpm.valuta, UPPER(TRIM('Sales_RAW(BEFORE)'!K300)),
  _xlfn.IFS(
    _xlpm.valuta = "", "",
    OR(_xlpm.valuta = "USD", _xlpm.valuta = "$"), "$",
    OR(_xlpm.valuta = "EUR", _xlpm.valuta = "€"), "€",
    TRUE, _xlpm.valuta
  )
)</f>
        <v>€</v>
      </c>
      <c r="M291" s="3" t="str">
        <f>"E" &amp; TEXT(VALUE(SUBSTITUTE(SUBSTITUTE(SUBSTITUTE(UPPER(TRIM('Sales_RAW(BEFORE)'!L300)), "EMP", ""), "E", ""), "-", "")),"000")</f>
        <v>E021</v>
      </c>
      <c r="N291" s="3" t="str">
        <f>_xlfn.XLOOKUP(M291,Employees!$D$2:$D$26,Employees!$A$2:$A$26)</f>
        <v>Chris Williams</v>
      </c>
      <c r="O291" s="3" t="str">
        <f>_xlfn.XLOOKUP(N291,Employees!$A$2:$A$26,Employees!$C$2:$C$26,2)</f>
        <v>Sales</v>
      </c>
      <c r="P291" s="3" t="str">
        <f>PROPER('Sales_RAW(BEFORE)'!N300)</f>
        <v>North</v>
      </c>
      <c r="Q291" s="3" t="str">
        <f>VLOOKUP(N291,Employees!$A$2:$B$26,2,FALSE)</f>
        <v>Boston</v>
      </c>
      <c r="R291" s="3" t="str">
        <f>PROPER('Sales_RAW(BEFORE)'!P300)</f>
        <v xml:space="preserve">  Acme Inc</v>
      </c>
      <c r="S291" s="3" t="str">
        <f>SUBSTITUTE(SUBSTITUTE('Sales_RAW(BEFORE)'!Q300,"EIN",""),":","")</f>
        <v xml:space="preserve"> 176390816</v>
      </c>
      <c r="T291" s="3" t="s">
        <v>505</v>
      </c>
      <c r="U291" s="3" t="s">
        <v>4642</v>
      </c>
      <c r="V291" s="3" t="s">
        <v>4643</v>
      </c>
      <c r="W291" s="3" t="s">
        <v>4644</v>
      </c>
      <c r="X291" s="3" t="s">
        <v>173</v>
      </c>
      <c r="Y291" s="3" t="str">
        <f>PROPER('Sales_RAW(BEFORE)'!W300)</f>
        <v>Paypal</v>
      </c>
      <c r="Z291" s="3" t="str">
        <f>PROPER('Sales_RAW(BEFORE)'!X300)</f>
        <v>Delivered</v>
      </c>
      <c r="AA291" s="3" t="str" cm="1">
        <f t="array" ref="AA291">_xlfn.LET(
  _xlpm.val, TRIM(LOWER('Sales_RAW(BEFORE)'!Y300)),
  _xlfn.IFS(
    OR(_xlpm.val="yes", _xlpm.val="paid"), "Paid",
    OR(_xlpm.val="no", _xlpm.val="unpaid"), "Unpaid",
    OR(_xlpm.val="partial", _xlpm.val="partial paid"), "Partial",
    _xlpm.val="", "",
    TRUE, 'Sales_RAW(BEFORE)'!AY300
  )
)</f>
        <v>Unpaid</v>
      </c>
      <c r="AB291" s="3" t="s">
        <v>4645</v>
      </c>
      <c r="AC291" s="3" t="str">
        <f>PROPER('Sales_RAW(BEFORE)'!AA300)</f>
        <v>Web</v>
      </c>
      <c r="AD291" s="3" t="str">
        <f>SUBSTITUTE(SUBSTITUTE(SUBSTITUTE(SUBSTITUTE('Sales_RAW(BEFORE)'!AB300,"st",""),"q",""),"Q",""),"uarter","")</f>
        <v>4</v>
      </c>
      <c r="AE291" s="3" t="str">
        <f>TEXT(IFERROR(DATEVALUE('Sales_RAW(BEFORE)'!AC300 &amp; " 1"), IFERROR(DATE(2025, 'Sales_RAW(BEFORE)'!AC300, 1), 'Sales_RAW(BEFORE)'!AC300)), "mmmm")</f>
        <v>July</v>
      </c>
      <c r="AF291" s="3">
        <f>_xlfn.LET(
  _xlpm.raw, TRIM(SUBSTITUTE('Sales_RAW(BEFORE)'!AD300, "'", "")),
  _xlpm.num, IFERROR(VALUE(_xlpm.raw), 0),
  IF(_xlpm.num &lt; 100, 2000 + _xlpm.num, _xlpm.num)
)</f>
        <v>2026</v>
      </c>
      <c r="AG291" s="3" t="str">
        <f>PROPER('Sales_RAW(BEFORE)'!AE300)</f>
        <v>Net 30</v>
      </c>
      <c r="AH291" s="3" cm="1">
        <f t="array" ref="AH291">_xlfn.LET(
  _xlpm.val, LOWER(TRIM('Sales_RAW(BEFORE)'!AF300)),
  _xlfn.IFS(
    OR(_xlpm.val="", _xlpm.val="null", _xlpm.val="N/A", _xlpm.val="-", _xlpm.val="#N/A"), 0,
    ISNUMBER('Sales_RAW(BEFORE)'!AF300), 'Sales_RAW(BEFORE)'!AF300,
    TRUE, IFERROR(_xlfn.NUMBERVALUE(_xlpm.val), 0)
  )
)</f>
        <v>0</v>
      </c>
      <c r="AI291" s="5">
        <f>IF(IFERROR(VALUE(SUBSTITUTE(SUBSTITUTE(TRIM('Sales_RAW(BEFORE)'!AG300), "%", ""), ",", ".")), 0) &gt; 1, IFERROR(VALUE(SUBSTITUTE(SUBSTITUTE(TRIM('Sales_RAW(BEFORE)'!AG300), "%", ""), ",", ".")), 0) / 100, IFERROR(VALUE(SUBSTITUTE(SUBSTITUTE(TRIM('Sales_RAW(BEFORE)'!AG300), "%", ""), ",", ".")), 0))</f>
        <v>0.08</v>
      </c>
      <c r="AJ291" s="6">
        <f t="shared" si="20"/>
        <v>1013.9751605995717</v>
      </c>
      <c r="AK291" s="6">
        <f t="shared" si="21"/>
        <v>13688.664668094218</v>
      </c>
      <c r="AL291" s="6">
        <f>IFERROR(VALUE(SUBSTITUTE(SUBSTITUTE(SUBSTITUTE('Sales_RAW(BEFORE)'!AJ300,"$",""),"USD",""),",",".")),0)</f>
        <v>20.53</v>
      </c>
      <c r="AM291" s="3" t="str">
        <f>SUBSTITUTE(SUBSTITUTE(PROPER('Sales_RAW(BEFORE)'!AK300), "Fed Ex", "FedEx"),"Fedex","FedEx")</f>
        <v>Ups</v>
      </c>
      <c r="AN291" s="3" t="s">
        <v>4647</v>
      </c>
      <c r="AO291" s="3" t="str">
        <f>SUBSTITUTE('Sales_RAW(BEFORE)'!AM300,"kg","")</f>
        <v>18,44</v>
      </c>
      <c r="AP291" s="3" t="str">
        <f>_xlfn.LET(
  _xlpm.raw, UPPER(TRIM('Sales_RAW(BEFORE)'!AN300)),
  _xlpm.clean, RIGHT(_xlpm.raw, 1),
  IF(OR(_xlpm.raw="", _xlpm.raw="null"), "N/A", _xlpm.clean)
)</f>
        <v>B</v>
      </c>
      <c r="AQ291" s="3">
        <v>104</v>
      </c>
      <c r="AR291" s="3" cm="1">
        <f t="array" ref="AR291">_xlfn.LET(
  _xlpm.raw, LOWER(TRIM('Sales_RAW(BEFORE)'!AP300)),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291" s="3"/>
      <c r="AT291" s="3"/>
      <c r="AU291" s="3"/>
      <c r="AV291" s="8">
        <f>IF(IFERROR(VALUE(SUBSTITUTE(SUBSTITUTE(TRIM('Sales_RAW(BEFORE)'!AT300), "%", ""), ",", ".")), 0) &gt; 1, IFERROR(VALUE(SUBSTITUTE(SUBSTITUTE(TRIM('Sales_RAW(BEFORE)'!AT300), "%", ""), ",", ".")), 0) / 100, IFERROR(VALUE(SUBSTITUTE(SUBSTITUTE(TRIM('Sales_RAW(BEFORE)'!AT300), "%", ""), ",", ".")), 0))</f>
        <v>0</v>
      </c>
      <c r="AW291" s="6">
        <f>BA291*(_xlfn.XLOOKUP(N291,Employees!$A$2:$A$26,Employees!$E$2:$E$26,2))</f>
        <v>307.99495503211983</v>
      </c>
      <c r="AX291" s="3" t="str">
        <f>PROPER('Sales_RAW(BEFORE)'!AV300)</f>
        <v xml:space="preserve">   Sophia Smith</v>
      </c>
      <c r="AY291" s="3" t="str">
        <f t="shared" si="23"/>
        <v xml:space="preserve">   Sophia Smith</v>
      </c>
      <c r="AZ291" s="3"/>
      <c r="BA291" s="24">
        <f>AK291*(1-(_xlfn.XLOOKUP(G291, Exchange_Rates!$B$8:$F$8, Exchange_Rates!$B$9:$F$9, 0)+J291))</f>
        <v>10266.498501070662</v>
      </c>
      <c r="BB291" s="7" cm="1">
        <f t="array" ref="BB291">_xlfn.LET(
  _xlpm.raw_dt, SUBSTITUTE(TRIM(C291), ".", "/"),
  _xlpm.dt, IFERROR(DATEVALUE(_xlpm.raw_dt), C291),
  _xlpm.p_code, TRIM(E291),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47314</v>
      </c>
      <c r="BC291" s="25">
        <f t="shared" si="24"/>
        <v>0</v>
      </c>
    </row>
    <row r="292" spans="1:55" ht="15.75" thickBot="1" x14ac:dyDescent="0.3">
      <c r="A292" s="3" t="s">
        <v>4651</v>
      </c>
      <c r="B292" s="10">
        <v>45660</v>
      </c>
      <c r="C292" s="4">
        <f>DATE(2025,1,16)</f>
        <v>45673</v>
      </c>
      <c r="D292" s="3" t="str">
        <f>"P-" &amp; TEXT(VALUE(SUBSTITUTE(SUBSTITUTE(SUBSTITUTE(UPPER(TRIM('Sales_RAW(BEFORE)'!D301)), "P", ""), "-", ""), "_", "")),"000")</f>
        <v>P-036</v>
      </c>
      <c r="E292" s="3" t="str">
        <f>VLOOKUP(D292,Product_List!$A$2:$B$61,2,FALSE)</f>
        <v>Mouse Plus 36</v>
      </c>
      <c r="F292" s="3" t="str">
        <f>_xlfn.XLOOKUP(E292,Product_List!$B$2:$B$61,Product_List!$E$2:$E$61,2)</f>
        <v>BestParts</v>
      </c>
      <c r="G292" s="3" t="str">
        <f>VLOOKUP(E292,Product_List!$B$2:$C$61,2,FALSE)</f>
        <v>Equipment</v>
      </c>
      <c r="H292" s="3" t="str">
        <f>SUBSTITUTE(SUBSTITUTE('Sales_RAW(BEFORE)'!G301,"kom",""),".","")</f>
        <v xml:space="preserve">16 </v>
      </c>
      <c r="I292" s="6">
        <f>VLOOKUP(E292,Product_List!$B$2:$D$61,3,FALSE)</f>
        <v>557.03</v>
      </c>
      <c r="J292" s="5">
        <f>IF(IFERROR(VALUE(SUBSTITUTE(SUBSTITUTE(TRIM('Sales_RAW(BEFORE)'!I301), "%", ""), ",", ".")), 0) &gt; 1, IFERROR(VALUE(SUBSTITUTE(SUBSTITUTE(TRIM('Sales_RAW(BEFORE)'!I301), "%", ""), ",", ".")), 0) / 100, IFERROR(VALUE(SUBSTITUTE(SUBSTITUTE(TRIM('Sales_RAW(BEFORE)'!I301), "%", ""), ",", ".")), 0))</f>
        <v>0</v>
      </c>
      <c r="K292" s="6">
        <f t="shared" si="22"/>
        <v>8912.48</v>
      </c>
      <c r="L292" s="6" t="str" cm="1">
        <f t="array" ref="L292">_xlfn.LET(
  _xlpm.valuta, UPPER(TRIM('Sales_RAW(BEFORE)'!K301)),
  _xlfn.IFS(
    _xlpm.valuta = "", "",
    OR(_xlpm.valuta = "USD", _xlpm.valuta = "$"), "$",
    OR(_xlpm.valuta = "EUR", _xlpm.valuta = "€"), "€",
    TRUE, _xlpm.valuta
  )
)</f>
        <v>$</v>
      </c>
      <c r="M292" s="3" t="str">
        <f>"E" &amp; TEXT(VALUE(SUBSTITUTE(SUBSTITUTE(SUBSTITUTE(UPPER(TRIM('Sales_RAW(BEFORE)'!L301)), "EMP", ""), "E", ""), "-", "")),"000")</f>
        <v>E002</v>
      </c>
      <c r="N292" s="3" t="str">
        <f>_xlfn.XLOOKUP(M292,Employees!$D$2:$D$26,Employees!$A$2:$A$26)</f>
        <v>Sarah Wilson</v>
      </c>
      <c r="O292" s="3" t="str">
        <f>_xlfn.XLOOKUP(N292,Employees!$A$2:$A$26,Employees!$C$2:$C$26,2)</f>
        <v>Online</v>
      </c>
      <c r="P292" s="3" t="str">
        <f>PROPER('Sales_RAW(BEFORE)'!N301)</f>
        <v>North</v>
      </c>
      <c r="Q292" s="3" t="str">
        <f>VLOOKUP(N292,Employees!$A$2:$B$26,2,FALSE)</f>
        <v>Los Angeles</v>
      </c>
      <c r="R292" s="3" t="str">
        <f>PROPER('Sales_RAW(BEFORE)'!P301)</f>
        <v>Umbrella Inc</v>
      </c>
      <c r="S292" s="3" t="str">
        <f>SUBSTITUTE(SUBSTITUTE('Sales_RAW(BEFORE)'!Q301,"EIN",""),":","")</f>
        <v xml:space="preserve"> 482804305</v>
      </c>
      <c r="T292" s="3" t="s">
        <v>912</v>
      </c>
      <c r="U292" s="3" t="s">
        <v>4659</v>
      </c>
      <c r="V292" s="3" t="s">
        <v>4660</v>
      </c>
      <c r="W292" s="3" t="s">
        <v>4661</v>
      </c>
      <c r="X292" s="3" t="s">
        <v>173</v>
      </c>
      <c r="Y292" s="3" t="str">
        <f>PROPER('Sales_RAW(BEFORE)'!W301)</f>
        <v>Credit Card</v>
      </c>
      <c r="Z292" s="3" t="str">
        <f>PROPER('Sales_RAW(BEFORE)'!X301)</f>
        <v>Pending</v>
      </c>
      <c r="AA292" s="3" t="str" cm="1">
        <f t="array" ref="AA292">_xlfn.LET(
  _xlpm.val, TRIM(LOWER('Sales_RAW(BEFORE)'!Y301)),
  _xlfn.IFS(
    OR(_xlpm.val="yes", _xlpm.val="paid"), "Paid",
    OR(_xlpm.val="no", _xlpm.val="unpaid"), "Unpaid",
    OR(_xlpm.val="partial", _xlpm.val="partial paid"), "Partial",
    _xlpm.val="", "",
    TRUE, 'Sales_RAW(BEFORE)'!AY301
  )
)</f>
        <v>Paid</v>
      </c>
      <c r="AB292" s="3" t="s">
        <v>4662</v>
      </c>
      <c r="AC292" s="3" t="str">
        <f>PROPER('Sales_RAW(BEFORE)'!AA301)</f>
        <v>Online</v>
      </c>
      <c r="AD292" s="3" t="str">
        <f>SUBSTITUTE(SUBSTITUTE(SUBSTITUTE(SUBSTITUTE('Sales_RAW(BEFORE)'!AB301,"st",""),"q",""),"Q",""),"uarter","")</f>
        <v>3</v>
      </c>
      <c r="AE292" s="3" t="str">
        <f>TEXT(IFERROR(DATEVALUE('Sales_RAW(BEFORE)'!AC301 &amp; " 1"), IFERROR(DATE(2025, 'Sales_RAW(BEFORE)'!AC301, 1), 'Sales_RAW(BEFORE)'!AC301)), "mmmm")</f>
        <v>January</v>
      </c>
      <c r="AF292" s="3">
        <f>_xlfn.LET(
  _xlpm.raw, TRIM(SUBSTITUTE('Sales_RAW(BEFORE)'!AD301, "'", "")),
  _xlpm.num, IFERROR(VALUE(_xlpm.raw), 0),
  IF(_xlpm.num &lt; 100, 2000 + _xlpm.num, _xlpm.num)
)</f>
        <v>2025</v>
      </c>
      <c r="AG292" s="3" t="str">
        <f>PROPER('Sales_RAW(BEFORE)'!AE301)</f>
        <v>15</v>
      </c>
      <c r="AH292" s="3" cm="1">
        <f t="array" ref="AH292">_xlfn.LET(
  _xlpm.val, LOWER(TRIM('Sales_RAW(BEFORE)'!AF301)),
  _xlfn.IFS(
    OR(_xlpm.val="", _xlpm.val="null", _xlpm.val="N/A", _xlpm.val="-", _xlpm.val="#N/A"), 0,
    ISNUMBER('Sales_RAW(BEFORE)'!AF301), 'Sales_RAW(BEFORE)'!AF301,
    TRUE, IFERROR(_xlfn.NUMBERVALUE(_xlpm.val), 0)
  )
)</f>
        <v>63</v>
      </c>
      <c r="AI292" s="5">
        <f>IF(IFERROR(VALUE(SUBSTITUTE(SUBSTITUTE(TRIM('Sales_RAW(BEFORE)'!AG301), "%", ""), ",", ".")), 0) &gt; 1, IFERROR(VALUE(SUBSTITUTE(SUBSTITUTE(TRIM('Sales_RAW(BEFORE)'!AG301), "%", ""), ",", ".")), 0) / 100, IFERROR(VALUE(SUBSTITUTE(SUBSTITUTE(TRIM('Sales_RAW(BEFORE)'!AG301), "%", ""), ",", ".")), 0))</f>
        <v>0.08</v>
      </c>
      <c r="AJ292" s="6">
        <f t="shared" si="20"/>
        <v>712.99839999999995</v>
      </c>
      <c r="AK292" s="6">
        <f t="shared" si="21"/>
        <v>9625.4784</v>
      </c>
      <c r="AL292" s="6">
        <f>IFERROR(VALUE(SUBSTITUTE(SUBSTITUTE(SUBSTITUTE('Sales_RAW(BEFORE)'!AJ301,"$",""),"USD",""),",",".")),0)</f>
        <v>10.98</v>
      </c>
      <c r="AM292" s="3" t="str">
        <f>SUBSTITUTE(SUBSTITUTE(PROPER('Sales_RAW(BEFORE)'!AK301), "Fed Ex", "FedEx"),"Fedex","FedEx")</f>
        <v>Ups</v>
      </c>
      <c r="AN292" s="3" t="s">
        <v>4664</v>
      </c>
      <c r="AO292" s="3" t="str">
        <f>SUBSTITUTE('Sales_RAW(BEFORE)'!AM301,"kg","")</f>
        <v>29,24</v>
      </c>
      <c r="AP292" s="3" t="str">
        <f>_xlfn.LET(
  _xlpm.raw, UPPER(TRIM('Sales_RAW(BEFORE)'!AN301)),
  _xlpm.clean, RIGHT(_xlpm.raw, 1),
  IF(OR(_xlpm.raw="", _xlpm.raw="null"), "N/A", _xlpm.clean)
)</f>
        <v>B</v>
      </c>
      <c r="AQ292" s="3">
        <v>252</v>
      </c>
      <c r="AR292" s="3" cm="1">
        <f t="array" ref="AR292">_xlfn.LET(
  _xlpm.raw, LOWER(TRIM('Sales_RAW(BEFORE)'!AP301)),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292" s="3"/>
      <c r="AT292" s="3"/>
      <c r="AU292" s="3"/>
      <c r="AV292" s="8">
        <f>IF(IFERROR(VALUE(SUBSTITUTE(SUBSTITUTE(TRIM('Sales_RAW(BEFORE)'!AT301), "%", ""), ",", ".")), 0) &gt; 1, IFERROR(VALUE(SUBSTITUTE(SUBSTITUTE(TRIM('Sales_RAW(BEFORE)'!AT301), "%", ""), ",", ".")), 0) / 100, IFERROR(VALUE(SUBSTITUTE(SUBSTITUTE(TRIM('Sales_RAW(BEFORE)'!AT301), "%", ""), ",", ".")), 0))</f>
        <v>0.3</v>
      </c>
      <c r="AW292" s="6">
        <f>BA292*(_xlfn.XLOOKUP(N292,Employees!$A$2:$A$26,Employees!$E$2:$E$26,2))</f>
        <v>259.88791680000003</v>
      </c>
      <c r="AX292" s="3" t="str">
        <f>PROPER('Sales_RAW(BEFORE)'!AV301)</f>
        <v xml:space="preserve">  Robert Anderson</v>
      </c>
      <c r="AY292" s="3" t="str">
        <f t="shared" si="23"/>
        <v xml:space="preserve">  Robert Anderson</v>
      </c>
      <c r="AZ292" s="3"/>
      <c r="BA292" s="24">
        <f>AK292*(1-(_xlfn.XLOOKUP(G292, Exchange_Rates!$B$8:$F$8, Exchange_Rates!$B$9:$F$9, 0)+J292))</f>
        <v>8662.9305600000007</v>
      </c>
      <c r="BB292" s="7" cm="1">
        <f t="array" ref="BB292">_xlfn.LET(
  _xlpm.raw_dt, SUBSTITUTE(TRIM(C292), ".", "/"),
  _xlpm.dt, IFERROR(DATEVALUE(_xlpm.raw_dt), C292),
  _xlpm.p_code, TRIM(E292),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46403</v>
      </c>
      <c r="BC292" s="25">
        <f t="shared" si="24"/>
        <v>2598.8791679999999</v>
      </c>
    </row>
    <row r="293" spans="1:55" ht="15.75" thickBot="1" x14ac:dyDescent="0.3">
      <c r="A293" s="3" t="s">
        <v>4668</v>
      </c>
      <c r="B293" s="10">
        <v>46112</v>
      </c>
      <c r="C293" s="4">
        <v>46085</v>
      </c>
      <c r="D293" s="3" t="str">
        <f>"P-" &amp; TEXT(VALUE(SUBSTITUTE(SUBSTITUTE(SUBSTITUTE(UPPER(TRIM('Sales_RAW(BEFORE)'!D302)), "P", ""), "-", ""), "_", "")),"000")</f>
        <v>P-055</v>
      </c>
      <c r="E293" s="3" t="str">
        <f>VLOOKUP(D293,Product_List!$A$2:$B$61,2,FALSE)</f>
        <v>Cable Basic 55</v>
      </c>
      <c r="F293" s="3" t="str">
        <f>_xlfn.XLOOKUP(E293,Product_List!$B$2:$B$61,Product_List!$E$2:$E$61,2)</f>
        <v>BestParts</v>
      </c>
      <c r="G293" s="3" t="str">
        <f>VLOOKUP(E293,Product_List!$B$2:$C$61,2,FALSE)</f>
        <v>Office</v>
      </c>
      <c r="H293" s="3" t="str">
        <f>SUBSTITUTE(SUBSTITUTE('Sales_RAW(BEFORE)'!G302,"kom",""),".","")</f>
        <v>39</v>
      </c>
      <c r="I293" s="6">
        <f>VLOOKUP(E293,Product_List!$B$2:$D$61,3,FALSE)</f>
        <v>921.78</v>
      </c>
      <c r="J293" s="5">
        <f>IF(IFERROR(VALUE(SUBSTITUTE(SUBSTITUTE(TRIM('Sales_RAW(BEFORE)'!I302), "%", ""), ",", ".")), 0) &gt; 1, IFERROR(VALUE(SUBSTITUTE(SUBSTITUTE(TRIM('Sales_RAW(BEFORE)'!I302), "%", ""), ",", ".")), 0) / 100, IFERROR(VALUE(SUBSTITUTE(SUBSTITUTE(TRIM('Sales_RAW(BEFORE)'!I302), "%", ""), ",", ".")), 0))</f>
        <v>0.1</v>
      </c>
      <c r="K293" s="6">
        <f>(H293*I293)/(HLOOKUP(AE293,Exchange_Rates!$B$1:$M$2,2,FALSE))</f>
        <v>38655.290322580644</v>
      </c>
      <c r="L293" s="6" t="str" cm="1">
        <f t="array" ref="L293">_xlfn.LET(
  _xlpm.valuta, UPPER(TRIM('Sales_RAW(BEFORE)'!K302)),
  _xlfn.IFS(
    _xlpm.valuta = "", "",
    OR(_xlpm.valuta = "USD", _xlpm.valuta = "$"), "$",
    OR(_xlpm.valuta = "EUR", _xlpm.valuta = "€"), "€",
    TRUE, _xlpm.valuta
  )
)</f>
        <v>€</v>
      </c>
      <c r="M293" s="3" t="str">
        <f>"E" &amp; TEXT(VALUE(SUBSTITUTE(SUBSTITUTE(SUBSTITUTE(UPPER(TRIM('Sales_RAW(BEFORE)'!L302)), "EMP", ""), "E", ""), "-", "")),"000")</f>
        <v>E002</v>
      </c>
      <c r="N293" s="3" t="str">
        <f>_xlfn.XLOOKUP(M293,Employees!$D$2:$D$26,Employees!$A$2:$A$26)</f>
        <v>Sarah Wilson</v>
      </c>
      <c r="O293" s="3" t="str">
        <f>_xlfn.XLOOKUP(N293,Employees!$A$2:$A$26,Employees!$C$2:$C$26,2)</f>
        <v>Online</v>
      </c>
      <c r="P293" s="3" t="str">
        <f>PROPER('Sales_RAW(BEFORE)'!N302)</f>
        <v>West</v>
      </c>
      <c r="Q293" s="3" t="str">
        <f>VLOOKUP(N293,Employees!$A$2:$B$26,2,FALSE)</f>
        <v>Los Angeles</v>
      </c>
      <c r="R293" s="3" t="str">
        <f>PROPER('Sales_RAW(BEFORE)'!P302)</f>
        <v xml:space="preserve">   Globex Llc</v>
      </c>
      <c r="S293" s="3" t="str">
        <f>SUBSTITUTE(SUBSTITUTE('Sales_RAW(BEFORE)'!Q302,"EIN",""),":","")</f>
        <v>454762556</v>
      </c>
      <c r="T293" s="3" t="s">
        <v>307</v>
      </c>
      <c r="U293" s="3" t="s">
        <v>4674</v>
      </c>
      <c r="V293" s="3" t="s">
        <v>4675</v>
      </c>
      <c r="W293" s="3" t="s">
        <v>4676</v>
      </c>
      <c r="X293" s="3" t="s">
        <v>173</v>
      </c>
      <c r="Y293" s="3" t="str">
        <f>PROPER('Sales_RAW(BEFORE)'!W302)</f>
        <v>Wire Transfer</v>
      </c>
      <c r="Z293" s="3" t="str">
        <f>PROPER('Sales_RAW(BEFORE)'!X302)</f>
        <v>Cancelled</v>
      </c>
      <c r="AA293" s="3" t="str" cm="1">
        <f t="array" ref="AA293">_xlfn.LET(
  _xlpm.val, TRIM(LOWER('Sales_RAW(BEFORE)'!Y302)),
  _xlfn.IFS(
    OR(_xlpm.val="yes", _xlpm.val="paid"), "Paid",
    OR(_xlpm.val="no", _xlpm.val="unpaid"), "Unpaid",
    OR(_xlpm.val="partial", _xlpm.val="partial paid"), "Partial",
    _xlpm.val="", "",
    TRUE, 'Sales_RAW(BEFORE)'!AY302
  )
)</f>
        <v>Paid</v>
      </c>
      <c r="AB293" s="3" t="s">
        <v>4677</v>
      </c>
      <c r="AC293" s="3" t="str">
        <f>PROPER('Sales_RAW(BEFORE)'!AA302)</f>
        <v>Phone</v>
      </c>
      <c r="AD293" s="3" t="str">
        <f>SUBSTITUTE(SUBSTITUTE(SUBSTITUTE(SUBSTITUTE('Sales_RAW(BEFORE)'!AB302,"st",""),"q",""),"Q",""),"uarter","")</f>
        <v>1</v>
      </c>
      <c r="AE293" s="3" t="str">
        <f>TEXT(IFERROR(DATEVALUE('Sales_RAW(BEFORE)'!AC302 &amp; " 1"), IFERROR(DATE(2025, 'Sales_RAW(BEFORE)'!AC302, 1), 'Sales_RAW(BEFORE)'!AC302)), "mmmm")</f>
        <v>March</v>
      </c>
      <c r="AF293" s="3">
        <f>_xlfn.LET(
  _xlpm.raw, TRIM(SUBSTITUTE('Sales_RAW(BEFORE)'!AD302, "'", "")),
  _xlpm.num, IFERROR(VALUE(_xlpm.raw), 0),
  IF(_xlpm.num &lt; 100, 2000 + _xlpm.num, _xlpm.num)
)</f>
        <v>2026</v>
      </c>
      <c r="AG293" s="3" t="str">
        <f>PROPER('Sales_RAW(BEFORE)'!AE302)</f>
        <v>15</v>
      </c>
      <c r="AH293" s="3" cm="1">
        <f t="array" ref="AH293">_xlfn.LET(
  _xlpm.val, LOWER(TRIM('Sales_RAW(BEFORE)'!AF302)),
  _xlfn.IFS(
    OR(_xlpm.val="", _xlpm.val="null", _xlpm.val="N/A", _xlpm.val="-", _xlpm.val="#N/A"), 0,
    ISNUMBER('Sales_RAW(BEFORE)'!AF302), 'Sales_RAW(BEFORE)'!AF302,
    TRUE, IFERROR(_xlfn.NUMBERVALUE(_xlpm.val), 0)
  )
)</f>
        <v>0</v>
      </c>
      <c r="AI293" s="5">
        <f>IF(IFERROR(VALUE(SUBSTITUTE(SUBSTITUTE(TRIM('Sales_RAW(BEFORE)'!AG302), "%", ""), ",", ".")), 0) &gt; 1, IFERROR(VALUE(SUBSTITUTE(SUBSTITUTE(TRIM('Sales_RAW(BEFORE)'!AG302), "%", ""), ",", ".")), 0) / 100, IFERROR(VALUE(SUBSTITUTE(SUBSTITUTE(TRIM('Sales_RAW(BEFORE)'!AG302), "%", ""), ",", ".")), 0))</f>
        <v>0.08</v>
      </c>
      <c r="AJ293" s="6">
        <f t="shared" si="20"/>
        <v>3092.4232258064517</v>
      </c>
      <c r="AK293" s="6">
        <f t="shared" si="21"/>
        <v>41747.713548387095</v>
      </c>
      <c r="AL293" s="6">
        <f>IFERROR(VALUE(SUBSTITUTE(SUBSTITUTE(SUBSTITUTE('Sales_RAW(BEFORE)'!AJ302,"$",""),"USD",""),",",".")),0)</f>
        <v>48.76</v>
      </c>
      <c r="AM293" s="3" t="str">
        <f>SUBSTITUTE(SUBSTITUTE(PROPER('Sales_RAW(BEFORE)'!AK302), "Fed Ex", "FedEx"),"Fedex","FedEx")</f>
        <v>Ups</v>
      </c>
      <c r="AN293" s="3" t="s">
        <v>4679</v>
      </c>
      <c r="AO293" s="3" t="str">
        <f>SUBSTITUTE('Sales_RAW(BEFORE)'!AM302,"kg","")</f>
        <v xml:space="preserve">14.3 </v>
      </c>
      <c r="AP293" s="3" t="str">
        <f>_xlfn.LET(
  _xlpm.raw, UPPER(TRIM('Sales_RAW(BEFORE)'!AN302)),
  _xlpm.clean, RIGHT(_xlpm.raw, 1),
  IF(OR(_xlpm.raw="", _xlpm.raw="null"), "N/A", _xlpm.clean)
)</f>
        <v>B</v>
      </c>
      <c r="AQ293" s="3">
        <v>190</v>
      </c>
      <c r="AR293" s="3" cm="1">
        <f t="array" ref="AR293">_xlfn.LET(
  _xlpm.raw, LOWER(TRIM('Sales_RAW(BEFORE)'!AP302)),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293" s="3"/>
      <c r="AT293" s="3"/>
      <c r="AU293" s="3"/>
      <c r="AV293" s="8">
        <f>IF(IFERROR(VALUE(SUBSTITUTE(SUBSTITUTE(TRIM('Sales_RAW(BEFORE)'!AT302), "%", ""), ",", ".")), 0) &gt; 1, IFERROR(VALUE(SUBSTITUTE(SUBSTITUTE(TRIM('Sales_RAW(BEFORE)'!AT302), "%", ""), ",", ".")), 0) / 100, IFERROR(VALUE(SUBSTITUTE(SUBSTITUTE(TRIM('Sales_RAW(BEFORE)'!AT302), "%", ""), ",", ".")), 0))</f>
        <v>0.3</v>
      </c>
      <c r="AW293" s="6">
        <f>BA293*(_xlfn.XLOOKUP(N293,Employees!$A$2:$A$26,Employees!$E$2:$E$26,2))</f>
        <v>1001.9451251612904</v>
      </c>
      <c r="AX293" s="3" t="str">
        <f>PROPER('Sales_RAW(BEFORE)'!AV302)</f>
        <v xml:space="preserve">Michael Williams   </v>
      </c>
      <c r="AY293" s="3" t="str">
        <f t="shared" si="23"/>
        <v xml:space="preserve">Michael Williams   </v>
      </c>
      <c r="AZ293" s="3"/>
      <c r="BA293" s="24">
        <f>AK293*(1-(_xlfn.XLOOKUP(G293, Exchange_Rates!$B$8:$F$8, Exchange_Rates!$B$9:$F$9, 0)+J293))</f>
        <v>33398.170838709681</v>
      </c>
      <c r="BB293" s="7" cm="1">
        <f t="array" ref="BB293">_xlfn.LET(
  _xlpm.raw_dt, SUBSTITUTE(TRIM(C293), ".", "/"),
  _xlpm.dt, IFERROR(DATEVALUE(_xlpm.raw_dt), C293),
  _xlpm.p_code, TRIM(E293),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46816</v>
      </c>
      <c r="BC293" s="25">
        <f t="shared" si="24"/>
        <v>10019.451251612903</v>
      </c>
    </row>
    <row r="294" spans="1:55" ht="15.75" thickBot="1" x14ac:dyDescent="0.3">
      <c r="A294" s="3" t="s">
        <v>4683</v>
      </c>
      <c r="B294" s="10">
        <f>DATE(2025,8,5)</f>
        <v>45874</v>
      </c>
      <c r="C294" s="4">
        <f>DATE(2025,8,14)</f>
        <v>45883</v>
      </c>
      <c r="D294" s="3" t="str">
        <f>"P-" &amp; TEXT(VALUE(SUBSTITUTE(SUBSTITUTE(SUBSTITUTE(UPPER(TRIM('Sales_RAW(BEFORE)'!D303)), "P", ""), "-", ""), "_", "")),"000")</f>
        <v>P-033</v>
      </c>
      <c r="E294" s="3" t="str">
        <f>VLOOKUP(D294,Product_List!$A$2:$B$61,2,FALSE)</f>
        <v>Printer X 33</v>
      </c>
      <c r="F294" s="3" t="str">
        <f>_xlfn.XLOOKUP(E294,Product_List!$B$2:$B$61,Product_List!$E$2:$E$61,2)</f>
        <v>Global Distrib</v>
      </c>
      <c r="G294" s="3" t="str">
        <f>VLOOKUP(E294,Product_List!$B$2:$C$61,2,FALSE)</f>
        <v>Office</v>
      </c>
      <c r="H294" s="3" t="str">
        <f>SUBSTITUTE(SUBSTITUTE('Sales_RAW(BEFORE)'!G303,"kom",""),".","")</f>
        <v xml:space="preserve">9 </v>
      </c>
      <c r="I294" s="6">
        <f>VLOOKUP(E294,Product_List!$B$2:$D$61,3,FALSE)</f>
        <v>129.06</v>
      </c>
      <c r="J294" s="5">
        <f>IF(IFERROR(VALUE(SUBSTITUTE(SUBSTITUTE(TRIM('Sales_RAW(BEFORE)'!I303), "%", ""), ",", ".")), 0) &gt; 1, IFERROR(VALUE(SUBSTITUTE(SUBSTITUTE(TRIM('Sales_RAW(BEFORE)'!I303), "%", ""), ",", ".")), 0) / 100, IFERROR(VALUE(SUBSTITUTE(SUBSTITUTE(TRIM('Sales_RAW(BEFORE)'!I303), "%", ""), ",", ".")), 0))</f>
        <v>0</v>
      </c>
      <c r="K294" s="6">
        <f t="shared" si="22"/>
        <v>1161.54</v>
      </c>
      <c r="L294" s="6" t="str" cm="1">
        <f t="array" ref="L294">_xlfn.LET(
  _xlpm.valuta, UPPER(TRIM('Sales_RAW(BEFORE)'!K303)),
  _xlfn.IFS(
    _xlpm.valuta = "", "",
    OR(_xlpm.valuta = "USD", _xlpm.valuta = "$"), "$",
    OR(_xlpm.valuta = "EUR", _xlpm.valuta = "€"), "€",
    TRUE, _xlpm.valuta
  )
)</f>
        <v>$</v>
      </c>
      <c r="M294" s="3" t="str">
        <f>"E" &amp; TEXT(VALUE(SUBSTITUTE(SUBSTITUTE(SUBSTITUTE(UPPER(TRIM('Sales_RAW(BEFORE)'!L303)), "EMP", ""), "E", ""), "-", "")),"000")</f>
        <v>E012</v>
      </c>
      <c r="N294" s="3" t="str">
        <f>_xlfn.XLOOKUP(M294,Employees!$D$2:$D$26,Employees!$A$2:$A$26)</f>
        <v>John Smith</v>
      </c>
      <c r="O294" s="3" t="str">
        <f>_xlfn.XLOOKUP(N294,Employees!$A$2:$A$26,Employees!$C$2:$C$26,2)</f>
        <v>Sales</v>
      </c>
      <c r="P294" s="3" t="str">
        <f>PROPER('Sales_RAW(BEFORE)'!N303)</f>
        <v>South</v>
      </c>
      <c r="Q294" s="3" t="str">
        <f>VLOOKUP(N294,Employees!$A$2:$B$26,2,FALSE)</f>
        <v>Miami</v>
      </c>
      <c r="R294" s="3" t="str">
        <f>PROPER('Sales_RAW(BEFORE)'!P303)</f>
        <v xml:space="preserve">Initech Inc   </v>
      </c>
      <c r="S294" s="3" t="str">
        <f>SUBSTITUTE(SUBSTITUTE('Sales_RAW(BEFORE)'!Q303,"EIN",""),":","")</f>
        <v xml:space="preserve"> 393237241</v>
      </c>
      <c r="T294" s="3" t="s">
        <v>1502</v>
      </c>
      <c r="U294" s="3" t="s">
        <v>4691</v>
      </c>
      <c r="V294" s="3" t="s">
        <v>4692</v>
      </c>
      <c r="W294" s="3" t="s">
        <v>4693</v>
      </c>
      <c r="X294" s="3" t="s">
        <v>173</v>
      </c>
      <c r="Y294" s="3" t="str">
        <f>PROPER('Sales_RAW(BEFORE)'!W303)</f>
        <v>Paypal</v>
      </c>
      <c r="Z294" s="3" t="str">
        <f>PROPER('Sales_RAW(BEFORE)'!X303)</f>
        <v>Delivered</v>
      </c>
      <c r="AA294" s="3" t="str" cm="1">
        <f t="array" ref="AA294">_xlfn.LET(
  _xlpm.val, TRIM(LOWER('Sales_RAW(BEFORE)'!Y303)),
  _xlfn.IFS(
    OR(_xlpm.val="yes", _xlpm.val="paid"), "Paid",
    OR(_xlpm.val="no", _xlpm.val="unpaid"), "Unpaid",
    OR(_xlpm.val="partial", _xlpm.val="partial paid"), "Partial",
    _xlpm.val="", "",
    TRUE, 'Sales_RAW(BEFORE)'!AY303
  )
)</f>
        <v>Unpaid</v>
      </c>
      <c r="AB294" s="3" t="s">
        <v>4694</v>
      </c>
      <c r="AC294" s="3" t="str">
        <f>PROPER('Sales_RAW(BEFORE)'!AA303)</f>
        <v>Store</v>
      </c>
      <c r="AD294" s="3" t="str">
        <f>SUBSTITUTE(SUBSTITUTE(SUBSTITUTE(SUBSTITUTE('Sales_RAW(BEFORE)'!AB303,"st",""),"q",""),"Q",""),"uarter","")</f>
        <v>1</v>
      </c>
      <c r="AE294" s="3" t="str">
        <f>TEXT(IFERROR(DATEVALUE('Sales_RAW(BEFORE)'!AC303 &amp; " 1"), IFERROR(DATE(2025, 'Sales_RAW(BEFORE)'!AC303, 1), 'Sales_RAW(BEFORE)'!AC303)), "mmmm")</f>
        <v>August</v>
      </c>
      <c r="AF294" s="3">
        <f>_xlfn.LET(
  _xlpm.raw, TRIM(SUBSTITUTE('Sales_RAW(BEFORE)'!AD303, "'", "")),
  _xlpm.num, IFERROR(VALUE(_xlpm.raw), 0),
  IF(_xlpm.num &lt; 100, 2000 + _xlpm.num, _xlpm.num)
)</f>
        <v>2025</v>
      </c>
      <c r="AG294" s="3" t="str">
        <f>PROPER('Sales_RAW(BEFORE)'!AE303)</f>
        <v>Net 30</v>
      </c>
      <c r="AH294" s="3" cm="1">
        <f t="array" ref="AH294">_xlfn.LET(
  _xlpm.val, LOWER(TRIM('Sales_RAW(BEFORE)'!AF303)),
  _xlfn.IFS(
    OR(_xlpm.val="", _xlpm.val="null", _xlpm.val="N/A", _xlpm.val="-", _xlpm.val="#N/A"), 0,
    ISNUMBER('Sales_RAW(BEFORE)'!AF303), 'Sales_RAW(BEFORE)'!AF303,
    TRUE, IFERROR(_xlfn.NUMBERVALUE(_xlpm.val), 0)
  )
)</f>
        <v>69</v>
      </c>
      <c r="AI294" s="5">
        <f>IF(IFERROR(VALUE(SUBSTITUTE(SUBSTITUTE(TRIM('Sales_RAW(BEFORE)'!AG303), "%", ""), ",", ".")), 0) &gt; 1, IFERROR(VALUE(SUBSTITUTE(SUBSTITUTE(TRIM('Sales_RAW(BEFORE)'!AG303), "%", ""), ",", ".")), 0) / 100, IFERROR(VALUE(SUBSTITUTE(SUBSTITUTE(TRIM('Sales_RAW(BEFORE)'!AG303), "%", ""), ",", ".")), 0))</f>
        <v>0.08</v>
      </c>
      <c r="AJ294" s="6">
        <f t="shared" si="20"/>
        <v>92.923199999999994</v>
      </c>
      <c r="AK294" s="6">
        <f t="shared" si="21"/>
        <v>1254.4631999999999</v>
      </c>
      <c r="AL294" s="6">
        <f>IFERROR(VALUE(SUBSTITUTE(SUBSTITUTE(SUBSTITUTE('Sales_RAW(BEFORE)'!AJ303,"$",""),"USD",""),",",".")),0)</f>
        <v>42.57</v>
      </c>
      <c r="AM294" s="3" t="str">
        <f>SUBSTITUTE(SUBSTITUTE(PROPER('Sales_RAW(BEFORE)'!AK303), "Fed Ex", "FedEx"),"Fedex","FedEx")</f>
        <v>Ups</v>
      </c>
      <c r="AN294" s="3" t="s">
        <v>4696</v>
      </c>
      <c r="AO294" s="3" t="str">
        <f>SUBSTITUTE('Sales_RAW(BEFORE)'!AM303,"kg","")</f>
        <v>16.84</v>
      </c>
      <c r="AP294" s="3" t="str">
        <f>_xlfn.LET(
  _xlpm.raw, UPPER(TRIM('Sales_RAW(BEFORE)'!AN303)),
  _xlpm.clean, RIGHT(_xlpm.raw, 1),
  IF(OR(_xlpm.raw="", _xlpm.raw="null"), "N/A", _xlpm.clean)
)</f>
        <v>B</v>
      </c>
      <c r="AQ294" s="3">
        <v>231</v>
      </c>
      <c r="AR294" s="3" cm="1">
        <f t="array" ref="AR294">_xlfn.LET(
  _xlpm.raw, LOWER(TRIM('Sales_RAW(BEFORE)'!AP303)),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294" s="3"/>
      <c r="AT294" s="3"/>
      <c r="AU294" s="3"/>
      <c r="AV294" s="8">
        <f>IF(IFERROR(VALUE(SUBSTITUTE(SUBSTITUTE(TRIM('Sales_RAW(BEFORE)'!AT303), "%", ""), ",", ".")), 0) &gt; 1, IFERROR(VALUE(SUBSTITUTE(SUBSTITUTE(TRIM('Sales_RAW(BEFORE)'!AT303), "%", ""), ",", ".")), 0) / 100, IFERROR(VALUE(SUBSTITUTE(SUBSTITUTE(TRIM('Sales_RAW(BEFORE)'!AT303), "%", ""), ",", ".")), 0))</f>
        <v>0.25</v>
      </c>
      <c r="AW294" s="6">
        <f>BA294*(_xlfn.XLOOKUP(N294,Employees!$A$2:$A$26,Employees!$E$2:$E$26,2))</f>
        <v>22.5803376</v>
      </c>
      <c r="AX294" s="3" t="str">
        <f>PROPER('Sales_RAW(BEFORE)'!AV303)</f>
        <v xml:space="preserve"> Daniel Miller</v>
      </c>
      <c r="AY294" s="3" t="str">
        <f t="shared" si="23"/>
        <v xml:space="preserve"> Daniel Miller</v>
      </c>
      <c r="AZ294" s="3"/>
      <c r="BA294" s="24">
        <f>AK294*(1-(_xlfn.XLOOKUP(G294, Exchange_Rates!$B$8:$F$8, Exchange_Rates!$B$9:$F$9, 0)+J294))</f>
        <v>1129.0168799999999</v>
      </c>
      <c r="BB294" s="7" cm="1">
        <f t="array" ref="BB294">_xlfn.LET(
  _xlpm.raw_dt, SUBSTITUTE(TRIM(C294), ".", "/"),
  _xlpm.dt, IFERROR(DATEVALUE(_xlpm.raw_dt), C294),
  _xlpm.p_code, TRIM(E294),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46613</v>
      </c>
      <c r="BC294" s="25">
        <f t="shared" si="24"/>
        <v>282.25421999999998</v>
      </c>
    </row>
    <row r="295" spans="1:55" ht="15.75" thickBot="1" x14ac:dyDescent="0.3">
      <c r="A295" s="3" t="s">
        <v>4699</v>
      </c>
      <c r="B295" s="10">
        <f>DATE(2026,6,10)</f>
        <v>46183</v>
      </c>
      <c r="C295" s="4">
        <v>46186</v>
      </c>
      <c r="D295" s="3" t="str">
        <f>"P-" &amp; TEXT(VALUE(SUBSTITUTE(SUBSTITUTE(SUBSTITUTE(UPPER(TRIM('Sales_RAW(BEFORE)'!D304)), "P", ""), "-", ""), "_", "")),"000")</f>
        <v>P-027</v>
      </c>
      <c r="E295" s="3" t="str">
        <f>VLOOKUP(D295,Product_List!$A$2:$B$61,2,FALSE)</f>
        <v>Desk X 27</v>
      </c>
      <c r="F295" s="3" t="str">
        <f>_xlfn.XLOOKUP(E295,Product_List!$B$2:$B$61,Product_List!$E$2:$E$61,2)</f>
        <v>Global Distrib</v>
      </c>
      <c r="G295" s="3" t="str">
        <f>VLOOKUP(E295,Product_List!$B$2:$C$61,2,FALSE)</f>
        <v>Equipment</v>
      </c>
      <c r="H295" s="3" t="str">
        <f>SUBSTITUTE(SUBSTITUTE('Sales_RAW(BEFORE)'!G304,"kom",""),".","")</f>
        <v>32</v>
      </c>
      <c r="I295" s="6">
        <f>VLOOKUP(E295,Product_List!$B$2:$D$61,3,FALSE)</f>
        <v>180.06</v>
      </c>
      <c r="J295" s="5">
        <f>IF(IFERROR(VALUE(SUBSTITUTE(SUBSTITUTE(TRIM('Sales_RAW(BEFORE)'!I304), "%", ""), ",", ".")), 0) &gt; 1, IFERROR(VALUE(SUBSTITUTE(SUBSTITUTE(TRIM('Sales_RAW(BEFORE)'!I304), "%", ""), ",", ".")), 0) / 100, IFERROR(VALUE(SUBSTITUTE(SUBSTITUTE(TRIM('Sales_RAW(BEFORE)'!I304), "%", ""), ",", ".")), 0))</f>
        <v>0.1</v>
      </c>
      <c r="K295" s="6">
        <f t="shared" si="22"/>
        <v>5761.92</v>
      </c>
      <c r="L295" s="6" t="str" cm="1">
        <f t="array" ref="L295">_xlfn.LET(
  _xlpm.valuta, UPPER(TRIM('Sales_RAW(BEFORE)'!K304)),
  _xlfn.IFS(
    _xlpm.valuta = "", "",
    OR(_xlpm.valuta = "USD", _xlpm.valuta = "$"), "$",
    OR(_xlpm.valuta = "EUR", _xlpm.valuta = "€"), "€",
    TRUE, _xlpm.valuta
  )
)</f>
        <v>$</v>
      </c>
      <c r="M295" s="3" t="str">
        <f>"E" &amp; TEXT(VALUE(SUBSTITUTE(SUBSTITUTE(SUBSTITUTE(UPPER(TRIM('Sales_RAW(BEFORE)'!L304)), "EMP", ""), "E", ""), "-", "")),"000")</f>
        <v>E013</v>
      </c>
      <c r="N295" s="3" t="str">
        <f>_xlfn.XLOOKUP(M295,Employees!$D$2:$D$26,Employees!$A$2:$A$26)</f>
        <v>Robert Williams</v>
      </c>
      <c r="O295" s="3" t="str">
        <f>_xlfn.XLOOKUP(N295,Employees!$A$2:$A$26,Employees!$C$2:$C$26,2)</f>
        <v>Wholesale</v>
      </c>
      <c r="P295" s="3" t="str">
        <f>PROPER('Sales_RAW(BEFORE)'!N304)</f>
        <v>North</v>
      </c>
      <c r="Q295" s="3" t="str">
        <f>VLOOKUP(N295,Employees!$A$2:$B$26,2,FALSE)</f>
        <v>Houston</v>
      </c>
      <c r="R295" s="3" t="str">
        <f>PROPER('Sales_RAW(BEFORE)'!P304)</f>
        <v>Vortex Inc.</v>
      </c>
      <c r="S295" s="3" t="str">
        <f>SUBSTITUTE(SUBSTITUTE('Sales_RAW(BEFORE)'!Q304,"EIN",""),":","")</f>
        <v xml:space="preserve"> 576491065</v>
      </c>
      <c r="T295" s="3" t="s">
        <v>169</v>
      </c>
      <c r="U295" s="3" t="s">
        <v>4705</v>
      </c>
      <c r="V295" s="3" t="s">
        <v>4706</v>
      </c>
      <c r="W295" s="3" t="s">
        <v>4707</v>
      </c>
      <c r="X295" s="3" t="s">
        <v>173</v>
      </c>
      <c r="Y295" s="3" t="str">
        <f>PROPER('Sales_RAW(BEFORE)'!W304)</f>
        <v>Credit Card</v>
      </c>
      <c r="Z295" s="3" t="str">
        <f>PROPER('Sales_RAW(BEFORE)'!X304)</f>
        <v>Delivered</v>
      </c>
      <c r="AA295" s="3" t="str" cm="1">
        <f t="array" ref="AA295">_xlfn.LET(
  _xlpm.val, TRIM(LOWER('Sales_RAW(BEFORE)'!Y304)),
  _xlfn.IFS(
    OR(_xlpm.val="yes", _xlpm.val="paid"), "Paid",
    OR(_xlpm.val="no", _xlpm.val="unpaid"), "Unpaid",
    OR(_xlpm.val="partial", _xlpm.val="partial paid"), "Partial",
    _xlpm.val="", "",
    TRUE, 'Sales_RAW(BEFORE)'!AY304
  )
)</f>
        <v>Paid</v>
      </c>
      <c r="AB295" s="3" t="s">
        <v>4708</v>
      </c>
      <c r="AC295" s="3" t="str">
        <f>PROPER('Sales_RAW(BEFORE)'!AA304)</f>
        <v>Web</v>
      </c>
      <c r="AD295" s="3" t="str">
        <f>SUBSTITUTE(SUBSTITUTE(SUBSTITUTE(SUBSTITUTE('Sales_RAW(BEFORE)'!AB304,"st",""),"q",""),"Q",""),"uarter","")</f>
        <v>3</v>
      </c>
      <c r="AE295" s="3" t="str">
        <f>TEXT(IFERROR(DATEVALUE('Sales_RAW(BEFORE)'!AC304 &amp; " 1"), IFERROR(DATE(2025, 'Sales_RAW(BEFORE)'!AC304, 1), 'Sales_RAW(BEFORE)'!AC304)), "mmmm")</f>
        <v>June</v>
      </c>
      <c r="AF295" s="3">
        <f>_xlfn.LET(
  _xlpm.raw, TRIM(SUBSTITUTE('Sales_RAW(BEFORE)'!AD304, "'", "")),
  _xlpm.num, IFERROR(VALUE(_xlpm.raw), 0),
  IF(_xlpm.num &lt; 100, 2000 + _xlpm.num, _xlpm.num)
)</f>
        <v>2026</v>
      </c>
      <c r="AG295" s="3" t="str">
        <f>PROPER('Sales_RAW(BEFORE)'!AE304)</f>
        <v>Immediate</v>
      </c>
      <c r="AH295" s="3" cm="1">
        <f t="array" ref="AH295">_xlfn.LET(
  _xlpm.val, LOWER(TRIM('Sales_RAW(BEFORE)'!AF304)),
  _xlfn.IFS(
    OR(_xlpm.val="", _xlpm.val="null", _xlpm.val="N/A", _xlpm.val="-", _xlpm.val="#N/A"), 0,
    ISNUMBER('Sales_RAW(BEFORE)'!AF304), 'Sales_RAW(BEFORE)'!AF304,
    TRUE, IFERROR(_xlfn.NUMBERVALUE(_xlpm.val), 0)
  )
)</f>
        <v>0</v>
      </c>
      <c r="AI295" s="5">
        <f>IF(IFERROR(VALUE(SUBSTITUTE(SUBSTITUTE(TRIM('Sales_RAW(BEFORE)'!AG304), "%", ""), ",", ".")), 0) &gt; 1, IFERROR(VALUE(SUBSTITUTE(SUBSTITUTE(TRIM('Sales_RAW(BEFORE)'!AG304), "%", ""), ",", ".")), 0) / 100, IFERROR(VALUE(SUBSTITUTE(SUBSTITUTE(TRIM('Sales_RAW(BEFORE)'!AG304), "%", ""), ",", ".")), 0))</f>
        <v>0.08</v>
      </c>
      <c r="AJ295" s="6">
        <f t="shared" si="20"/>
        <v>460.95359999999999</v>
      </c>
      <c r="AK295" s="6">
        <f t="shared" si="21"/>
        <v>6222.8735999999999</v>
      </c>
      <c r="AL295" s="6">
        <f>IFERROR(VALUE(SUBSTITUTE(SUBSTITUTE(SUBSTITUTE('Sales_RAW(BEFORE)'!AJ304,"$",""),"USD",""),",",".")),0)</f>
        <v>11.65</v>
      </c>
      <c r="AM295" s="3" t="str">
        <f>SUBSTITUTE(SUBSTITUTE(PROPER('Sales_RAW(BEFORE)'!AK304), "Fed Ex", "FedEx"),"Fedex","FedEx")</f>
        <v>Usps</v>
      </c>
      <c r="AN295" s="3" t="s">
        <v>4710</v>
      </c>
      <c r="AO295" s="3" t="str">
        <f>SUBSTITUTE('Sales_RAW(BEFORE)'!AM304,"kg","")</f>
        <v>14.9</v>
      </c>
      <c r="AP295" s="3" t="str">
        <f>_xlfn.LET(
  _xlpm.raw, UPPER(TRIM('Sales_RAW(BEFORE)'!AN304)),
  _xlpm.clean, RIGHT(_xlpm.raw, 1),
  IF(OR(_xlpm.raw="", _xlpm.raw="null"), "N/A", _xlpm.clean)
)</f>
        <v>B</v>
      </c>
      <c r="AQ295" s="3">
        <v>490</v>
      </c>
      <c r="AR295" s="3" cm="1">
        <f t="array" ref="AR295">_xlfn.LET(
  _xlpm.raw, LOWER(TRIM('Sales_RAW(BEFORE)'!AP304)),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295" s="3"/>
      <c r="AT295" s="3"/>
      <c r="AU295" s="3"/>
      <c r="AV295" s="8">
        <f>IF(IFERROR(VALUE(SUBSTITUTE(SUBSTITUTE(TRIM('Sales_RAW(BEFORE)'!AT304), "%", ""), ",", ".")), 0) &gt; 1, IFERROR(VALUE(SUBSTITUTE(SUBSTITUTE(TRIM('Sales_RAW(BEFORE)'!AT304), "%", ""), ",", ".")), 0) / 100, IFERROR(VALUE(SUBSTITUTE(SUBSTITUTE(TRIM('Sales_RAW(BEFORE)'!AT304), "%", ""), ",", ".")), 0))</f>
        <v>0.25</v>
      </c>
      <c r="AW295" s="6">
        <f>BA295*(_xlfn.XLOOKUP(N295,Employees!$A$2:$A$26,Employees!$E$2:$E$26,2))</f>
        <v>248.91494400000002</v>
      </c>
      <c r="AX295" s="3" t="str">
        <f>PROPER('Sales_RAW(BEFORE)'!AV304)</f>
        <v>Sarah Anderson</v>
      </c>
      <c r="AY295" s="3" t="str">
        <f t="shared" si="23"/>
        <v>Sarah Anderson</v>
      </c>
      <c r="AZ295" s="3"/>
      <c r="BA295" s="24">
        <f>AK295*(1-(_xlfn.XLOOKUP(G295, Exchange_Rates!$B$8:$F$8, Exchange_Rates!$B$9:$F$9, 0)+J295))</f>
        <v>4978.2988800000003</v>
      </c>
      <c r="BB295" s="7" cm="1">
        <f t="array" ref="BB295">_xlfn.LET(
  _xlpm.raw_dt, SUBSTITUTE(TRIM(C295), ".", "/"),
  _xlpm.dt, IFERROR(DATEVALUE(_xlpm.raw_dt), C295),
  _xlpm.p_code, TRIM(E295),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46917</v>
      </c>
      <c r="BC295" s="25">
        <f t="shared" si="24"/>
        <v>1244.5747200000001</v>
      </c>
    </row>
    <row r="296" spans="1:55" ht="15.75" thickBot="1" x14ac:dyDescent="0.3">
      <c r="A296" s="3" t="s">
        <v>4712</v>
      </c>
      <c r="B296" s="10">
        <v>46183</v>
      </c>
      <c r="C296" s="4">
        <v>46332</v>
      </c>
      <c r="D296" s="3" t="str">
        <f>"P-" &amp; TEXT(VALUE(SUBSTITUTE(SUBSTITUTE(SUBSTITUTE(UPPER(TRIM('Sales_RAW(BEFORE)'!D305)), "P", ""), "-", ""), "_", "")),"000")</f>
        <v>P-055</v>
      </c>
      <c r="E296" s="3" t="str">
        <f>VLOOKUP(D296,Product_List!$A$2:$B$61,2,FALSE)</f>
        <v>Cable Basic 55</v>
      </c>
      <c r="F296" s="3" t="str">
        <f>_xlfn.XLOOKUP(E296,Product_List!$B$2:$B$61,Product_List!$E$2:$E$61,2)</f>
        <v>BestParts</v>
      </c>
      <c r="G296" s="3" t="str">
        <f>VLOOKUP(E296,Product_List!$B$2:$C$61,2,FALSE)</f>
        <v>Office</v>
      </c>
      <c r="H296" s="3" t="str">
        <f>SUBSTITUTE(SUBSTITUTE('Sales_RAW(BEFORE)'!G305,"kom",""),".","")</f>
        <v xml:space="preserve">10 </v>
      </c>
      <c r="I296" s="6">
        <f>VLOOKUP(E296,Product_List!$B$2:$D$61,3,FALSE)</f>
        <v>921.78</v>
      </c>
      <c r="J296" s="5">
        <f>IF(IFERROR(VALUE(SUBSTITUTE(SUBSTITUTE(TRIM('Sales_RAW(BEFORE)'!I305), "%", ""), ",", ".")), 0) &gt; 1, IFERROR(VALUE(SUBSTITUTE(SUBSTITUTE(TRIM('Sales_RAW(BEFORE)'!I305), "%", ""), ",", ".")), 0) / 100, IFERROR(VALUE(SUBSTITUTE(SUBSTITUTE(TRIM('Sales_RAW(BEFORE)'!I305), "%", ""), ",", ".")), 0))</f>
        <v>0.1</v>
      </c>
      <c r="K296" s="6">
        <f t="shared" si="22"/>
        <v>9217.7999999999993</v>
      </c>
      <c r="L296" s="6" t="str" cm="1">
        <f t="array" ref="L296">_xlfn.LET(
  _xlpm.valuta, UPPER(TRIM('Sales_RAW(BEFORE)'!K305)),
  _xlfn.IFS(
    _xlpm.valuta = "", "",
    OR(_xlpm.valuta = "USD", _xlpm.valuta = "$"), "$",
    OR(_xlpm.valuta = "EUR", _xlpm.valuta = "€"), "€",
    TRUE, _xlpm.valuta
  )
)</f>
        <v>$</v>
      </c>
      <c r="M296" s="3" t="str">
        <f>"E" &amp; TEXT(VALUE(SUBSTITUTE(SUBSTITUTE(SUBSTITUTE(UPPER(TRIM('Sales_RAW(BEFORE)'!L305)), "EMP", ""), "E", ""), "-", "")),"000")</f>
        <v>E016</v>
      </c>
      <c r="N296" s="3" t="str">
        <f>_xlfn.XLOOKUP(M296,Employees!$D$2:$D$26,Employees!$A$2:$A$26)</f>
        <v>Chris Anderson</v>
      </c>
      <c r="O296" s="3" t="str">
        <f>_xlfn.XLOOKUP(N296,Employees!$A$2:$A$26,Employees!$C$2:$C$26,2)</f>
        <v>Online</v>
      </c>
      <c r="P296" s="3" t="str">
        <f>PROPER('Sales_RAW(BEFORE)'!N305)</f>
        <v>North</v>
      </c>
      <c r="Q296" s="3" t="str">
        <f>VLOOKUP(N296,Employees!$A$2:$B$26,2,FALSE)</f>
        <v>Chicago</v>
      </c>
      <c r="R296" s="3" t="str">
        <f>PROPER('Sales_RAW(BEFORE)'!P305)</f>
        <v xml:space="preserve">Stark Llc  </v>
      </c>
      <c r="S296" s="3" t="str">
        <f>SUBSTITUTE(SUBSTITUTE('Sales_RAW(BEFORE)'!Q305,"EIN",""),":","")</f>
        <v>851653450</v>
      </c>
      <c r="T296" s="3" t="s">
        <v>976</v>
      </c>
      <c r="U296" s="3" t="s">
        <v>4721</v>
      </c>
      <c r="V296" s="3" t="s">
        <v>4722</v>
      </c>
      <c r="W296" s="3" t="s">
        <v>4723</v>
      </c>
      <c r="X296" s="3" t="s">
        <v>173</v>
      </c>
      <c r="Y296" s="3" t="str">
        <f>PROPER('Sales_RAW(BEFORE)'!W305)</f>
        <v>Wire</v>
      </c>
      <c r="Z296" s="3" t="str">
        <f>PROPER('Sales_RAW(BEFORE)'!X305)</f>
        <v>Delivered</v>
      </c>
      <c r="AA296" s="3" t="str" cm="1">
        <f t="array" ref="AA296">_xlfn.LET(
  _xlpm.val, TRIM(LOWER('Sales_RAW(BEFORE)'!Y305)),
  _xlfn.IFS(
    OR(_xlpm.val="yes", _xlpm.val="paid"), "Paid",
    OR(_xlpm.val="no", _xlpm.val="unpaid"), "Unpaid",
    OR(_xlpm.val="partial", _xlpm.val="partial paid"), "Partial",
    _xlpm.val="", "",
    TRUE, 'Sales_RAW(BEFORE)'!AY305
  )
)</f>
        <v>Paid</v>
      </c>
      <c r="AB296" s="3" t="s">
        <v>4724</v>
      </c>
      <c r="AC296" s="3" t="str">
        <f>PROPER('Sales_RAW(BEFORE)'!AA305)</f>
        <v>Store</v>
      </c>
      <c r="AD296" s="3" t="str">
        <f>SUBSTITUTE(SUBSTITUTE(SUBSTITUTE(SUBSTITUTE('Sales_RAW(BEFORE)'!AB305,"st",""),"q",""),"Q",""),"uarter","")</f>
        <v>2</v>
      </c>
      <c r="AE296" s="3" t="str">
        <f>TEXT(IFERROR(DATEVALUE('Sales_RAW(BEFORE)'!AC305 &amp; " 1"), IFERROR(DATE(2025, 'Sales_RAW(BEFORE)'!AC305, 1), 'Sales_RAW(BEFORE)'!AC305)), "mmmm")</f>
        <v>June</v>
      </c>
      <c r="AF296" s="3">
        <f>_xlfn.LET(
  _xlpm.raw, TRIM(SUBSTITUTE('Sales_RAW(BEFORE)'!AD305, "'", "")),
  _xlpm.num, IFERROR(VALUE(_xlpm.raw), 0),
  IF(_xlpm.num &lt; 100, 2000 + _xlpm.num, _xlpm.num)
)</f>
        <v>2026</v>
      </c>
      <c r="AG296" s="3" t="str">
        <f>PROPER('Sales_RAW(BEFORE)'!AE305)</f>
        <v>Net 60</v>
      </c>
      <c r="AH296" s="3" cm="1">
        <f t="array" ref="AH296">_xlfn.LET(
  _xlpm.val, LOWER(TRIM('Sales_RAW(BEFORE)'!AF305)),
  _xlfn.IFS(
    OR(_xlpm.val="", _xlpm.val="null", _xlpm.val="N/A", _xlpm.val="-", _xlpm.val="#N/A"), 0,
    ISNUMBER('Sales_RAW(BEFORE)'!AF305), 'Sales_RAW(BEFORE)'!AF305,
    TRUE, IFERROR(_xlfn.NUMBERVALUE(_xlpm.val), 0)
  )
)</f>
        <v>0</v>
      </c>
      <c r="AI296" s="5">
        <f>IF(IFERROR(VALUE(SUBSTITUTE(SUBSTITUTE(TRIM('Sales_RAW(BEFORE)'!AG305), "%", ""), ",", ".")), 0) &gt; 1, IFERROR(VALUE(SUBSTITUTE(SUBSTITUTE(TRIM('Sales_RAW(BEFORE)'!AG305), "%", ""), ",", ".")), 0) / 100, IFERROR(VALUE(SUBSTITUTE(SUBSTITUTE(TRIM('Sales_RAW(BEFORE)'!AG305), "%", ""), ",", ".")), 0))</f>
        <v>0.08</v>
      </c>
      <c r="AJ296" s="6">
        <f t="shared" si="20"/>
        <v>737.42399999999998</v>
      </c>
      <c r="AK296" s="6">
        <f t="shared" si="21"/>
        <v>9955.2239999999983</v>
      </c>
      <c r="AL296" s="6">
        <f>IFERROR(VALUE(SUBSTITUTE(SUBSTITUTE(SUBSTITUTE('Sales_RAW(BEFORE)'!AJ305,"$",""),"USD",""),",",".")),0)</f>
        <v>6.72</v>
      </c>
      <c r="AM296" s="3" t="str">
        <f>SUBSTITUTE(SUBSTITUTE(PROPER('Sales_RAW(BEFORE)'!AK305), "Fed Ex", "FedEx"),"Fedex","FedEx")</f>
        <v>FedEx</v>
      </c>
      <c r="AN296" s="3" t="s">
        <v>4726</v>
      </c>
      <c r="AO296" s="3" t="str">
        <f>SUBSTITUTE('Sales_RAW(BEFORE)'!AM305,"kg","")</f>
        <v>14,32</v>
      </c>
      <c r="AP296" s="3" t="str">
        <f>_xlfn.LET(
  _xlpm.raw, UPPER(TRIM('Sales_RAW(BEFORE)'!AN305)),
  _xlpm.clean, RIGHT(_xlpm.raw, 1),
  IF(OR(_xlpm.raw="", _xlpm.raw="null"), "N/A", _xlpm.clean)
)</f>
        <v>C</v>
      </c>
      <c r="AQ296" s="3">
        <v>290</v>
      </c>
      <c r="AR296" s="3" cm="1">
        <f t="array" ref="AR296">_xlfn.LET(
  _xlpm.raw, LOWER(TRIM('Sales_RAW(BEFORE)'!AP305)),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296" s="3"/>
      <c r="AT296" s="3"/>
      <c r="AU296" s="3"/>
      <c r="AV296" s="8">
        <f>IF(IFERROR(VALUE(SUBSTITUTE(SUBSTITUTE(TRIM('Sales_RAW(BEFORE)'!AT305), "%", ""), ",", ".")), 0) &gt; 1, IFERROR(VALUE(SUBSTITUTE(SUBSTITUTE(TRIM('Sales_RAW(BEFORE)'!AT305), "%", ""), ",", ".")), 0) / 100, IFERROR(VALUE(SUBSTITUTE(SUBSTITUTE(TRIM('Sales_RAW(BEFORE)'!AT305), "%", ""), ",", ".")), 0))</f>
        <v>0.18</v>
      </c>
      <c r="AW296" s="6">
        <f>BA296*(_xlfn.XLOOKUP(N296,Employees!$A$2:$A$26,Employees!$E$2:$E$26,2))</f>
        <v>238.92537599999994</v>
      </c>
      <c r="AX296" s="3" t="str">
        <f>PROPER('Sales_RAW(BEFORE)'!AV305)</f>
        <v>Sarah Anderson</v>
      </c>
      <c r="AY296" s="3" t="str">
        <f t="shared" si="23"/>
        <v>Sarah Anderson</v>
      </c>
      <c r="AZ296" s="3"/>
      <c r="BA296" s="24">
        <f>AK296*(1-(_xlfn.XLOOKUP(G296, Exchange_Rates!$B$8:$F$8, Exchange_Rates!$B$9:$F$9, 0)+J296))</f>
        <v>7964.1791999999987</v>
      </c>
      <c r="BB296" s="7" cm="1">
        <f t="array" ref="BB296">_xlfn.LET(
  _xlpm.raw_dt, SUBSTITUTE(TRIM(C296), ".", "/"),
  _xlpm.dt, IFERROR(DATEVALUE(_xlpm.raw_dt), C296),
  _xlpm.p_code, TRIM(E296),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47063</v>
      </c>
      <c r="BC296" s="25">
        <f t="shared" si="24"/>
        <v>1433.5522559999997</v>
      </c>
    </row>
    <row r="297" spans="1:55" ht="15.75" thickBot="1" x14ac:dyDescent="0.3">
      <c r="A297" s="3" t="s">
        <v>4728</v>
      </c>
      <c r="B297" s="10">
        <v>46033</v>
      </c>
      <c r="C297" s="4">
        <v>46040</v>
      </c>
      <c r="D297" s="3" t="str">
        <f>"P-" &amp; TEXT(VALUE(SUBSTITUTE(SUBSTITUTE(SUBSTITUTE(UPPER(TRIM('Sales_RAW(BEFORE)'!D306)), "P", ""), "-", ""), "_", "")),"000")</f>
        <v>P-011</v>
      </c>
      <c r="E297" s="3" t="str">
        <f>VLOOKUP(D297,Product_List!$A$2:$B$61,2,FALSE)</f>
        <v>Mouse Pro 11</v>
      </c>
      <c r="F297" s="3" t="str">
        <f>_xlfn.XLOOKUP(E297,Product_List!$B$2:$B$61,Product_List!$E$2:$E$61,2)</f>
        <v>OfficeHub</v>
      </c>
      <c r="G297" s="3" t="str">
        <f>VLOOKUP(E297,Product_List!$B$2:$C$61,2,FALSE)</f>
        <v>Equipment</v>
      </c>
      <c r="H297" s="3" t="str">
        <f>SUBSTITUTE(SUBSTITUTE('Sales_RAW(BEFORE)'!G306,"kom",""),".","")</f>
        <v>15</v>
      </c>
      <c r="I297" s="6">
        <f>VLOOKUP(E297,Product_List!$B$2:$D$61,3,FALSE)</f>
        <v>858.95</v>
      </c>
      <c r="J297" s="5">
        <f>IF(IFERROR(VALUE(SUBSTITUTE(SUBSTITUTE(TRIM('Sales_RAW(BEFORE)'!I306), "%", ""), ",", ".")), 0) &gt; 1, IFERROR(VALUE(SUBSTITUTE(SUBSTITUTE(TRIM('Sales_RAW(BEFORE)'!I306), "%", ""), ",", ".")), 0) / 100, IFERROR(VALUE(SUBSTITUTE(SUBSTITUTE(TRIM('Sales_RAW(BEFORE)'!I306), "%", ""), ",", ".")), 0))</f>
        <v>0.1</v>
      </c>
      <c r="K297" s="6">
        <f>(H297*I297)/(HLOOKUP(AE297,Exchange_Rates!$B$1:$M$2,2,FALSE))</f>
        <v>13928.918918918918</v>
      </c>
      <c r="L297" s="6" t="str" cm="1">
        <f t="array" ref="L297">_xlfn.LET(
  _xlpm.valuta, UPPER(TRIM('Sales_RAW(BEFORE)'!K306)),
  _xlfn.IFS(
    _xlpm.valuta = "", "",
    OR(_xlpm.valuta = "USD", _xlpm.valuta = "$"), "$",
    OR(_xlpm.valuta = "EUR", _xlpm.valuta = "€"), "€",
    TRUE, _xlpm.valuta
  )
)</f>
        <v>€</v>
      </c>
      <c r="M297" s="3" t="str">
        <f>"E" &amp; TEXT(VALUE(SUBSTITUTE(SUBSTITUTE(SUBSTITUTE(UPPER(TRIM('Sales_RAW(BEFORE)'!L306)), "EMP", ""), "E", ""), "-", "")),"000")</f>
        <v>E002</v>
      </c>
      <c r="N297" s="3" t="str">
        <f>_xlfn.XLOOKUP(M297,Employees!$D$2:$D$26,Employees!$A$2:$A$26)</f>
        <v>Sarah Wilson</v>
      </c>
      <c r="O297" s="3" t="str">
        <f>_xlfn.XLOOKUP(N297,Employees!$A$2:$A$26,Employees!$C$2:$C$26,2)</f>
        <v>Online</v>
      </c>
      <c r="P297" s="3" t="str">
        <f>PROPER('Sales_RAW(BEFORE)'!N306)</f>
        <v>South</v>
      </c>
      <c r="Q297" s="3" t="str">
        <f>VLOOKUP(N297,Employees!$A$2:$B$26,2,FALSE)</f>
        <v>Los Angeles</v>
      </c>
      <c r="R297" s="3" t="str">
        <f>PROPER('Sales_RAW(BEFORE)'!P306)</f>
        <v>Wayne Inc</v>
      </c>
      <c r="S297" s="3" t="str">
        <f>SUBSTITUTE(SUBSTITUTE('Sales_RAW(BEFORE)'!Q306,"EIN",""),":","")</f>
        <v>409679581</v>
      </c>
      <c r="T297" s="3" t="s">
        <v>464</v>
      </c>
      <c r="U297" s="3" t="s">
        <v>4734</v>
      </c>
      <c r="V297" s="3" t="s">
        <v>4735</v>
      </c>
      <c r="W297" s="3"/>
      <c r="X297" s="3" t="s">
        <v>173</v>
      </c>
      <c r="Y297" s="3" t="str">
        <f>PROPER('Sales_RAW(BEFORE)'!W306)</f>
        <v>Wire</v>
      </c>
      <c r="Z297" s="3" t="str">
        <f>PROPER('Sales_RAW(BEFORE)'!X306)</f>
        <v>Delivered</v>
      </c>
      <c r="AA297" s="3" t="str" cm="1">
        <f t="array" ref="AA297">_xlfn.LET(
  _xlpm.val, TRIM(LOWER('Sales_RAW(BEFORE)'!Y306)),
  _xlfn.IFS(
    OR(_xlpm.val="yes", _xlpm.val="paid"), "Paid",
    OR(_xlpm.val="no", _xlpm.val="unpaid"), "Unpaid",
    OR(_xlpm.val="partial", _xlpm.val="partial paid"), "Partial",
    _xlpm.val="", "",
    TRUE, 'Sales_RAW(BEFORE)'!AY306
  )
)</f>
        <v>Partial</v>
      </c>
      <c r="AB297" s="3" t="s">
        <v>4736</v>
      </c>
      <c r="AC297" s="3" t="str">
        <f>PROPER('Sales_RAW(BEFORE)'!AA306)</f>
        <v>Online</v>
      </c>
      <c r="AD297" s="3" t="str">
        <f>SUBSTITUTE(SUBSTITUTE(SUBSTITUTE(SUBSTITUTE('Sales_RAW(BEFORE)'!AB306,"st",""),"q",""),"Q",""),"uarter","")</f>
        <v>3</v>
      </c>
      <c r="AE297" s="3" t="str">
        <f>TEXT(IFERROR(DATEVALUE('Sales_RAW(BEFORE)'!AC306 &amp; " 1"), IFERROR(DATE(2025, 'Sales_RAW(BEFORE)'!AC306, 1), 'Sales_RAW(BEFORE)'!AC306)), "mmmm")</f>
        <v>January</v>
      </c>
      <c r="AF297" s="3">
        <f>_xlfn.LET(
  _xlpm.raw, TRIM(SUBSTITUTE('Sales_RAW(BEFORE)'!AD306, "'", "")),
  _xlpm.num, IFERROR(VALUE(_xlpm.raw), 0),
  IF(_xlpm.num &lt; 100, 2000 + _xlpm.num, _xlpm.num)
)</f>
        <v>2026</v>
      </c>
      <c r="AG297" s="3" t="str">
        <f>PROPER('Sales_RAW(BEFORE)'!AE306)</f>
        <v>Net 60</v>
      </c>
      <c r="AH297" s="3" cm="1">
        <f t="array" ref="AH297">_xlfn.LET(
  _xlpm.val, LOWER(TRIM('Sales_RAW(BEFORE)'!AF306)),
  _xlfn.IFS(
    OR(_xlpm.val="", _xlpm.val="null", _xlpm.val="N/A", _xlpm.val="-", _xlpm.val="#N/A"), 0,
    ISNUMBER('Sales_RAW(BEFORE)'!AF306), 'Sales_RAW(BEFORE)'!AF306,
    TRUE, IFERROR(_xlfn.NUMBERVALUE(_xlpm.val), 0)
  )
)</f>
        <v>0</v>
      </c>
      <c r="AI297" s="5">
        <f>IF(IFERROR(VALUE(SUBSTITUTE(SUBSTITUTE(TRIM('Sales_RAW(BEFORE)'!AG306), "%", ""), ",", ".")), 0) &gt; 1, IFERROR(VALUE(SUBSTITUTE(SUBSTITUTE(TRIM('Sales_RAW(BEFORE)'!AG306), "%", ""), ",", ".")), 0) / 100, IFERROR(VALUE(SUBSTITUTE(SUBSTITUTE(TRIM('Sales_RAW(BEFORE)'!AG306), "%", ""), ",", ".")), 0))</f>
        <v>0.08</v>
      </c>
      <c r="AJ297" s="6">
        <f t="shared" si="20"/>
        <v>1114.3135135135135</v>
      </c>
      <c r="AK297" s="6">
        <f t="shared" si="21"/>
        <v>15043.232432432433</v>
      </c>
      <c r="AL297" s="6">
        <f>IFERROR(VALUE(SUBSTITUTE(SUBSTITUTE(SUBSTITUTE('Sales_RAW(BEFORE)'!AJ306,"$",""),"USD",""),",",".")),0)</f>
        <v>32.049999999999997</v>
      </c>
      <c r="AM297" s="3" t="str">
        <f>SUBSTITUTE(SUBSTITUTE(PROPER('Sales_RAW(BEFORE)'!AK306), "Fed Ex", "FedEx"),"Fedex","FedEx")</f>
        <v>Dhl</v>
      </c>
      <c r="AN297" s="3" t="s">
        <v>4738</v>
      </c>
      <c r="AO297" s="3" t="str">
        <f>SUBSTITUTE('Sales_RAW(BEFORE)'!AM306,"kg","")</f>
        <v>12.34</v>
      </c>
      <c r="AP297" s="3" t="str">
        <f>_xlfn.LET(
  _xlpm.raw, UPPER(TRIM('Sales_RAW(BEFORE)'!AN306)),
  _xlpm.clean, RIGHT(_xlpm.raw, 1),
  IF(OR(_xlpm.raw="", _xlpm.raw="null"), "N/A", _xlpm.clean)
)</f>
        <v>C</v>
      </c>
      <c r="AQ297" s="3">
        <v>146</v>
      </c>
      <c r="AR297" s="3" cm="1">
        <f t="array" ref="AR297">_xlfn.LET(
  _xlpm.raw, LOWER(TRIM('Sales_RAW(BEFORE)'!AP306)),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297" s="3"/>
      <c r="AT297" s="3"/>
      <c r="AU297" s="3"/>
      <c r="AV297" s="8">
        <f>IF(IFERROR(VALUE(SUBSTITUTE(SUBSTITUTE(TRIM('Sales_RAW(BEFORE)'!AT306), "%", ""), ",", ".")), 0) &gt; 1, IFERROR(VALUE(SUBSTITUTE(SUBSTITUTE(TRIM('Sales_RAW(BEFORE)'!AT306), "%", ""), ",", ".")), 0) / 100, IFERROR(VALUE(SUBSTITUTE(SUBSTITUTE(TRIM('Sales_RAW(BEFORE)'!AT306), "%", ""), ",", ".")), 0))</f>
        <v>0.3</v>
      </c>
      <c r="AW297" s="6">
        <f>BA297*(_xlfn.XLOOKUP(N297,Employees!$A$2:$A$26,Employees!$E$2:$E$26,2))</f>
        <v>361.03757837837838</v>
      </c>
      <c r="AX297" s="3" t="str">
        <f>PROPER('Sales_RAW(BEFORE)'!AV306)</f>
        <v>Sophia Brown</v>
      </c>
      <c r="AY297" s="3" t="str">
        <f t="shared" si="23"/>
        <v>Sophia Brown</v>
      </c>
      <c r="AZ297" s="3"/>
      <c r="BA297" s="24">
        <f>AK297*(1-(_xlfn.XLOOKUP(G297, Exchange_Rates!$B$8:$F$8, Exchange_Rates!$B$9:$F$9, 0)+J297))</f>
        <v>12034.585945945946</v>
      </c>
      <c r="BB297" s="7" cm="1">
        <f t="array" ref="BB297">_xlfn.LET(
  _xlpm.raw_dt, SUBSTITUTE(TRIM(C297), ".", "/"),
  _xlpm.dt, IFERROR(DATEVALUE(_xlpm.raw_dt), C297),
  _xlpm.p_code, TRIM(E297),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46405</v>
      </c>
      <c r="BC297" s="25">
        <f t="shared" si="24"/>
        <v>3610.3757837837838</v>
      </c>
    </row>
    <row r="298" spans="1:55" ht="15.75" thickBot="1" x14ac:dyDescent="0.3">
      <c r="A298" s="3" t="s">
        <v>4740</v>
      </c>
      <c r="B298" s="10">
        <v>46011</v>
      </c>
      <c r="C298" s="4">
        <v>46019</v>
      </c>
      <c r="D298" s="3" t="str">
        <f>"P-" &amp; TEXT(VALUE(SUBSTITUTE(SUBSTITUTE(SUBSTITUTE(UPPER(TRIM('Sales_RAW(BEFORE)'!D307)), "P", ""), "-", ""), "_", "")),"000")</f>
        <v>P-009</v>
      </c>
      <c r="E298" s="3" t="str">
        <f>VLOOKUP(D298,Product_List!$A$2:$B$61,2,FALSE)</f>
        <v>Chair Plus 9</v>
      </c>
      <c r="F298" s="3" t="str">
        <f>_xlfn.XLOOKUP(E298,Product_List!$B$2:$B$61,Product_List!$E$2:$E$61,2)</f>
        <v>BestParts</v>
      </c>
      <c r="G298" s="3" t="str">
        <f>VLOOKUP(E298,Product_List!$B$2:$C$61,2,FALSE)</f>
        <v>Office</v>
      </c>
      <c r="H298" s="3" t="str">
        <f>SUBSTITUTE(SUBSTITUTE('Sales_RAW(BEFORE)'!G307,"kom",""),".","")</f>
        <v xml:space="preserve">26 </v>
      </c>
      <c r="I298" s="6">
        <f>VLOOKUP(E298,Product_List!$B$2:$D$61,3,FALSE)</f>
        <v>813.33</v>
      </c>
      <c r="J298" s="5">
        <f>IF(IFERROR(VALUE(SUBSTITUTE(SUBSTITUTE(TRIM('Sales_RAW(BEFORE)'!I307), "%", ""), ",", ".")), 0) &gt; 1, IFERROR(VALUE(SUBSTITUTE(SUBSTITUTE(TRIM('Sales_RAW(BEFORE)'!I307), "%", ""), ",", ".")), 0) / 100, IFERROR(VALUE(SUBSTITUTE(SUBSTITUTE(TRIM('Sales_RAW(BEFORE)'!I307), "%", ""), ",", ".")), 0))</f>
        <v>0.1</v>
      </c>
      <c r="K298" s="6">
        <f t="shared" si="22"/>
        <v>21146.58</v>
      </c>
      <c r="L298" s="6" t="str" cm="1">
        <f t="array" ref="L298">_xlfn.LET(
  _xlpm.valuta, UPPER(TRIM('Sales_RAW(BEFORE)'!K307)),
  _xlfn.IFS(
    _xlpm.valuta = "", "",
    OR(_xlpm.valuta = "USD", _xlpm.valuta = "$"), "$",
    OR(_xlpm.valuta = "EUR", _xlpm.valuta = "€"), "€",
    TRUE, _xlpm.valuta
  )
)</f>
        <v>$</v>
      </c>
      <c r="M298" s="3" t="str">
        <f>"E" &amp; TEXT(VALUE(SUBSTITUTE(SUBSTITUTE(SUBSTITUTE(UPPER(TRIM('Sales_RAW(BEFORE)'!L307)), "EMP", ""), "E", ""), "-", "")),"000")</f>
        <v>E015</v>
      </c>
      <c r="N298" s="3" t="str">
        <f>_xlfn.XLOOKUP(M298,Employees!$D$2:$D$26,Employees!$A$2:$A$26)</f>
        <v>Sarah Jones</v>
      </c>
      <c r="O298" s="3" t="str">
        <f>_xlfn.XLOOKUP(N298,Employees!$A$2:$A$26,Employees!$C$2:$C$26,2)</f>
        <v>Wholesale</v>
      </c>
      <c r="P298" s="3" t="str">
        <f>PROPER('Sales_RAW(BEFORE)'!N307)</f>
        <v>North</v>
      </c>
      <c r="Q298" s="3" t="str">
        <f>VLOOKUP(N298,Employees!$A$2:$B$26,2,FALSE)</f>
        <v>Boston</v>
      </c>
      <c r="R298" s="3" t="str">
        <f>PROPER('Sales_RAW(BEFORE)'!P307)</f>
        <v xml:space="preserve">Stark Llc   </v>
      </c>
      <c r="S298" s="3" t="str">
        <f>SUBSTITUTE(SUBSTITUTE('Sales_RAW(BEFORE)'!Q307,"EIN",""),":","")</f>
        <v>917666940</v>
      </c>
      <c r="T298" s="3" t="s">
        <v>484</v>
      </c>
      <c r="U298" s="3" t="s">
        <v>4745</v>
      </c>
      <c r="V298" s="3" t="s">
        <v>4746</v>
      </c>
      <c r="W298" s="3" t="s">
        <v>4747</v>
      </c>
      <c r="X298" s="3" t="s">
        <v>173</v>
      </c>
      <c r="Y298" s="3" t="str">
        <f>PROPER('Sales_RAW(BEFORE)'!W307)</f>
        <v>Wire Transfer</v>
      </c>
      <c r="Z298" s="3" t="str">
        <f>PROPER('Sales_RAW(BEFORE)'!X307)</f>
        <v>Delivered</v>
      </c>
      <c r="AA298" s="3" t="str" cm="1">
        <f t="array" ref="AA298">_xlfn.LET(
  _xlpm.val, TRIM(LOWER('Sales_RAW(BEFORE)'!Y307)),
  _xlfn.IFS(
    OR(_xlpm.val="yes", _xlpm.val="paid"), "Paid",
    OR(_xlpm.val="no", _xlpm.val="unpaid"), "Unpaid",
    OR(_xlpm.val="partial", _xlpm.val="partial paid"), "Partial",
    _xlpm.val="", "",
    TRUE, 'Sales_RAW(BEFORE)'!AY307
  )
)</f>
        <v>Unpaid</v>
      </c>
      <c r="AB298" s="3" t="s">
        <v>4748</v>
      </c>
      <c r="AC298" s="3" t="str">
        <f>PROPER('Sales_RAW(BEFORE)'!AA307)</f>
        <v>Store</v>
      </c>
      <c r="AD298" s="3" t="str">
        <f>SUBSTITUTE(SUBSTITUTE(SUBSTITUTE(SUBSTITUTE('Sales_RAW(BEFORE)'!AB307,"st",""),"q",""),"Q",""),"uarter","")</f>
        <v>1</v>
      </c>
      <c r="AE298" s="3" t="str">
        <f>TEXT(IFERROR(DATEVALUE('Sales_RAW(BEFORE)'!AC307 &amp; " 1"), IFERROR(DATE(2025, 'Sales_RAW(BEFORE)'!AC307, 1), 'Sales_RAW(BEFORE)'!AC307)), "mmmm")</f>
        <v>December</v>
      </c>
      <c r="AF298" s="3">
        <f>_xlfn.LET(
  _xlpm.raw, TRIM(SUBSTITUTE('Sales_RAW(BEFORE)'!AD307, "'", "")),
  _xlpm.num, IFERROR(VALUE(_xlpm.raw), 0),
  IF(_xlpm.num &lt; 100, 2000 + _xlpm.num, _xlpm.num)
)</f>
        <v>2025</v>
      </c>
      <c r="AG298" s="3" t="str">
        <f>PROPER('Sales_RAW(BEFORE)'!AE307)</f>
        <v>Net 30</v>
      </c>
      <c r="AH298" s="3" cm="1">
        <f t="array" ref="AH298">_xlfn.LET(
  _xlpm.val, LOWER(TRIM('Sales_RAW(BEFORE)'!AF307)),
  _xlfn.IFS(
    OR(_xlpm.val="", _xlpm.val="null", _xlpm.val="N/A", _xlpm.val="-", _xlpm.val="#N/A"), 0,
    ISNUMBER('Sales_RAW(BEFORE)'!AF307), 'Sales_RAW(BEFORE)'!AF307,
    TRUE, IFERROR(_xlfn.NUMBERVALUE(_xlpm.val), 0)
  )
)</f>
        <v>75</v>
      </c>
      <c r="AI298" s="5">
        <f>IF(IFERROR(VALUE(SUBSTITUTE(SUBSTITUTE(TRIM('Sales_RAW(BEFORE)'!AG307), "%", ""), ",", ".")), 0) &gt; 1, IFERROR(VALUE(SUBSTITUTE(SUBSTITUTE(TRIM('Sales_RAW(BEFORE)'!AG307), "%", ""), ",", ".")), 0) / 100, IFERROR(VALUE(SUBSTITUTE(SUBSTITUTE(TRIM('Sales_RAW(BEFORE)'!AG307), "%", ""), ",", ".")), 0))</f>
        <v>0.08</v>
      </c>
      <c r="AJ298" s="6">
        <f t="shared" si="20"/>
        <v>1691.7264000000002</v>
      </c>
      <c r="AK298" s="6">
        <f t="shared" si="21"/>
        <v>22838.306400000001</v>
      </c>
      <c r="AL298" s="6">
        <f>IFERROR(VALUE(SUBSTITUTE(SUBSTITUTE(SUBSTITUTE('Sales_RAW(BEFORE)'!AJ307,"$",""),"USD",""),",",".")),0)</f>
        <v>28.54</v>
      </c>
      <c r="AM298" s="3" t="str">
        <f>SUBSTITUTE(SUBSTITUTE(PROPER('Sales_RAW(BEFORE)'!AK307), "Fed Ex", "FedEx"),"Fedex","FedEx")</f>
        <v>Dhl</v>
      </c>
      <c r="AN298" s="3" t="s">
        <v>4749</v>
      </c>
      <c r="AO298" s="3" t="str">
        <f>SUBSTITUTE('Sales_RAW(BEFORE)'!AM307,"kg","")</f>
        <v>23,32</v>
      </c>
      <c r="AP298" s="3" t="str">
        <f>_xlfn.LET(
  _xlpm.raw, UPPER(TRIM('Sales_RAW(BEFORE)'!AN307)),
  _xlpm.clean, RIGHT(_xlpm.raw, 1),
  IF(OR(_xlpm.raw="", _xlpm.raw="null"), "N/A", _xlpm.clean)
)</f>
        <v>B</v>
      </c>
      <c r="AQ298" s="3">
        <v>106</v>
      </c>
      <c r="AR298" s="3" cm="1">
        <f t="array" ref="AR298">_xlfn.LET(
  _xlpm.raw, LOWER(TRIM('Sales_RAW(BEFORE)'!AP307)),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298" s="3"/>
      <c r="AT298" s="3"/>
      <c r="AU298" s="3"/>
      <c r="AV298" s="8">
        <f>IF(IFERROR(VALUE(SUBSTITUTE(SUBSTITUTE(TRIM('Sales_RAW(BEFORE)'!AT307), "%", ""), ",", ".")), 0) &gt; 1, IFERROR(VALUE(SUBSTITUTE(SUBSTITUTE(TRIM('Sales_RAW(BEFORE)'!AT307), "%", ""), ",", ".")), 0) / 100, IFERROR(VALUE(SUBSTITUTE(SUBSTITUTE(TRIM('Sales_RAW(BEFORE)'!AT307), "%", ""), ",", ".")), 0))</f>
        <v>0</v>
      </c>
      <c r="AW298" s="6">
        <f>BA298*(_xlfn.XLOOKUP(N298,Employees!$A$2:$A$26,Employees!$E$2:$E$26,2))</f>
        <v>548.11935360000007</v>
      </c>
      <c r="AX298" s="3" t="str">
        <f>PROPER('Sales_RAW(BEFORE)'!AV307)</f>
        <v>John Williams</v>
      </c>
      <c r="AY298" s="3" t="str">
        <f t="shared" si="23"/>
        <v>John Williams</v>
      </c>
      <c r="AZ298" s="3"/>
      <c r="BA298" s="24">
        <f>AK298*(1-(_xlfn.XLOOKUP(G298, Exchange_Rates!$B$8:$F$8, Exchange_Rates!$B$9:$F$9, 0)+J298))</f>
        <v>18270.645120000001</v>
      </c>
      <c r="BB298" s="7" cm="1">
        <f t="array" ref="BB298">_xlfn.LET(
  _xlpm.raw_dt, SUBSTITUTE(TRIM(C298), ".", "/"),
  _xlpm.dt, IFERROR(DATEVALUE(_xlpm.raw_dt), C298),
  _xlpm.p_code, TRIM(E298),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47115</v>
      </c>
      <c r="BC298" s="25">
        <f t="shared" si="24"/>
        <v>0</v>
      </c>
    </row>
    <row r="299" spans="1:55" ht="15.75" thickBot="1" x14ac:dyDescent="0.3">
      <c r="A299" s="3" t="s">
        <v>4752</v>
      </c>
      <c r="B299" s="10">
        <v>46087</v>
      </c>
      <c r="C299" s="4">
        <v>46097</v>
      </c>
      <c r="D299" s="3" t="str">
        <f>"P-" &amp; TEXT(VALUE(SUBSTITUTE(SUBSTITUTE(SUBSTITUTE(UPPER(TRIM('Sales_RAW(BEFORE)'!D308)), "P", ""), "-", ""), "_", "")),"000")</f>
        <v>P-007</v>
      </c>
      <c r="E299" s="3" t="str">
        <f>VLOOKUP(D299,Product_List!$A$2:$B$61,2,FALSE)</f>
        <v>Headphones Max 7</v>
      </c>
      <c r="F299" s="3" t="str">
        <f>_xlfn.XLOOKUP(E299,Product_List!$B$2:$B$61,Product_List!$E$2:$E$61,2)</f>
        <v>OfficeHub</v>
      </c>
      <c r="G299" s="3" t="str">
        <f>VLOOKUP(E299,Product_List!$B$2:$C$61,2,FALSE)</f>
        <v>Software</v>
      </c>
      <c r="H299" s="3" t="str">
        <f>SUBSTITUTE(SUBSTITUTE('Sales_RAW(BEFORE)'!G308,"kom",""),".","")</f>
        <v>30</v>
      </c>
      <c r="I299" s="6">
        <f>VLOOKUP(E299,Product_List!$B$2:$D$61,3,FALSE)</f>
        <v>79.14</v>
      </c>
      <c r="J299" s="5">
        <f>IF(IFERROR(VALUE(SUBSTITUTE(SUBSTITUTE(TRIM('Sales_RAW(BEFORE)'!I308), "%", ""), ",", ".")), 0) &gt; 1, IFERROR(VALUE(SUBSTITUTE(SUBSTITUTE(TRIM('Sales_RAW(BEFORE)'!I308), "%", ""), ",", ".")), 0) / 100, IFERROR(VALUE(SUBSTITUTE(SUBSTITUTE(TRIM('Sales_RAW(BEFORE)'!I308), "%", ""), ",", ".")), 0))</f>
        <v>0.1</v>
      </c>
      <c r="K299" s="6">
        <f t="shared" si="22"/>
        <v>2374.1999999999998</v>
      </c>
      <c r="L299" s="6" t="str" cm="1">
        <f t="array" ref="L299">_xlfn.LET(
  _xlpm.valuta, UPPER(TRIM('Sales_RAW(BEFORE)'!K308)),
  _xlfn.IFS(
    _xlpm.valuta = "", "",
    OR(_xlpm.valuta = "USD", _xlpm.valuta = "$"), "$",
    OR(_xlpm.valuta = "EUR", _xlpm.valuta = "€"), "€",
    TRUE, _xlpm.valuta
  )
)</f>
        <v>$</v>
      </c>
      <c r="M299" s="3" t="str">
        <f>"E" &amp; TEXT(VALUE(SUBSTITUTE(SUBSTITUTE(SUBSTITUTE(UPPER(TRIM('Sales_RAW(BEFORE)'!L308)), "EMP", ""), "E", ""), "-", "")),"000")</f>
        <v>E017</v>
      </c>
      <c r="N299" s="3" t="str">
        <f>_xlfn.XLOOKUP(M299,Employees!$D$2:$D$26,Employees!$A$2:$A$26)</f>
        <v>Robert Davis</v>
      </c>
      <c r="O299" s="3" t="str">
        <f>_xlfn.XLOOKUP(N299,Employees!$A$2:$A$26,Employees!$C$2:$C$26,2)</f>
        <v>Wholesale</v>
      </c>
      <c r="P299" s="3" t="str">
        <f>PROPER('Sales_RAW(BEFORE)'!N308)</f>
        <v>West</v>
      </c>
      <c r="Q299" s="3" t="str">
        <f>VLOOKUP(N299,Employees!$A$2:$B$26,2,FALSE)</f>
        <v>Miami</v>
      </c>
      <c r="R299" s="3" t="str">
        <f>PROPER('Sales_RAW(BEFORE)'!P308)</f>
        <v>Initech Inc</v>
      </c>
      <c r="S299" s="3" t="str">
        <f>SUBSTITUTE(SUBSTITUTE('Sales_RAW(BEFORE)'!Q308,"EIN",""),":","")</f>
        <v xml:space="preserve"> 903643173</v>
      </c>
      <c r="T299" s="3" t="s">
        <v>134</v>
      </c>
      <c r="U299" s="3" t="s">
        <v>4761</v>
      </c>
      <c r="V299" s="3" t="s">
        <v>4762</v>
      </c>
      <c r="W299" s="3" t="s">
        <v>4763</v>
      </c>
      <c r="X299" s="3" t="s">
        <v>173</v>
      </c>
      <c r="Y299" s="3" t="str">
        <f>PROPER('Sales_RAW(BEFORE)'!W308)</f>
        <v>Wire</v>
      </c>
      <c r="Z299" s="3" t="str">
        <f>PROPER('Sales_RAW(BEFORE)'!X308)</f>
        <v>Delivered</v>
      </c>
      <c r="AA299" s="3" t="str" cm="1">
        <f t="array" ref="AA299">_xlfn.LET(
  _xlpm.val, TRIM(LOWER('Sales_RAW(BEFORE)'!Y308)),
  _xlfn.IFS(
    OR(_xlpm.val="yes", _xlpm.val="paid"), "Paid",
    OR(_xlpm.val="no", _xlpm.val="unpaid"), "Unpaid",
    OR(_xlpm.val="partial", _xlpm.val="partial paid"), "Partial",
    _xlpm.val="", "",
    TRUE, 'Sales_RAW(BEFORE)'!AY308
  )
)</f>
        <v>Partial</v>
      </c>
      <c r="AB299" s="3" t="s">
        <v>4764</v>
      </c>
      <c r="AC299" s="3" t="str">
        <f>PROPER('Sales_RAW(BEFORE)'!AA308)</f>
        <v>Online</v>
      </c>
      <c r="AD299" s="3" t="str">
        <f>SUBSTITUTE(SUBSTITUTE(SUBSTITUTE(SUBSTITUTE('Sales_RAW(BEFORE)'!AB308,"st",""),"q",""),"Q",""),"uarter","")</f>
        <v>3</v>
      </c>
      <c r="AE299" s="3" t="str">
        <f>TEXT(IFERROR(DATEVALUE('Sales_RAW(BEFORE)'!AC308 &amp; " 1"), IFERROR(DATE(2025, 'Sales_RAW(BEFORE)'!AC308, 1), 'Sales_RAW(BEFORE)'!AC308)), "mmmm")</f>
        <v>March</v>
      </c>
      <c r="AF299" s="3">
        <f>_xlfn.LET(
  _xlpm.raw, TRIM(SUBSTITUTE('Sales_RAW(BEFORE)'!AD308, "'", "")),
  _xlpm.num, IFERROR(VALUE(_xlpm.raw), 0),
  IF(_xlpm.num &lt; 100, 2000 + _xlpm.num, _xlpm.num)
)</f>
        <v>2026</v>
      </c>
      <c r="AG299" s="3" t="str">
        <f>PROPER('Sales_RAW(BEFORE)'!AE308)</f>
        <v>15</v>
      </c>
      <c r="AH299" s="3" cm="1">
        <f t="array" ref="AH299">_xlfn.LET(
  _xlpm.val, LOWER(TRIM('Sales_RAW(BEFORE)'!AF308)),
  _xlfn.IFS(
    OR(_xlpm.val="", _xlpm.val="null", _xlpm.val="N/A", _xlpm.val="-", _xlpm.val="#N/A"), 0,
    ISNUMBER('Sales_RAW(BEFORE)'!AF308), 'Sales_RAW(BEFORE)'!AF308,
    TRUE, IFERROR(_xlfn.NUMBERVALUE(_xlpm.val), 0)
  )
)</f>
        <v>0</v>
      </c>
      <c r="AI299" s="5">
        <f>IF(IFERROR(VALUE(SUBSTITUTE(SUBSTITUTE(TRIM('Sales_RAW(BEFORE)'!AG308), "%", ""), ",", ".")), 0) &gt; 1, IFERROR(VALUE(SUBSTITUTE(SUBSTITUTE(TRIM('Sales_RAW(BEFORE)'!AG308), "%", ""), ",", ".")), 0) / 100, IFERROR(VALUE(SUBSTITUTE(SUBSTITUTE(TRIM('Sales_RAW(BEFORE)'!AG308), "%", ""), ",", ".")), 0))</f>
        <v>0.08</v>
      </c>
      <c r="AJ299" s="6">
        <f t="shared" si="20"/>
        <v>189.93599999999998</v>
      </c>
      <c r="AK299" s="6">
        <f t="shared" si="21"/>
        <v>2564.136</v>
      </c>
      <c r="AL299" s="6">
        <f>IFERROR(VALUE(SUBSTITUTE(SUBSTITUTE(SUBSTITUTE('Sales_RAW(BEFORE)'!AJ308,"$",""),"USD",""),",",".")),0)</f>
        <v>0</v>
      </c>
      <c r="AM299" s="3" t="str">
        <f>SUBSTITUTE(SUBSTITUTE(PROPER('Sales_RAW(BEFORE)'!AK308), "Fed Ex", "FedEx"),"Fedex","FedEx")</f>
        <v>Dhl</v>
      </c>
      <c r="AN299" s="3" t="s">
        <v>4765</v>
      </c>
      <c r="AO299" s="3" t="str">
        <f>SUBSTITUTE('Sales_RAW(BEFORE)'!AM308,"kg","")</f>
        <v xml:space="preserve">15.8 </v>
      </c>
      <c r="AP299" s="3" t="str">
        <f>_xlfn.LET(
  _xlpm.raw, UPPER(TRIM('Sales_RAW(BEFORE)'!AN308)),
  _xlpm.clean, RIGHT(_xlpm.raw, 1),
  IF(OR(_xlpm.raw="", _xlpm.raw="null"), "N/A", _xlpm.clean)
)</f>
        <v>B</v>
      </c>
      <c r="AQ299" s="3">
        <v>38</v>
      </c>
      <c r="AR299" s="3" cm="1">
        <f t="array" ref="AR299">_xlfn.LET(
  _xlpm.raw, LOWER(TRIM('Sales_RAW(BEFORE)'!AP308)),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299" s="3"/>
      <c r="AT299" s="3"/>
      <c r="AU299" s="3"/>
      <c r="AV299" s="8">
        <f>IF(IFERROR(VALUE(SUBSTITUTE(SUBSTITUTE(TRIM('Sales_RAW(BEFORE)'!AT308), "%", ""), ",", ".")), 0) &gt; 1, IFERROR(VALUE(SUBSTITUTE(SUBSTITUTE(TRIM('Sales_RAW(BEFORE)'!AT308), "%", ""), ",", ".")), 0) / 100, IFERROR(VALUE(SUBSTITUTE(SUBSTITUTE(TRIM('Sales_RAW(BEFORE)'!AT308), "%", ""), ",", ".")), 0))</f>
        <v>0.3</v>
      </c>
      <c r="AW299" s="6">
        <f>BA299*(_xlfn.XLOOKUP(N299,Employees!$A$2:$A$26,Employees!$E$2:$E$26,2))</f>
        <v>57.693059999999996</v>
      </c>
      <c r="AX299" s="3" t="str">
        <f>PROPER('Sales_RAW(BEFORE)'!AV308)</f>
        <v>David Wilson</v>
      </c>
      <c r="AY299" s="3" t="str">
        <f t="shared" si="23"/>
        <v>David Wilson</v>
      </c>
      <c r="AZ299" s="3"/>
      <c r="BA299" s="24">
        <f>AK299*(1-(_xlfn.XLOOKUP(G299, Exchange_Rates!$B$8:$F$8, Exchange_Rates!$B$9:$F$9, 0)+J299))</f>
        <v>1923.1019999999999</v>
      </c>
      <c r="BB299" s="7" cm="1">
        <f t="array" ref="BB299">_xlfn.LET(
  _xlpm.raw_dt, SUBSTITUTE(TRIM(C299), ".", "/"),
  _xlpm.dt, IFERROR(DATEVALUE(_xlpm.raw_dt), C299),
  _xlpm.p_code, TRIM(E299),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46828</v>
      </c>
      <c r="BC299" s="25">
        <f t="shared" si="24"/>
        <v>576.93059999999991</v>
      </c>
    </row>
    <row r="300" spans="1:55" ht="15.75" thickBot="1" x14ac:dyDescent="0.3">
      <c r="A300" s="3" t="s">
        <v>4766</v>
      </c>
      <c r="B300" s="10">
        <f>DATE(2025,4,1)</f>
        <v>45748</v>
      </c>
      <c r="C300" s="4">
        <f>DATE(2025,4,10)</f>
        <v>45757</v>
      </c>
      <c r="D300" s="3" t="str">
        <f>"P-" &amp; TEXT(VALUE(SUBSTITUTE(SUBSTITUTE(SUBSTITUTE(UPPER(TRIM('Sales_RAW(BEFORE)'!D309)), "P", ""), "-", ""), "_", "")),"000")</f>
        <v>P-033</v>
      </c>
      <c r="E300" s="3" t="str">
        <f>VLOOKUP(D300,Product_List!$A$2:$B$61,2,FALSE)</f>
        <v>Printer X 33</v>
      </c>
      <c r="F300" s="3" t="str">
        <f>_xlfn.XLOOKUP(E300,Product_List!$B$2:$B$61,Product_List!$E$2:$E$61,2)</f>
        <v>Global Distrib</v>
      </c>
      <c r="G300" s="3" t="str">
        <f>VLOOKUP(E300,Product_List!$B$2:$C$61,2,FALSE)</f>
        <v>Office</v>
      </c>
      <c r="H300" s="3" t="str">
        <f>SUBSTITUTE(SUBSTITUTE('Sales_RAW(BEFORE)'!G309,"kom",""),".","")</f>
        <v xml:space="preserve">19 </v>
      </c>
      <c r="I300" s="6">
        <f>VLOOKUP(E300,Product_List!$B$2:$D$61,3,FALSE)</f>
        <v>129.06</v>
      </c>
      <c r="J300" s="5">
        <f>IF(IFERROR(VALUE(SUBSTITUTE(SUBSTITUTE(TRIM('Sales_RAW(BEFORE)'!I309), "%", ""), ",", ".")), 0) &gt; 1, IFERROR(VALUE(SUBSTITUTE(SUBSTITUTE(TRIM('Sales_RAW(BEFORE)'!I309), "%", ""), ",", ".")), 0) / 100, IFERROR(VALUE(SUBSTITUTE(SUBSTITUTE(TRIM('Sales_RAW(BEFORE)'!I309), "%", ""), ",", ".")), 0))</f>
        <v>0.1</v>
      </c>
      <c r="K300" s="6">
        <f>(H300*I300)/(HLOOKUP(AE300,Exchange_Rates!$B$1:$M$2,2,FALSE))</f>
        <v>2639.5479009687833</v>
      </c>
      <c r="L300" s="6" t="str" cm="1">
        <f t="array" ref="L300">_xlfn.LET(
  _xlpm.valuta, UPPER(TRIM('Sales_RAW(BEFORE)'!K309)),
  _xlfn.IFS(
    _xlpm.valuta = "", "",
    OR(_xlpm.valuta = "USD", _xlpm.valuta = "$"), "$",
    OR(_xlpm.valuta = "EUR", _xlpm.valuta = "€"), "€",
    TRUE, _xlpm.valuta
  )
)</f>
        <v>€</v>
      </c>
      <c r="M300" s="3" t="str">
        <f>"E" &amp; TEXT(VALUE(SUBSTITUTE(SUBSTITUTE(SUBSTITUTE(UPPER(TRIM('Sales_RAW(BEFORE)'!L309)), "EMP", ""), "E", ""), "-", "")),"000")</f>
        <v>E004</v>
      </c>
      <c r="N300" s="3" t="str">
        <f>_xlfn.XLOOKUP(M300,Employees!$D$2:$D$26,Employees!$A$2:$A$26)</f>
        <v>Sophia Johnson</v>
      </c>
      <c r="O300" s="3" t="str">
        <f>_xlfn.XLOOKUP(N300,Employees!$A$2:$A$26,Employees!$C$2:$C$26,2)</f>
        <v>Wholesale</v>
      </c>
      <c r="P300" s="3" t="str">
        <f>PROPER('Sales_RAW(BEFORE)'!N309)</f>
        <v>West</v>
      </c>
      <c r="Q300" s="3" t="str">
        <f>VLOOKUP(N300,Employees!$A$2:$B$26,2,FALSE)</f>
        <v>Houston</v>
      </c>
      <c r="R300" s="3" t="str">
        <f>PROPER('Sales_RAW(BEFORE)'!P309)</f>
        <v xml:space="preserve"> Vortex Inc</v>
      </c>
      <c r="S300" s="3" t="str">
        <f>SUBSTITUTE(SUBSTITUTE('Sales_RAW(BEFORE)'!Q309,"EIN",""),":","")</f>
        <v xml:space="preserve"> 281224845</v>
      </c>
      <c r="T300" s="3" t="s">
        <v>1846</v>
      </c>
      <c r="U300" s="3" t="s">
        <v>4771</v>
      </c>
      <c r="V300" s="3" t="s">
        <v>4772</v>
      </c>
      <c r="W300" s="3" t="s">
        <v>4773</v>
      </c>
      <c r="X300" s="3" t="s">
        <v>173</v>
      </c>
      <c r="Y300" s="3" t="str">
        <f>PROPER('Sales_RAW(BEFORE)'!W309)</f>
        <v>Cash</v>
      </c>
      <c r="Z300" s="3" t="str">
        <f>PROPER('Sales_RAW(BEFORE)'!X309)</f>
        <v>Delivered</v>
      </c>
      <c r="AA300" s="3" t="str" cm="1">
        <f t="array" ref="AA300">_xlfn.LET(
  _xlpm.val, TRIM(LOWER('Sales_RAW(BEFORE)'!Y309)),
  _xlfn.IFS(
    OR(_xlpm.val="yes", _xlpm.val="paid"), "Paid",
    OR(_xlpm.val="no", _xlpm.val="unpaid"), "Unpaid",
    OR(_xlpm.val="partial", _xlpm.val="partial paid"), "Partial",
    _xlpm.val="", "",
    TRUE, 'Sales_RAW(BEFORE)'!AY309
  )
)</f>
        <v>Unpaid</v>
      </c>
      <c r="AB300" s="3" t="s">
        <v>4774</v>
      </c>
      <c r="AC300" s="3" t="str">
        <f>PROPER('Sales_RAW(BEFORE)'!AA309)</f>
        <v>Online</v>
      </c>
      <c r="AD300" s="3" t="str">
        <f>SUBSTITUTE(SUBSTITUTE(SUBSTITUTE(SUBSTITUTE('Sales_RAW(BEFORE)'!AB309,"st",""),"q",""),"Q",""),"uarter","")</f>
        <v>3</v>
      </c>
      <c r="AE300" s="3" t="str">
        <f>TEXT(IFERROR(DATEVALUE('Sales_RAW(BEFORE)'!AC309 &amp; " 1"), IFERROR(DATE(2025, 'Sales_RAW(BEFORE)'!AC309, 1), 'Sales_RAW(BEFORE)'!AC309)), "mmmm")</f>
        <v>April</v>
      </c>
      <c r="AF300" s="3">
        <f>_xlfn.LET(
  _xlpm.raw, TRIM(SUBSTITUTE('Sales_RAW(BEFORE)'!AD309, "'", "")),
  _xlpm.num, IFERROR(VALUE(_xlpm.raw), 0),
  IF(_xlpm.num &lt; 100, 2000 + _xlpm.num, _xlpm.num)
)</f>
        <v>2025</v>
      </c>
      <c r="AG300" s="3" t="str">
        <f>PROPER('Sales_RAW(BEFORE)'!AE309)</f>
        <v>15</v>
      </c>
      <c r="AH300" s="3" cm="1">
        <f t="array" ref="AH300">_xlfn.LET(
  _xlpm.val, LOWER(TRIM('Sales_RAW(BEFORE)'!AF309)),
  _xlfn.IFS(
    OR(_xlpm.val="", _xlpm.val="null", _xlpm.val="N/A", _xlpm.val="-", _xlpm.val="#N/A"), 0,
    ISNUMBER('Sales_RAW(BEFORE)'!AF309), 'Sales_RAW(BEFORE)'!AF309,
    TRUE, IFERROR(_xlfn.NUMBERVALUE(_xlpm.val), 0)
  )
)</f>
        <v>20</v>
      </c>
      <c r="AI300" s="5">
        <f>IF(IFERROR(VALUE(SUBSTITUTE(SUBSTITUTE(TRIM('Sales_RAW(BEFORE)'!AG309), "%", ""), ",", ".")), 0) &gt; 1, IFERROR(VALUE(SUBSTITUTE(SUBSTITUTE(TRIM('Sales_RAW(BEFORE)'!AG309), "%", ""), ",", ".")), 0) / 100, IFERROR(VALUE(SUBSTITUTE(SUBSTITUTE(TRIM('Sales_RAW(BEFORE)'!AG309), "%", ""), ",", ".")), 0))</f>
        <v>0.08</v>
      </c>
      <c r="AJ300" s="6">
        <f t="shared" si="20"/>
        <v>211.16383207750266</v>
      </c>
      <c r="AK300" s="6">
        <f t="shared" si="21"/>
        <v>2850.7117330462861</v>
      </c>
      <c r="AL300" s="6">
        <f>IFERROR(VALUE(SUBSTITUTE(SUBSTITUTE(SUBSTITUTE('Sales_RAW(BEFORE)'!AJ309,"$",""),"USD",""),",",".")),0)</f>
        <v>21</v>
      </c>
      <c r="AM300" s="3" t="str">
        <f>SUBSTITUTE(SUBSTITUTE(PROPER('Sales_RAW(BEFORE)'!AK309), "Fed Ex", "FedEx"),"Fedex","FedEx")</f>
        <v>Usps</v>
      </c>
      <c r="AN300" s="3" t="s">
        <v>4776</v>
      </c>
      <c r="AO300" s="3" t="str">
        <f>SUBSTITUTE('Sales_RAW(BEFORE)'!AM309,"kg","")</f>
        <v xml:space="preserve">15.9 </v>
      </c>
      <c r="AP300" s="3" t="str">
        <f>_xlfn.LET(
  _xlpm.raw, UPPER(TRIM('Sales_RAW(BEFORE)'!AN309)),
  _xlpm.clean, RIGHT(_xlpm.raw, 1),
  IF(OR(_xlpm.raw="", _xlpm.raw="null"), "N/A", _xlpm.clean)
)</f>
        <v>C</v>
      </c>
      <c r="AQ300" s="3">
        <v>0</v>
      </c>
      <c r="AR300" s="3" cm="1">
        <f t="array" ref="AR300">_xlfn.LET(
  _xlpm.raw, LOWER(TRIM('Sales_RAW(BEFORE)'!AP309)),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300" s="3"/>
      <c r="AT300" s="3"/>
      <c r="AU300" s="3"/>
      <c r="AV300" s="8">
        <f>IF(IFERROR(VALUE(SUBSTITUTE(SUBSTITUTE(TRIM('Sales_RAW(BEFORE)'!AT309), "%", ""), ",", ".")), 0) &gt; 1, IFERROR(VALUE(SUBSTITUTE(SUBSTITUTE(TRIM('Sales_RAW(BEFORE)'!AT309), "%", ""), ",", ".")), 0) / 100, IFERROR(VALUE(SUBSTITUTE(SUBSTITUTE(TRIM('Sales_RAW(BEFORE)'!AT309), "%", ""), ",", ".")), 0))</f>
        <v>0.15</v>
      </c>
      <c r="AW300" s="6">
        <f>BA300*(_xlfn.XLOOKUP(N300,Employees!$A$2:$A$26,Employees!$E$2:$E$26,2))</f>
        <v>114.02846932185146</v>
      </c>
      <c r="AX300" s="3" t="str">
        <f>PROPER('Sales_RAW(BEFORE)'!AV309)</f>
        <v xml:space="preserve">Ryan Anderson   </v>
      </c>
      <c r="AY300" s="3" t="str">
        <f t="shared" si="23"/>
        <v xml:space="preserve">Ryan Anderson   </v>
      </c>
      <c r="AZ300" s="3"/>
      <c r="BA300" s="24">
        <f>AK300*(1-(_xlfn.XLOOKUP(G300, Exchange_Rates!$B$8:$F$8, Exchange_Rates!$B$9:$F$9, 0)+J300))</f>
        <v>2280.5693864370292</v>
      </c>
      <c r="BB300" s="7" cm="1">
        <f t="array" ref="BB300">_xlfn.LET(
  _xlpm.raw_dt, SUBSTITUTE(TRIM(C300), ".", "/"),
  _xlpm.dt, IFERROR(DATEVALUE(_xlpm.raw_dt), C300),
  _xlpm.p_code, TRIM(E300),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46487</v>
      </c>
      <c r="BC300" s="25">
        <f t="shared" si="24"/>
        <v>342.08540796555434</v>
      </c>
    </row>
    <row r="301" spans="1:55" ht="15.75" thickBot="1" x14ac:dyDescent="0.3">
      <c r="A301" s="3" t="s">
        <v>4780</v>
      </c>
      <c r="B301" s="10">
        <v>45700</v>
      </c>
      <c r="C301" s="4">
        <v>45714</v>
      </c>
      <c r="D301" s="3" t="str">
        <f>"P-" &amp; TEXT(VALUE(SUBSTITUTE(SUBSTITUTE(SUBSTITUTE(UPPER(TRIM('Sales_RAW(BEFORE)'!D310)), "P", ""), "-", ""), "_", "")),"000")</f>
        <v>P-003</v>
      </c>
      <c r="E301" s="3" t="str">
        <f>VLOOKUP(D301,Product_List!$A$2:$B$61,2,FALSE)</f>
        <v>Laptop Max 3</v>
      </c>
      <c r="F301" s="3" t="str">
        <f>_xlfn.XLOOKUP(E301,Product_List!$B$2:$B$61,Product_List!$E$2:$E$61,2)</f>
        <v>TechSupply Co</v>
      </c>
      <c r="G301" s="3" t="str">
        <f>VLOOKUP(E301,Product_List!$B$2:$C$61,2,FALSE)</f>
        <v>Office</v>
      </c>
      <c r="H301" s="3" t="str">
        <f>SUBSTITUTE(SUBSTITUTE('Sales_RAW(BEFORE)'!G310,"kom",""),".","")</f>
        <v xml:space="preserve">38 </v>
      </c>
      <c r="I301" s="6">
        <f>VLOOKUP(E301,Product_List!$B$2:$D$61,3,FALSE)</f>
        <v>61.06</v>
      </c>
      <c r="J301" s="5">
        <f>IF(IFERROR(VALUE(SUBSTITUTE(SUBSTITUTE(TRIM('Sales_RAW(BEFORE)'!I310), "%", ""), ",", ".")), 0) &gt; 1, IFERROR(VALUE(SUBSTITUTE(SUBSTITUTE(TRIM('Sales_RAW(BEFORE)'!I310), "%", ""), ",", ".")), 0) / 100, IFERROR(VALUE(SUBSTITUTE(SUBSTITUTE(TRIM('Sales_RAW(BEFORE)'!I310), "%", ""), ",", ".")), 0))</f>
        <v>0</v>
      </c>
      <c r="K301" s="6">
        <f t="shared" si="22"/>
        <v>2320.2800000000002</v>
      </c>
      <c r="L301" s="6" t="str" cm="1">
        <f t="array" ref="L301">_xlfn.LET(
  _xlpm.valuta, UPPER(TRIM('Sales_RAW(BEFORE)'!K310)),
  _xlfn.IFS(
    _xlpm.valuta = "", "",
    OR(_xlpm.valuta = "USD", _xlpm.valuta = "$"), "$",
    OR(_xlpm.valuta = "EUR", _xlpm.valuta = "€"), "€",
    TRUE, _xlpm.valuta
  )
)</f>
        <v>$</v>
      </c>
      <c r="M301" s="3" t="str">
        <f>"E" &amp; TEXT(VALUE(SUBSTITUTE(SUBSTITUTE(SUBSTITUTE(UPPER(TRIM('Sales_RAW(BEFORE)'!L310)), "EMP", ""), "E", ""), "-", "")),"000")</f>
        <v>E003</v>
      </c>
      <c r="N301" s="3" t="str">
        <f>_xlfn.XLOOKUP(M301,Employees!$D$2:$D$26,Employees!$A$2:$A$26)</f>
        <v>Laura Miller</v>
      </c>
      <c r="O301" s="3" t="str">
        <f>_xlfn.XLOOKUP(N301,Employees!$A$2:$A$26,Employees!$C$2:$C$26,2)</f>
        <v>Sales</v>
      </c>
      <c r="P301" s="3" t="str">
        <f>PROPER('Sales_RAW(BEFORE)'!N310)</f>
        <v>West</v>
      </c>
      <c r="Q301" s="3" t="str">
        <f>VLOOKUP(N301,Employees!$A$2:$B$26,2,FALSE)</f>
        <v>Miami</v>
      </c>
      <c r="R301" s="3" t="str">
        <f>PROPER('Sales_RAW(BEFORE)'!P310)</f>
        <v>Acme Llc</v>
      </c>
      <c r="S301" s="3" t="str">
        <f>SUBSTITUTE(SUBSTITUTE('Sales_RAW(BEFORE)'!Q310,"EIN",""),":","")</f>
        <v xml:space="preserve"> 511844782</v>
      </c>
      <c r="T301" s="3" t="s">
        <v>722</v>
      </c>
      <c r="U301" s="3" t="s">
        <v>4786</v>
      </c>
      <c r="V301" s="3" t="s">
        <v>4787</v>
      </c>
      <c r="W301" s="3" t="s">
        <v>4788</v>
      </c>
      <c r="X301" s="3" t="s">
        <v>173</v>
      </c>
      <c r="Y301" s="3" t="str">
        <f>PROPER('Sales_RAW(BEFORE)'!W310)</f>
        <v>Cash</v>
      </c>
      <c r="Z301" s="3" t="str">
        <f>PROPER('Sales_RAW(BEFORE)'!X310)</f>
        <v>Delivered</v>
      </c>
      <c r="AA301" s="3" t="str" cm="1">
        <f t="array" ref="AA301">_xlfn.LET(
  _xlpm.val, TRIM(LOWER('Sales_RAW(BEFORE)'!Y310)),
  _xlfn.IFS(
    OR(_xlpm.val="yes", _xlpm.val="paid"), "Paid",
    OR(_xlpm.val="no", _xlpm.val="unpaid"), "Unpaid",
    OR(_xlpm.val="partial", _xlpm.val="partial paid"), "Partial",
    _xlpm.val="", "",
    TRUE, 'Sales_RAW(BEFORE)'!AY310
  )
)</f>
        <v>Paid</v>
      </c>
      <c r="AB301" s="3" t="s">
        <v>4789</v>
      </c>
      <c r="AC301" s="3" t="str">
        <f>PROPER('Sales_RAW(BEFORE)'!AA310)</f>
        <v>Online</v>
      </c>
      <c r="AD301" s="3" t="str">
        <f>SUBSTITUTE(SUBSTITUTE(SUBSTITUTE(SUBSTITUTE('Sales_RAW(BEFORE)'!AB310,"st",""),"q",""),"Q",""),"uarter","")</f>
        <v>2</v>
      </c>
      <c r="AE301" s="3" t="str">
        <f>TEXT(IFERROR(DATEVALUE('Sales_RAW(BEFORE)'!AC310 &amp; " 1"), IFERROR(DATE(2025, 'Sales_RAW(BEFORE)'!AC310, 1), 'Sales_RAW(BEFORE)'!AC310)), "mmmm")</f>
        <v>February</v>
      </c>
      <c r="AF301" s="3">
        <f>_xlfn.LET(
  _xlpm.raw, TRIM(SUBSTITUTE('Sales_RAW(BEFORE)'!AD310, "'", "")),
  _xlpm.num, IFERROR(VALUE(_xlpm.raw), 0),
  IF(_xlpm.num &lt; 100, 2000 + _xlpm.num, _xlpm.num)
)</f>
        <v>2025</v>
      </c>
      <c r="AG301" s="3" t="str">
        <f>PROPER('Sales_RAW(BEFORE)'!AE310)</f>
        <v>Net 60</v>
      </c>
      <c r="AH301" s="3" cm="1">
        <f t="array" ref="AH301">_xlfn.LET(
  _xlpm.val, LOWER(TRIM('Sales_RAW(BEFORE)'!AF310)),
  _xlfn.IFS(
    OR(_xlpm.val="", _xlpm.val="null", _xlpm.val="N/A", _xlpm.val="-", _xlpm.val="#N/A"), 0,
    ISNUMBER('Sales_RAW(BEFORE)'!AF310), 'Sales_RAW(BEFORE)'!AF310,
    TRUE, IFERROR(_xlfn.NUMBERVALUE(_xlpm.val), 0)
  )
)</f>
        <v>0</v>
      </c>
      <c r="AI301" s="5">
        <f>IF(IFERROR(VALUE(SUBSTITUTE(SUBSTITUTE(TRIM('Sales_RAW(BEFORE)'!AG310), "%", ""), ",", ".")), 0) &gt; 1, IFERROR(VALUE(SUBSTITUTE(SUBSTITUTE(TRIM('Sales_RAW(BEFORE)'!AG310), "%", ""), ",", ".")), 0) / 100, IFERROR(VALUE(SUBSTITUTE(SUBSTITUTE(TRIM('Sales_RAW(BEFORE)'!AG310), "%", ""), ",", ".")), 0))</f>
        <v>0.08</v>
      </c>
      <c r="AJ301" s="6">
        <f t="shared" si="20"/>
        <v>185.62240000000003</v>
      </c>
      <c r="AK301" s="6">
        <f t="shared" si="21"/>
        <v>2505.9024000000004</v>
      </c>
      <c r="AL301" s="6">
        <f>IFERROR(VALUE(SUBSTITUTE(SUBSTITUTE(SUBSTITUTE('Sales_RAW(BEFORE)'!AJ310,"$",""),"USD",""),",",".")),0)</f>
        <v>25.47</v>
      </c>
      <c r="AM301" s="3" t="str">
        <f>SUBSTITUTE(SUBSTITUTE(PROPER('Sales_RAW(BEFORE)'!AK310), "Fed Ex", "FedEx"),"Fedex","FedEx")</f>
        <v>Usps</v>
      </c>
      <c r="AN301" s="3" t="s">
        <v>4791</v>
      </c>
      <c r="AO301" s="3" t="str">
        <f>SUBSTITUTE('Sales_RAW(BEFORE)'!AM310,"kg","")</f>
        <v>14,49</v>
      </c>
      <c r="AP301" s="3" t="str">
        <f>_xlfn.LET(
  _xlpm.raw, UPPER(TRIM('Sales_RAW(BEFORE)'!AN310)),
  _xlpm.clean, RIGHT(_xlpm.raw, 1),
  IF(OR(_xlpm.raw="", _xlpm.raw="null"), "N/A", _xlpm.clean)
)</f>
        <v>B</v>
      </c>
      <c r="AQ301" s="3">
        <v>14</v>
      </c>
      <c r="AR301" s="3" t="str" cm="1">
        <f t="array" ref="AR301">_xlfn.LET(
  _xlpm.raw, LOWER(TRIM('Sales_RAW(BEFORE)'!AP310)),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/>
      </c>
      <c r="AS301" s="3"/>
      <c r="AT301" s="3"/>
      <c r="AU301" s="3"/>
      <c r="AV301" s="8">
        <f>IF(IFERROR(VALUE(SUBSTITUTE(SUBSTITUTE(TRIM('Sales_RAW(BEFORE)'!AT310), "%", ""), ",", ".")), 0) &gt; 1, IFERROR(VALUE(SUBSTITUTE(SUBSTITUTE(TRIM('Sales_RAW(BEFORE)'!AT310), "%", ""), ",", ".")), 0) / 100, IFERROR(VALUE(SUBSTITUTE(SUBSTITUTE(TRIM('Sales_RAW(BEFORE)'!AT310), "%", ""), ",", ".")), 0))</f>
        <v>0.18</v>
      </c>
      <c r="AW301" s="6">
        <f>BA301*(_xlfn.XLOOKUP(N301,Employees!$A$2:$A$26,Employees!$E$2:$E$26,2))</f>
        <v>112.76560800000003</v>
      </c>
      <c r="AX301" s="3" t="str">
        <f>PROPER('Sales_RAW(BEFORE)'!AV310)</f>
        <v xml:space="preserve">Robert Taylor   </v>
      </c>
      <c r="AY301" s="3" t="str">
        <f t="shared" si="23"/>
        <v xml:space="preserve">Robert Taylor   </v>
      </c>
      <c r="AZ301" s="3"/>
      <c r="BA301" s="24">
        <f>AK301*(1-(_xlfn.XLOOKUP(G301, Exchange_Rates!$B$8:$F$8, Exchange_Rates!$B$9:$F$9, 0)+J301))</f>
        <v>2255.3121600000004</v>
      </c>
      <c r="BB301" s="7" cm="1">
        <f t="array" ref="BB301">_xlfn.LET(
  _xlpm.raw_dt, SUBSTITUTE(TRIM(C301), ".", "/"),
  _xlpm.dt, IFERROR(DATEVALUE(_xlpm.raw_dt), C301),
  _xlpm.p_code, TRIM(E301),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46079</v>
      </c>
      <c r="BC301" s="25">
        <f t="shared" si="24"/>
        <v>405.95618880000006</v>
      </c>
    </row>
    <row r="302" spans="1:55" ht="15.75" thickBot="1" x14ac:dyDescent="0.3">
      <c r="A302" s="3" t="s">
        <v>4794</v>
      </c>
      <c r="B302" s="10">
        <v>45990</v>
      </c>
      <c r="C302" s="4">
        <v>45820</v>
      </c>
      <c r="D302" s="3" t="str">
        <f>"P-" &amp; TEXT(VALUE(SUBSTITUTE(SUBSTITUTE(SUBSTITUTE(UPPER(TRIM('Sales_RAW(BEFORE)'!D311)), "P", ""), "-", ""), "_", "")),"000")</f>
        <v>P-029</v>
      </c>
      <c r="E302" s="3" t="str">
        <f>VLOOKUP(D302,Product_List!$A$2:$B$61,2,FALSE)</f>
        <v>Keyboard Plus 29</v>
      </c>
      <c r="F302" s="3" t="str">
        <f>_xlfn.XLOOKUP(E302,Product_List!$B$2:$B$61,Product_List!$E$2:$E$61,2)</f>
        <v>OfficeHub</v>
      </c>
      <c r="G302" s="3" t="str">
        <f>VLOOKUP(E302,Product_List!$B$2:$C$61,2,FALSE)</f>
        <v>Software</v>
      </c>
      <c r="H302" s="3" t="str">
        <f>SUBSTITUTE(SUBSTITUTE('Sales_RAW(BEFORE)'!G311,"kom",""),".","")</f>
        <v>29</v>
      </c>
      <c r="I302" s="6">
        <f>VLOOKUP(E302,Product_List!$B$2:$D$61,3,FALSE)</f>
        <v>1375.64</v>
      </c>
      <c r="J302" s="5">
        <f>IF(IFERROR(VALUE(SUBSTITUTE(SUBSTITUTE(TRIM('Sales_RAW(BEFORE)'!I311), "%", ""), ",", ".")), 0) &gt; 1, IFERROR(VALUE(SUBSTITUTE(SUBSTITUTE(TRIM('Sales_RAW(BEFORE)'!I311), "%", ""), ",", ".")), 0) / 100, IFERROR(VALUE(SUBSTITUTE(SUBSTITUTE(TRIM('Sales_RAW(BEFORE)'!I311), "%", ""), ",", ".")), 0))</f>
        <v>0.1</v>
      </c>
      <c r="K302" s="6">
        <f t="shared" si="22"/>
        <v>39893.560000000005</v>
      </c>
      <c r="L302" s="6" t="str" cm="1">
        <f t="array" ref="L302">_xlfn.LET(
  _xlpm.valuta, UPPER(TRIM('Sales_RAW(BEFORE)'!K311)),
  _xlfn.IFS(
    _xlpm.valuta = "", "",
    OR(_xlpm.valuta = "USD", _xlpm.valuta = "$"), "$",
    OR(_xlpm.valuta = "EUR", _xlpm.valuta = "€"), "€",
    TRUE, _xlpm.valuta
  )
)</f>
        <v>$</v>
      </c>
      <c r="M302" s="3" t="str">
        <f>"E" &amp; TEXT(VALUE(SUBSTITUTE(SUBSTITUTE(SUBSTITUTE(UPPER(TRIM('Sales_RAW(BEFORE)'!L311)), "EMP", ""), "E", ""), "-", "")),"000")</f>
        <v>E006</v>
      </c>
      <c r="N302" s="3" t="str">
        <f>_xlfn.XLOOKUP(M302,Employees!$D$2:$D$26,Employees!$A$2:$A$26)</f>
        <v>Emily Davis</v>
      </c>
      <c r="O302" s="3" t="str">
        <f>_xlfn.XLOOKUP(N302,Employees!$A$2:$A$26,Employees!$C$2:$C$26,2)</f>
        <v>Retail</v>
      </c>
      <c r="P302" s="3" t="str">
        <f>PROPER('Sales_RAW(BEFORE)'!N311)</f>
        <v>North</v>
      </c>
      <c r="Q302" s="3" t="str">
        <f>VLOOKUP(N302,Employees!$A$2:$B$26,2,FALSE)</f>
        <v>Houston</v>
      </c>
      <c r="R302" s="3" t="str">
        <f>PROPER('Sales_RAW(BEFORE)'!P311)</f>
        <v xml:space="preserve"> Stark Llc</v>
      </c>
      <c r="S302" s="3" t="str">
        <f>SUBSTITUTE(SUBSTITUTE('Sales_RAW(BEFORE)'!Q311,"EIN",""),":","")</f>
        <v>471007897</v>
      </c>
      <c r="T302" s="3" t="s">
        <v>169</v>
      </c>
      <c r="U302" s="3" t="s">
        <v>4802</v>
      </c>
      <c r="V302" s="3" t="s">
        <v>4803</v>
      </c>
      <c r="W302" s="3" t="s">
        <v>4804</v>
      </c>
      <c r="X302" s="3" t="s">
        <v>173</v>
      </c>
      <c r="Y302" s="3" t="str">
        <f>PROPER('Sales_RAW(BEFORE)'!W311)</f>
        <v>Wire Transfer</v>
      </c>
      <c r="Z302" s="3" t="str">
        <f>PROPER('Sales_RAW(BEFORE)'!X311)</f>
        <v>Delivered</v>
      </c>
      <c r="AA302" s="3" t="str" cm="1">
        <f t="array" ref="AA302">_xlfn.LET(
  _xlpm.val, TRIM(LOWER('Sales_RAW(BEFORE)'!Y311)),
  _xlfn.IFS(
    OR(_xlpm.val="yes", _xlpm.val="paid"), "Paid",
    OR(_xlpm.val="no", _xlpm.val="unpaid"), "Unpaid",
    OR(_xlpm.val="partial", _xlpm.val="partial paid"), "Partial",
    _xlpm.val="", "",
    TRUE, 'Sales_RAW(BEFORE)'!AY311
  )
)</f>
        <v>Paid</v>
      </c>
      <c r="AB302" s="3" t="s">
        <v>4805</v>
      </c>
      <c r="AC302" s="3" t="str">
        <f>PROPER('Sales_RAW(BEFORE)'!AA311)</f>
        <v>Store</v>
      </c>
      <c r="AD302" s="3" t="str">
        <f>SUBSTITUTE(SUBSTITUTE(SUBSTITUTE(SUBSTITUTE('Sales_RAW(BEFORE)'!AB311,"st",""),"q",""),"Q",""),"uarter","")</f>
        <v>3</v>
      </c>
      <c r="AE302" s="3" t="str">
        <f>TEXT(IFERROR(DATEVALUE('Sales_RAW(BEFORE)'!AC311 &amp; " 1"), IFERROR(DATE(2025, 'Sales_RAW(BEFORE)'!AC311, 1), 'Sales_RAW(BEFORE)'!AC311)), "mmmm")</f>
        <v>November</v>
      </c>
      <c r="AF302" s="3">
        <f>_xlfn.LET(
  _xlpm.raw, TRIM(SUBSTITUTE('Sales_RAW(BEFORE)'!AD311, "'", "")),
  _xlpm.num, IFERROR(VALUE(_xlpm.raw), 0),
  IF(_xlpm.num &lt; 100, 2000 + _xlpm.num, _xlpm.num)
)</f>
        <v>2025</v>
      </c>
      <c r="AG302" s="3" t="str">
        <f>PROPER('Sales_RAW(BEFORE)'!AE311)</f>
        <v>Net 60</v>
      </c>
      <c r="AH302" s="3" cm="1">
        <f t="array" ref="AH302">_xlfn.LET(
  _xlpm.val, LOWER(TRIM('Sales_RAW(BEFORE)'!AF311)),
  _xlfn.IFS(
    OR(_xlpm.val="", _xlpm.val="null", _xlpm.val="N/A", _xlpm.val="-", _xlpm.val="#N/A"), 0,
    ISNUMBER('Sales_RAW(BEFORE)'!AF311), 'Sales_RAW(BEFORE)'!AF311,
    TRUE, IFERROR(_xlfn.NUMBERVALUE(_xlpm.val), 0)
  )
)</f>
        <v>75</v>
      </c>
      <c r="AI302" s="5">
        <f>IF(IFERROR(VALUE(SUBSTITUTE(SUBSTITUTE(TRIM('Sales_RAW(BEFORE)'!AG311), "%", ""), ",", ".")), 0) &gt; 1, IFERROR(VALUE(SUBSTITUTE(SUBSTITUTE(TRIM('Sales_RAW(BEFORE)'!AG311), "%", ""), ",", ".")), 0) / 100, IFERROR(VALUE(SUBSTITUTE(SUBSTITUTE(TRIM('Sales_RAW(BEFORE)'!AG311), "%", ""), ",", ".")), 0))</f>
        <v>0.08</v>
      </c>
      <c r="AJ302" s="6">
        <f t="shared" si="20"/>
        <v>3191.4848000000006</v>
      </c>
      <c r="AK302" s="6">
        <f t="shared" si="21"/>
        <v>43085.044800000003</v>
      </c>
      <c r="AL302" s="6">
        <f>IFERROR(VALUE(SUBSTITUTE(SUBSTITUTE(SUBSTITUTE('Sales_RAW(BEFORE)'!AJ311,"$",""),"USD",""),",",".")),0)</f>
        <v>20.21</v>
      </c>
      <c r="AM302" s="3" t="str">
        <f>SUBSTITUTE(SUBSTITUTE(PROPER('Sales_RAW(BEFORE)'!AK311), "Fed Ex", "FedEx"),"Fedex","FedEx")</f>
        <v>FedEx</v>
      </c>
      <c r="AN302" s="3" t="s">
        <v>4806</v>
      </c>
      <c r="AO302" s="3" t="str">
        <f>SUBSTITUTE('Sales_RAW(BEFORE)'!AM311,"kg","")</f>
        <v xml:space="preserve">16.8 </v>
      </c>
      <c r="AP302" s="3" t="str">
        <f>_xlfn.LET(
  _xlpm.raw, UPPER(TRIM('Sales_RAW(BEFORE)'!AN311)),
  _xlpm.clean, RIGHT(_xlpm.raw, 1),
  IF(OR(_xlpm.raw="", _xlpm.raw="null"), "N/A", _xlpm.clean)
)</f>
        <v>B</v>
      </c>
      <c r="AQ302" s="3">
        <v>0</v>
      </c>
      <c r="AR302" s="3" cm="1">
        <f t="array" ref="AR302">_xlfn.LET(
  _xlpm.raw, LOWER(TRIM('Sales_RAW(BEFORE)'!AP311)),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302" s="3"/>
      <c r="AT302" s="3"/>
      <c r="AU302" s="3"/>
      <c r="AV302" s="8">
        <f>IF(IFERROR(VALUE(SUBSTITUTE(SUBSTITUTE(TRIM('Sales_RAW(BEFORE)'!AT311), "%", ""), ",", ".")), 0) &gt; 1, IFERROR(VALUE(SUBSTITUTE(SUBSTITUTE(TRIM('Sales_RAW(BEFORE)'!AT311), "%", ""), ",", ".")), 0) / 100, IFERROR(VALUE(SUBSTITUTE(SUBSTITUTE(TRIM('Sales_RAW(BEFORE)'!AT311), "%", ""), ",", ".")), 0))</f>
        <v>0.15</v>
      </c>
      <c r="AW302" s="6">
        <f>BA302*(_xlfn.XLOOKUP(N302,Employees!$A$2:$A$26,Employees!$E$2:$E$26,2))</f>
        <v>1615.6891800000003</v>
      </c>
      <c r="AX302" s="3" t="str">
        <f>PROPER('Sales_RAW(BEFORE)'!AV311)</f>
        <v>Sarah Anderson</v>
      </c>
      <c r="AY302" s="3" t="str">
        <f t="shared" si="23"/>
        <v>Sarah Anderson</v>
      </c>
      <c r="AZ302" s="3"/>
      <c r="BA302" s="24">
        <f>AK302*(1-(_xlfn.XLOOKUP(G302, Exchange_Rates!$B$8:$F$8, Exchange_Rates!$B$9:$F$9, 0)+J302))</f>
        <v>32313.783600000002</v>
      </c>
      <c r="BB302" s="7" cm="1">
        <f t="array" ref="BB302">_xlfn.LET(
  _xlpm.raw_dt, SUBSTITUTE(TRIM(C302), ".", "/"),
  _xlpm.dt, IFERROR(DATEVALUE(_xlpm.raw_dt), C302),
  _xlpm.p_code, TRIM(E302),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46550</v>
      </c>
      <c r="BC302" s="25">
        <f t="shared" si="24"/>
        <v>4847.06754</v>
      </c>
    </row>
    <row r="303" spans="1:55" ht="15.75" thickBot="1" x14ac:dyDescent="0.3">
      <c r="A303" s="3" t="s">
        <v>4809</v>
      </c>
      <c r="B303" s="10">
        <v>46114</v>
      </c>
      <c r="C303" s="4">
        <v>46360</v>
      </c>
      <c r="D303" s="3" t="str">
        <f>"P-" &amp; TEXT(VALUE(SUBSTITUTE(SUBSTITUTE(SUBSTITUTE(UPPER(TRIM('Sales_RAW(BEFORE)'!D312)), "P", ""), "-", ""), "_", "")),"000")</f>
        <v>P-005</v>
      </c>
      <c r="E303" s="3" t="str">
        <f>VLOOKUP(D303,Product_List!$A$2:$B$61,2,FALSE)</f>
        <v>Cable Plus 5</v>
      </c>
      <c r="F303" s="3" t="str">
        <f>_xlfn.XLOOKUP(E303,Product_List!$B$2:$B$61,Product_List!$E$2:$E$61,2)</f>
        <v>BestParts</v>
      </c>
      <c r="G303" s="3" t="str">
        <f>VLOOKUP(E303,Product_List!$B$2:$C$61,2,FALSE)</f>
        <v>Electronics</v>
      </c>
      <c r="H303" s="3" t="str">
        <f>SUBSTITUTE(SUBSTITUTE('Sales_RAW(BEFORE)'!G312,"kom",""),".","")</f>
        <v>15</v>
      </c>
      <c r="I303" s="6">
        <f>VLOOKUP(E303,Product_List!$B$2:$D$61,3,FALSE)</f>
        <v>1241.1400000000001</v>
      </c>
      <c r="J303" s="5">
        <f>IF(IFERROR(VALUE(SUBSTITUTE(SUBSTITUTE(TRIM('Sales_RAW(BEFORE)'!I312), "%", ""), ",", ".")), 0) &gt; 1, IFERROR(VALUE(SUBSTITUTE(SUBSTITUTE(TRIM('Sales_RAW(BEFORE)'!I312), "%", ""), ",", ".")), 0) / 100, IFERROR(VALUE(SUBSTITUTE(SUBSTITUTE(TRIM('Sales_RAW(BEFORE)'!I312), "%", ""), ",", ".")), 0))</f>
        <v>0.1</v>
      </c>
      <c r="K303" s="6">
        <f t="shared" si="22"/>
        <v>18617.100000000002</v>
      </c>
      <c r="L303" s="6" t="str" cm="1">
        <f t="array" ref="L303">_xlfn.LET(
  _xlpm.valuta, UPPER(TRIM('Sales_RAW(BEFORE)'!K312)),
  _xlfn.IFS(
    _xlpm.valuta = "", "",
    OR(_xlpm.valuta = "USD", _xlpm.valuta = "$"), "$",
    OR(_xlpm.valuta = "EUR", _xlpm.valuta = "€"), "€",
    TRUE, _xlpm.valuta
  )
)</f>
        <v>$</v>
      </c>
      <c r="M303" s="3" t="str">
        <f>"E" &amp; TEXT(VALUE(SUBSTITUTE(SUBSTITUTE(SUBSTITUTE(UPPER(TRIM('Sales_RAW(BEFORE)'!L312)), "EMP", ""), "E", ""), "-", "")),"000")</f>
        <v>E009</v>
      </c>
      <c r="N303" s="3" t="str">
        <f>_xlfn.XLOOKUP(M303,Employees!$D$2:$D$26,Employees!$A$2:$A$26)</f>
        <v>Olivia Wilson</v>
      </c>
      <c r="O303" s="3" t="str">
        <f>_xlfn.XLOOKUP(N303,Employees!$A$2:$A$26,Employees!$C$2:$C$26,2)</f>
        <v>Wholesale</v>
      </c>
      <c r="P303" s="3" t="str">
        <f>PROPER('Sales_RAW(BEFORE)'!N312)</f>
        <v>North</v>
      </c>
      <c r="Q303" s="3" t="str">
        <f>VLOOKUP(N303,Employees!$A$2:$B$26,2,FALSE)</f>
        <v>Miami</v>
      </c>
      <c r="R303" s="3" t="str">
        <f>PROPER('Sales_RAW(BEFORE)'!P312)</f>
        <v xml:space="preserve">   Wayne Llc   </v>
      </c>
      <c r="S303" s="3" t="str">
        <f>SUBSTITUTE(SUBSTITUTE('Sales_RAW(BEFORE)'!Q312,"EIN",""),":","")</f>
        <v>339407231</v>
      </c>
      <c r="T303" s="3" t="s">
        <v>1722</v>
      </c>
      <c r="U303" s="3" t="s">
        <v>4817</v>
      </c>
      <c r="V303" s="3" t="s">
        <v>4818</v>
      </c>
      <c r="W303" s="3" t="s">
        <v>4819</v>
      </c>
      <c r="X303" s="3" t="s">
        <v>173</v>
      </c>
      <c r="Y303" s="3" t="str">
        <f>PROPER('Sales_RAW(BEFORE)'!W312)</f>
        <v>Wire Transfer</v>
      </c>
      <c r="Z303" s="3" t="str">
        <f>PROPER('Sales_RAW(BEFORE)'!X312)</f>
        <v>Processing</v>
      </c>
      <c r="AA303" s="3" t="str" cm="1">
        <f t="array" ref="AA303">_xlfn.LET(
  _xlpm.val, TRIM(LOWER('Sales_RAW(BEFORE)'!Y312)),
  _xlfn.IFS(
    OR(_xlpm.val="yes", _xlpm.val="paid"), "Paid",
    OR(_xlpm.val="no", _xlpm.val="unpaid"), "Unpaid",
    OR(_xlpm.val="partial", _xlpm.val="partial paid"), "Partial",
    _xlpm.val="", "",
    TRUE, 'Sales_RAW(BEFORE)'!AY312
  )
)</f>
        <v>Unpaid</v>
      </c>
      <c r="AB303" s="3" t="s">
        <v>4820</v>
      </c>
      <c r="AC303" s="3" t="str">
        <f>PROPER('Sales_RAW(BEFORE)'!AA312)</f>
        <v>Phone</v>
      </c>
      <c r="AD303" s="3" t="str">
        <f>SUBSTITUTE(SUBSTITUTE(SUBSTITUTE(SUBSTITUTE('Sales_RAW(BEFORE)'!AB312,"st",""),"q",""),"Q",""),"uarter","")</f>
        <v>1</v>
      </c>
      <c r="AE303" s="3" t="str">
        <f>TEXT(IFERROR(DATEVALUE('Sales_RAW(BEFORE)'!AC312 &amp; " 1"), IFERROR(DATE(2025, 'Sales_RAW(BEFORE)'!AC312, 1), 'Sales_RAW(BEFORE)'!AC312)), "mmmm")</f>
        <v>April</v>
      </c>
      <c r="AF303" s="3">
        <f>_xlfn.LET(
  _xlpm.raw, TRIM(SUBSTITUTE('Sales_RAW(BEFORE)'!AD312, "'", "")),
  _xlpm.num, IFERROR(VALUE(_xlpm.raw), 0),
  IF(_xlpm.num &lt; 100, 2000 + _xlpm.num, _xlpm.num)
)</f>
        <v>2026</v>
      </c>
      <c r="AG303" s="3" t="str">
        <f>PROPER('Sales_RAW(BEFORE)'!AE312)</f>
        <v>Immediate</v>
      </c>
      <c r="AH303" s="3" cm="1">
        <f t="array" ref="AH303">_xlfn.LET(
  _xlpm.val, LOWER(TRIM('Sales_RAW(BEFORE)'!AF312)),
  _xlfn.IFS(
    OR(_xlpm.val="", _xlpm.val="null", _xlpm.val="N/A", _xlpm.val="-", _xlpm.val="#N/A"), 0,
    ISNUMBER('Sales_RAW(BEFORE)'!AF312), 'Sales_RAW(BEFORE)'!AF312,
    TRUE, IFERROR(_xlfn.NUMBERVALUE(_xlpm.val), 0)
  )
)</f>
        <v>70</v>
      </c>
      <c r="AI303" s="5">
        <f>IF(IFERROR(VALUE(SUBSTITUTE(SUBSTITUTE(TRIM('Sales_RAW(BEFORE)'!AG312), "%", ""), ",", ".")), 0) &gt; 1, IFERROR(VALUE(SUBSTITUTE(SUBSTITUTE(TRIM('Sales_RAW(BEFORE)'!AG312), "%", ""), ",", ".")), 0) / 100, IFERROR(VALUE(SUBSTITUTE(SUBSTITUTE(TRIM('Sales_RAW(BEFORE)'!AG312), "%", ""), ",", ".")), 0))</f>
        <v>0.08</v>
      </c>
      <c r="AJ303" s="6">
        <f t="shared" si="20"/>
        <v>1489.3680000000002</v>
      </c>
      <c r="AK303" s="6">
        <f t="shared" si="21"/>
        <v>20106.468000000001</v>
      </c>
      <c r="AL303" s="6">
        <f>IFERROR(VALUE(SUBSTITUTE(SUBSTITUTE(SUBSTITUTE('Sales_RAW(BEFORE)'!AJ312,"$",""),"USD",""),",",".")),0)</f>
        <v>2</v>
      </c>
      <c r="AM303" s="3" t="str">
        <f>SUBSTITUTE(SUBSTITUTE(PROPER('Sales_RAW(BEFORE)'!AK312), "Fed Ex", "FedEx"),"Fedex","FedEx")</f>
        <v>Dhl</v>
      </c>
      <c r="AN303" s="3" t="s">
        <v>4821</v>
      </c>
      <c r="AO303" s="3" t="str">
        <f>SUBSTITUTE('Sales_RAW(BEFORE)'!AM312,"kg","")</f>
        <v>1.79</v>
      </c>
      <c r="AP303" s="3" t="str">
        <f>_xlfn.LET(
  _xlpm.raw, UPPER(TRIM('Sales_RAW(BEFORE)'!AN312)),
  _xlpm.clean, RIGHT(_xlpm.raw, 1),
  IF(OR(_xlpm.raw="", _xlpm.raw="null"), "N/A", _xlpm.clean)
)</f>
        <v>A</v>
      </c>
      <c r="AQ303" s="3">
        <v>24</v>
      </c>
      <c r="AR303" s="3" cm="1">
        <f t="array" ref="AR303">_xlfn.LET(
  _xlpm.raw, LOWER(TRIM('Sales_RAW(BEFORE)'!AP312)),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303" s="3"/>
      <c r="AT303" s="3"/>
      <c r="AU303" s="3"/>
      <c r="AV303" s="8">
        <f>IF(IFERROR(VALUE(SUBSTITUTE(SUBSTITUTE(TRIM('Sales_RAW(BEFORE)'!AT312), "%", ""), ",", ".")), 0) &gt; 1, IFERROR(VALUE(SUBSTITUTE(SUBSTITUTE(TRIM('Sales_RAW(BEFORE)'!AT312), "%", ""), ",", ".")), 0) / 100, IFERROR(VALUE(SUBSTITUTE(SUBSTITUTE(TRIM('Sales_RAW(BEFORE)'!AT312), "%", ""), ",", ".")), 0))</f>
        <v>0.15</v>
      </c>
      <c r="AW303" s="6">
        <f>BA303*(_xlfn.XLOOKUP(N303,Employees!$A$2:$A$26,Employees!$E$2:$E$26,2))</f>
        <v>482.55523200000005</v>
      </c>
      <c r="AX303" s="3" t="str">
        <f>PROPER('Sales_RAW(BEFORE)'!AV312)</f>
        <v xml:space="preserve"> Sarah Smith </v>
      </c>
      <c r="AY303" s="3" t="str">
        <f t="shared" si="23"/>
        <v xml:space="preserve"> Sarah Smith </v>
      </c>
      <c r="AZ303" s="3"/>
      <c r="BA303" s="24">
        <f>AK303*(1-(_xlfn.XLOOKUP(G303, Exchange_Rates!$B$8:$F$8, Exchange_Rates!$B$9:$F$9, 0)+J303))</f>
        <v>16085.174400000002</v>
      </c>
      <c r="BB303" s="7" cm="1">
        <f t="array" ref="BB303">_xlfn.LET(
  _xlpm.raw_dt, SUBSTITUTE(TRIM(C303), ".", "/"),
  _xlpm.dt, IFERROR(DATEVALUE(_xlpm.raw_dt), C303),
  _xlpm.p_code, TRIM(E303),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46725</v>
      </c>
      <c r="BC303" s="25">
        <f t="shared" si="24"/>
        <v>2412.7761600000003</v>
      </c>
    </row>
    <row r="304" spans="1:55" ht="15.75" thickBot="1" x14ac:dyDescent="0.3">
      <c r="A304" s="3" t="s">
        <v>4824</v>
      </c>
      <c r="B304" s="10">
        <v>45818</v>
      </c>
      <c r="C304" s="4">
        <f>DATE(2025,6,13)</f>
        <v>45821</v>
      </c>
      <c r="D304" s="3" t="str">
        <f>"P-" &amp; TEXT(VALUE(SUBSTITUTE(SUBSTITUTE(SUBSTITUTE(UPPER(TRIM('Sales_RAW(BEFORE)'!D313)), "P", ""), "-", ""), "_", "")),"000")</f>
        <v>P-018</v>
      </c>
      <c r="E304" s="3" t="str">
        <f>VLOOKUP(D304,Product_List!$A$2:$B$61,2,FALSE)</f>
        <v>License Basic 18</v>
      </c>
      <c r="F304" s="3" t="str">
        <f>_xlfn.XLOOKUP(E304,Product_List!$B$2:$B$61,Product_List!$E$2:$E$61,2)</f>
        <v>Global Distrib</v>
      </c>
      <c r="G304" s="3" t="str">
        <f>VLOOKUP(E304,Product_List!$B$2:$C$61,2,FALSE)</f>
        <v>Equipment</v>
      </c>
      <c r="H304" s="3" t="str">
        <f>SUBSTITUTE(SUBSTITUTE('Sales_RAW(BEFORE)'!G313,"kom",""),".","")</f>
        <v>20</v>
      </c>
      <c r="I304" s="6">
        <f>VLOOKUP(E304,Product_List!$B$2:$D$61,3,FALSE)</f>
        <v>1470.36</v>
      </c>
      <c r="J304" s="5">
        <f>IF(IFERROR(VALUE(SUBSTITUTE(SUBSTITUTE(TRIM('Sales_RAW(BEFORE)'!I313), "%", ""), ",", ".")), 0) &gt; 1, IFERROR(VALUE(SUBSTITUTE(SUBSTITUTE(TRIM('Sales_RAW(BEFORE)'!I313), "%", ""), ",", ".")), 0) / 100, IFERROR(VALUE(SUBSTITUTE(SUBSTITUTE(TRIM('Sales_RAW(BEFORE)'!I313), "%", ""), ",", ".")), 0))</f>
        <v>0.1</v>
      </c>
      <c r="K304" s="6">
        <f t="shared" si="22"/>
        <v>29407.199999999997</v>
      </c>
      <c r="L304" s="6" t="str" cm="1">
        <f t="array" ref="L304">_xlfn.LET(
  _xlpm.valuta, UPPER(TRIM('Sales_RAW(BEFORE)'!K313)),
  _xlfn.IFS(
    _xlpm.valuta = "", "",
    OR(_xlpm.valuta = "USD", _xlpm.valuta = "$"), "$",
    OR(_xlpm.valuta = "EUR", _xlpm.valuta = "€"), "€",
    TRUE, _xlpm.valuta
  )
)</f>
        <v>$</v>
      </c>
      <c r="M304" s="3" t="str">
        <f>"E" &amp; TEXT(VALUE(SUBSTITUTE(SUBSTITUTE(SUBSTITUTE(UPPER(TRIM('Sales_RAW(BEFORE)'!L313)), "EMP", ""), "E", ""), "-", "")),"000")</f>
        <v>E016</v>
      </c>
      <c r="N304" s="3" t="str">
        <f>_xlfn.XLOOKUP(M304,Employees!$D$2:$D$26,Employees!$A$2:$A$26)</f>
        <v>Chris Anderson</v>
      </c>
      <c r="O304" s="3" t="str">
        <f>_xlfn.XLOOKUP(N304,Employees!$A$2:$A$26,Employees!$C$2:$C$26,2)</f>
        <v>Online</v>
      </c>
      <c r="P304" s="3" t="str">
        <f>PROPER('Sales_RAW(BEFORE)'!N313)</f>
        <v>East</v>
      </c>
      <c r="Q304" s="3" t="str">
        <f>VLOOKUP(N304,Employees!$A$2:$B$26,2,FALSE)</f>
        <v>Chicago</v>
      </c>
      <c r="R304" s="3" t="str">
        <f>PROPER('Sales_RAW(BEFORE)'!P313)</f>
        <v>Stark Inc</v>
      </c>
      <c r="S304" s="3" t="str">
        <f>SUBSTITUTE(SUBSTITUTE('Sales_RAW(BEFORE)'!Q313,"EIN",""),":","")</f>
        <v xml:space="preserve"> 509974858</v>
      </c>
      <c r="T304" s="3" t="s">
        <v>201</v>
      </c>
      <c r="U304" s="3" t="s">
        <v>4832</v>
      </c>
      <c r="V304" s="3" t="s">
        <v>4833</v>
      </c>
      <c r="W304" s="3" t="s">
        <v>4834</v>
      </c>
      <c r="X304" s="3" t="s">
        <v>173</v>
      </c>
      <c r="Y304" s="3" t="str">
        <f>PROPER('Sales_RAW(BEFORE)'!W313)</f>
        <v>Wire Transfer</v>
      </c>
      <c r="Z304" s="3" t="str">
        <f>PROPER('Sales_RAW(BEFORE)'!X313)</f>
        <v>Delivered</v>
      </c>
      <c r="AA304" s="3" t="str" cm="1">
        <f t="array" ref="AA304">_xlfn.LET(
  _xlpm.val, TRIM(LOWER('Sales_RAW(BEFORE)'!Y313)),
  _xlfn.IFS(
    OR(_xlpm.val="yes", _xlpm.val="paid"), "Paid",
    OR(_xlpm.val="no", _xlpm.val="unpaid"), "Unpaid",
    OR(_xlpm.val="partial", _xlpm.val="partial paid"), "Partial",
    _xlpm.val="", "",
    TRUE, 'Sales_RAW(BEFORE)'!AY313
  )
)</f>
        <v>Paid</v>
      </c>
      <c r="AB304" s="3" t="s">
        <v>4835</v>
      </c>
      <c r="AC304" s="3" t="str">
        <f>PROPER('Sales_RAW(BEFORE)'!AA313)</f>
        <v>Online</v>
      </c>
      <c r="AD304" s="3" t="str">
        <f>SUBSTITUTE(SUBSTITUTE(SUBSTITUTE(SUBSTITUTE('Sales_RAW(BEFORE)'!AB313,"st",""),"q",""),"Q",""),"uarter","")</f>
        <v xml:space="preserve">1 </v>
      </c>
      <c r="AE304" s="3" t="str">
        <f>TEXT(IFERROR(DATEVALUE('Sales_RAW(BEFORE)'!AC313 &amp; " 1"), IFERROR(DATE(2025, 'Sales_RAW(BEFORE)'!AC313, 1), 'Sales_RAW(BEFORE)'!AC313)), "mmmm")</f>
        <v>June</v>
      </c>
      <c r="AF304" s="3">
        <f>_xlfn.LET(
  _xlpm.raw, TRIM(SUBSTITUTE('Sales_RAW(BEFORE)'!AD313, "'", "")),
  _xlpm.num, IFERROR(VALUE(_xlpm.raw), 0),
  IF(_xlpm.num &lt; 100, 2000 + _xlpm.num, _xlpm.num)
)</f>
        <v>2025</v>
      </c>
      <c r="AG304" s="3" t="str">
        <f>PROPER('Sales_RAW(BEFORE)'!AE313)</f>
        <v>Net 30</v>
      </c>
      <c r="AH304" s="3" cm="1">
        <f t="array" ref="AH304">_xlfn.LET(
  _xlpm.val, LOWER(TRIM('Sales_RAW(BEFORE)'!AF313)),
  _xlfn.IFS(
    OR(_xlpm.val="", _xlpm.val="null", _xlpm.val="N/A", _xlpm.val="-", _xlpm.val="#N/A"), 0,
    ISNUMBER('Sales_RAW(BEFORE)'!AF313), 'Sales_RAW(BEFORE)'!AF313,
    TRUE, IFERROR(_xlfn.NUMBERVALUE(_xlpm.val), 0)
  )
)</f>
        <v>14</v>
      </c>
      <c r="AI304" s="5">
        <f>IF(IFERROR(VALUE(SUBSTITUTE(SUBSTITUTE(TRIM('Sales_RAW(BEFORE)'!AG313), "%", ""), ",", ".")), 0) &gt; 1, IFERROR(VALUE(SUBSTITUTE(SUBSTITUTE(TRIM('Sales_RAW(BEFORE)'!AG313), "%", ""), ",", ".")), 0) / 100, IFERROR(VALUE(SUBSTITUTE(SUBSTITUTE(TRIM('Sales_RAW(BEFORE)'!AG313), "%", ""), ",", ".")), 0))</f>
        <v>0.08</v>
      </c>
      <c r="AJ304" s="6">
        <f t="shared" si="20"/>
        <v>2352.576</v>
      </c>
      <c r="AK304" s="6">
        <f t="shared" si="21"/>
        <v>31759.775999999998</v>
      </c>
      <c r="AL304" s="6">
        <f>IFERROR(VALUE(SUBSTITUTE(SUBSTITUTE(SUBSTITUTE('Sales_RAW(BEFORE)'!AJ313,"$",""),"USD",""),",",".")),0)</f>
        <v>20</v>
      </c>
      <c r="AM304" s="3" t="str">
        <f>SUBSTITUTE(SUBSTITUTE(PROPER('Sales_RAW(BEFORE)'!AK313), "Fed Ex", "FedEx"),"Fedex","FedEx")</f>
        <v>Ups</v>
      </c>
      <c r="AN304" s="3" t="s">
        <v>4837</v>
      </c>
      <c r="AO304" s="3" t="str">
        <f>SUBSTITUTE('Sales_RAW(BEFORE)'!AM313,"kg","")</f>
        <v>12,65</v>
      </c>
      <c r="AP304" s="3" t="str">
        <f>_xlfn.LET(
  _xlpm.raw, UPPER(TRIM('Sales_RAW(BEFORE)'!AN313)),
  _xlpm.clean, RIGHT(_xlpm.raw, 1),
  IF(OR(_xlpm.raw="", _xlpm.raw="null"), "N/A", _xlpm.clean)
)</f>
        <v>A</v>
      </c>
      <c r="AQ304" s="3">
        <v>340</v>
      </c>
      <c r="AR304" s="3" cm="1">
        <f t="array" ref="AR304">_xlfn.LET(
  _xlpm.raw, LOWER(TRIM('Sales_RAW(BEFORE)'!AP313)),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304" s="3"/>
      <c r="AT304" s="3"/>
      <c r="AU304" s="3"/>
      <c r="AV304" s="8">
        <f>IF(IFERROR(VALUE(SUBSTITUTE(SUBSTITUTE(TRIM('Sales_RAW(BEFORE)'!AT313), "%", ""), ",", ".")), 0) &gt; 1, IFERROR(VALUE(SUBSTITUTE(SUBSTITUTE(TRIM('Sales_RAW(BEFORE)'!AT313), "%", ""), ",", ".")), 0) / 100, IFERROR(VALUE(SUBSTITUTE(SUBSTITUTE(TRIM('Sales_RAW(BEFORE)'!AT313), "%", ""), ",", ".")), 0))</f>
        <v>0.3</v>
      </c>
      <c r="AW304" s="6">
        <f>BA304*(_xlfn.XLOOKUP(N304,Employees!$A$2:$A$26,Employees!$E$2:$E$26,2))</f>
        <v>762.23462400000005</v>
      </c>
      <c r="AX304" s="3" t="str">
        <f>PROPER('Sales_RAW(BEFORE)'!AV313)</f>
        <v xml:space="preserve">   Laura Williams</v>
      </c>
      <c r="AY304" s="3" t="str">
        <f t="shared" si="23"/>
        <v xml:space="preserve">   Laura Williams</v>
      </c>
      <c r="AZ304" s="3"/>
      <c r="BA304" s="24">
        <f>AK304*(1-(_xlfn.XLOOKUP(G304, Exchange_Rates!$B$8:$F$8, Exchange_Rates!$B$9:$F$9, 0)+J304))</f>
        <v>25407.820800000001</v>
      </c>
      <c r="BB304" s="7" cm="1">
        <f t="array" ref="BB304">_xlfn.LET(
  _xlpm.raw_dt, SUBSTITUTE(TRIM(C304), ".", "/"),
  _xlpm.dt, IFERROR(DATEVALUE(_xlpm.raw_dt), C304),
  _xlpm.p_code, TRIM(E304),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46186</v>
      </c>
      <c r="BC304" s="25">
        <f t="shared" si="24"/>
        <v>7622.3462399999999</v>
      </c>
    </row>
    <row r="305" spans="1:55" ht="15.75" thickBot="1" x14ac:dyDescent="0.3">
      <c r="A305" s="3" t="s">
        <v>4840</v>
      </c>
      <c r="B305" s="10">
        <v>45937</v>
      </c>
      <c r="C305" s="4">
        <v>45855</v>
      </c>
      <c r="D305" s="3" t="str">
        <f>"P-" &amp; TEXT(VALUE(SUBSTITUTE(SUBSTITUTE(SUBSTITUTE(UPPER(TRIM('Sales_RAW(BEFORE)'!D314)), "P", ""), "-", ""), "_", "")),"000")</f>
        <v>P-030</v>
      </c>
      <c r="E305" s="3" t="str">
        <f>VLOOKUP(D305,Product_List!$A$2:$B$61,2,FALSE)</f>
        <v>License Pro 30</v>
      </c>
      <c r="F305" s="3" t="str">
        <f>_xlfn.XLOOKUP(E305,Product_List!$B$2:$B$61,Product_List!$E$2:$E$61,2)</f>
        <v>BestParts</v>
      </c>
      <c r="G305" s="3" t="str">
        <f>VLOOKUP(E305,Product_List!$B$2:$C$61,2,FALSE)</f>
        <v>Office</v>
      </c>
      <c r="H305" s="3" t="str">
        <f>SUBSTITUTE(SUBSTITUTE('Sales_RAW(BEFORE)'!G314,"kom",""),".","")</f>
        <v>4</v>
      </c>
      <c r="I305" s="6">
        <f>VLOOKUP(E305,Product_List!$B$2:$D$61,3,FALSE)</f>
        <v>676.54</v>
      </c>
      <c r="J305" s="5">
        <f>IF(IFERROR(VALUE(SUBSTITUTE(SUBSTITUTE(TRIM('Sales_RAW(BEFORE)'!I314), "%", ""), ",", ".")), 0) &gt; 1, IFERROR(VALUE(SUBSTITUTE(SUBSTITUTE(TRIM('Sales_RAW(BEFORE)'!I314), "%", ""), ",", ".")), 0) / 100, IFERROR(VALUE(SUBSTITUTE(SUBSTITUTE(TRIM('Sales_RAW(BEFORE)'!I314), "%", ""), ",", ".")), 0))</f>
        <v>0</v>
      </c>
      <c r="K305" s="6">
        <f>(H305*I305)/(HLOOKUP(AE305,Exchange_Rates!$B$1:$M$2,2,FALSE))</f>
        <v>2897.3875802997854</v>
      </c>
      <c r="L305" s="6" t="str" cm="1">
        <f t="array" ref="L305">_xlfn.LET(
  _xlpm.valuta, UPPER(TRIM('Sales_RAW(BEFORE)'!K314)),
  _xlfn.IFS(
    _xlpm.valuta = "", "",
    OR(_xlpm.valuta = "USD", _xlpm.valuta = "$"), "$",
    OR(_xlpm.valuta = "EUR", _xlpm.valuta = "€"), "€",
    TRUE, _xlpm.valuta
  )
)</f>
        <v>€</v>
      </c>
      <c r="M305" s="3" t="str">
        <f>"E" &amp; TEXT(VALUE(SUBSTITUTE(SUBSTITUTE(SUBSTITUTE(UPPER(TRIM('Sales_RAW(BEFORE)'!L314)), "EMP", ""), "E", ""), "-", "")),"000")</f>
        <v>E003</v>
      </c>
      <c r="N305" s="3" t="str">
        <f>_xlfn.XLOOKUP(M305,Employees!$D$2:$D$26,Employees!$A$2:$A$26)</f>
        <v>Laura Miller</v>
      </c>
      <c r="O305" s="3" t="str">
        <f>_xlfn.XLOOKUP(N305,Employees!$A$2:$A$26,Employees!$C$2:$C$26,2)</f>
        <v>Sales</v>
      </c>
      <c r="P305" s="3" t="str">
        <f>PROPER('Sales_RAW(BEFORE)'!N314)</f>
        <v>East</v>
      </c>
      <c r="Q305" s="3" t="str">
        <f>VLOOKUP(N305,Employees!$A$2:$B$26,2,FALSE)</f>
        <v>Miami</v>
      </c>
      <c r="R305" s="3" t="str">
        <f>PROPER('Sales_RAW(BEFORE)'!P314)</f>
        <v>Umbrella Inc</v>
      </c>
      <c r="S305" s="3" t="str">
        <f>SUBSTITUTE(SUBSTITUTE('Sales_RAW(BEFORE)'!Q314,"EIN",""),":","")</f>
        <v xml:space="preserve"> 728214802</v>
      </c>
      <c r="T305" s="3" t="s">
        <v>876</v>
      </c>
      <c r="U305" s="3" t="s">
        <v>4846</v>
      </c>
      <c r="V305" s="3" t="s">
        <v>4847</v>
      </c>
      <c r="W305" s="3" t="s">
        <v>4848</v>
      </c>
      <c r="X305" s="3" t="s">
        <v>173</v>
      </c>
      <c r="Y305" s="3" t="str">
        <f>PROPER('Sales_RAW(BEFORE)'!W314)</f>
        <v>Credit Card</v>
      </c>
      <c r="Z305" s="3" t="str">
        <f>PROPER('Sales_RAW(BEFORE)'!X314)</f>
        <v>Delivered</v>
      </c>
      <c r="AA305" s="3" t="str" cm="1">
        <f t="array" ref="AA305">_xlfn.LET(
  _xlpm.val, TRIM(LOWER('Sales_RAW(BEFORE)'!Y314)),
  _xlfn.IFS(
    OR(_xlpm.val="yes", _xlpm.val="paid"), "Paid",
    OR(_xlpm.val="no", _xlpm.val="unpaid"), "Unpaid",
    OR(_xlpm.val="partial", _xlpm.val="partial paid"), "Partial",
    _xlpm.val="", "",
    TRUE, 'Sales_RAW(BEFORE)'!AY314
  )
)</f>
        <v>Partial</v>
      </c>
      <c r="AB305" s="3" t="s">
        <v>4849</v>
      </c>
      <c r="AC305" s="3" t="str">
        <f>PROPER('Sales_RAW(BEFORE)'!AA314)</f>
        <v>Online</v>
      </c>
      <c r="AD305" s="3" t="str">
        <f>SUBSTITUTE(SUBSTITUTE(SUBSTITUTE(SUBSTITUTE('Sales_RAW(BEFORE)'!AB314,"st",""),"q",""),"Q",""),"uarter","")</f>
        <v xml:space="preserve">1 </v>
      </c>
      <c r="AE305" s="3" t="str">
        <f>TEXT(IFERROR(DATEVALUE('Sales_RAW(BEFORE)'!AC314 &amp; " 1"), IFERROR(DATE(2025, 'Sales_RAW(BEFORE)'!AC314, 1), 'Sales_RAW(BEFORE)'!AC314)), "mmmm")</f>
        <v>July</v>
      </c>
      <c r="AF305" s="3">
        <f>_xlfn.LET(
  _xlpm.raw, TRIM(SUBSTITUTE('Sales_RAW(BEFORE)'!AD314, "'", "")),
  _xlpm.num, IFERROR(VALUE(_xlpm.raw), 0),
  IF(_xlpm.num &lt; 100, 2000 + _xlpm.num, _xlpm.num)
)</f>
        <v>2025</v>
      </c>
      <c r="AG305" s="3" t="str">
        <f>PROPER('Sales_RAW(BEFORE)'!AE314)</f>
        <v>Net 30</v>
      </c>
      <c r="AH305" s="3" cm="1">
        <f t="array" ref="AH305">_xlfn.LET(
  _xlpm.val, LOWER(TRIM('Sales_RAW(BEFORE)'!AF314)),
  _xlfn.IFS(
    OR(_xlpm.val="", _xlpm.val="null", _xlpm.val="N/A", _xlpm.val="-", _xlpm.val="#N/A"), 0,
    ISNUMBER('Sales_RAW(BEFORE)'!AF314), 'Sales_RAW(BEFORE)'!AF314,
    TRUE, IFERROR(_xlfn.NUMBERVALUE(_xlpm.val), 0)
  )
)</f>
        <v>19</v>
      </c>
      <c r="AI305" s="5">
        <f>IF(IFERROR(VALUE(SUBSTITUTE(SUBSTITUTE(TRIM('Sales_RAW(BEFORE)'!AG314), "%", ""), ",", ".")), 0) &gt; 1, IFERROR(VALUE(SUBSTITUTE(SUBSTITUTE(TRIM('Sales_RAW(BEFORE)'!AG314), "%", ""), ",", ".")), 0) / 100, IFERROR(VALUE(SUBSTITUTE(SUBSTITUTE(TRIM('Sales_RAW(BEFORE)'!AG314), "%", ""), ",", ".")), 0))</f>
        <v>0.08</v>
      </c>
      <c r="AJ305" s="6">
        <f t="shared" si="20"/>
        <v>231.79100642398285</v>
      </c>
      <c r="AK305" s="6">
        <f t="shared" si="21"/>
        <v>3129.1785867237681</v>
      </c>
      <c r="AL305" s="6">
        <f>IFERROR(VALUE(SUBSTITUTE(SUBSTITUTE(SUBSTITUTE('Sales_RAW(BEFORE)'!AJ314,"$",""),"USD",""),",",".")),0)</f>
        <v>21.94</v>
      </c>
      <c r="AM305" s="3" t="str">
        <f>SUBSTITUTE(SUBSTITUTE(PROPER('Sales_RAW(BEFORE)'!AK314), "Fed Ex", "FedEx"),"Fedex","FedEx")</f>
        <v>FedEx</v>
      </c>
      <c r="AN305" s="3" t="s">
        <v>4851</v>
      </c>
      <c r="AO305" s="3" t="str">
        <f>SUBSTITUTE('Sales_RAW(BEFORE)'!AM314,"kg","")</f>
        <v>21,88</v>
      </c>
      <c r="AP305" s="3" t="str">
        <f>_xlfn.LET(
  _xlpm.raw, UPPER(TRIM('Sales_RAW(BEFORE)'!AN314)),
  _xlpm.clean, RIGHT(_xlpm.raw, 1),
  IF(OR(_xlpm.raw="", _xlpm.raw="null"), "N/A", _xlpm.clean)
)</f>
        <v>A</v>
      </c>
      <c r="AQ305" s="3">
        <v>244</v>
      </c>
      <c r="AR305" s="3" cm="1">
        <f t="array" ref="AR305">_xlfn.LET(
  _xlpm.raw, LOWER(TRIM('Sales_RAW(BEFORE)'!AP314)),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305" s="3"/>
      <c r="AT305" s="3"/>
      <c r="AU305" s="3"/>
      <c r="AV305" s="8">
        <f>IF(IFERROR(VALUE(SUBSTITUTE(SUBSTITUTE(TRIM('Sales_RAW(BEFORE)'!AT314), "%", ""), ",", ".")), 0) &gt; 1, IFERROR(VALUE(SUBSTITUTE(SUBSTITUTE(TRIM('Sales_RAW(BEFORE)'!AT314), "%", ""), ",", ".")), 0) / 100, IFERROR(VALUE(SUBSTITUTE(SUBSTITUTE(TRIM('Sales_RAW(BEFORE)'!AT314), "%", ""), ",", ".")), 0))</f>
        <v>0.3</v>
      </c>
      <c r="AW305" s="6">
        <f>BA305*(_xlfn.XLOOKUP(N305,Employees!$A$2:$A$26,Employees!$E$2:$E$26,2))</f>
        <v>140.81303640256957</v>
      </c>
      <c r="AX305" s="3" t="str">
        <f>PROPER('Sales_RAW(BEFORE)'!AV314)</f>
        <v>Olivia Wilson</v>
      </c>
      <c r="AY305" s="3" t="str">
        <f t="shared" si="23"/>
        <v>Olivia Wilson</v>
      </c>
      <c r="AZ305" s="3"/>
      <c r="BA305" s="24">
        <f>AK305*(1-(_xlfn.XLOOKUP(G305, Exchange_Rates!$B$8:$F$8, Exchange_Rates!$B$9:$F$9, 0)+J305))</f>
        <v>2816.2607280513912</v>
      </c>
      <c r="BB305" s="7" cm="1">
        <f t="array" ref="BB305">_xlfn.LET(
  _xlpm.raw_dt, SUBSTITUTE(TRIM(C305), ".", "/"),
  _xlpm.dt, IFERROR(DATEVALUE(_xlpm.raw_dt), C305),
  _xlpm.p_code, TRIM(E305),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46585</v>
      </c>
      <c r="BC305" s="25">
        <f t="shared" si="24"/>
        <v>844.87821841541734</v>
      </c>
    </row>
    <row r="306" spans="1:55" ht="15.75" thickBot="1" x14ac:dyDescent="0.3">
      <c r="A306" s="3" t="s">
        <v>4854</v>
      </c>
      <c r="B306" s="10">
        <v>46239</v>
      </c>
      <c r="C306" s="4">
        <f>DATE(2026,5,22)</f>
        <v>46164</v>
      </c>
      <c r="D306" s="3" t="str">
        <f>"P-" &amp; TEXT(VALUE(SUBSTITUTE(SUBSTITUTE(SUBSTITUTE(UPPER(TRIM('Sales_RAW(BEFORE)'!D315)), "P", ""), "-", ""), "_", "")),"000")</f>
        <v>P-049</v>
      </c>
      <c r="E306" s="3" t="str">
        <f>VLOOKUP(D306,Product_List!$A$2:$B$61,2,FALSE)</f>
        <v>Mouse Pro 49</v>
      </c>
      <c r="F306" s="3" t="str">
        <f>_xlfn.XLOOKUP(E306,Product_List!$B$2:$B$61,Product_List!$E$2:$E$61,2)</f>
        <v>Global Distrib</v>
      </c>
      <c r="G306" s="3" t="str">
        <f>VLOOKUP(E306,Product_List!$B$2:$C$61,2,FALSE)</f>
        <v>Furniture</v>
      </c>
      <c r="H306" s="3" t="str">
        <f>SUBSTITUTE(SUBSTITUTE('Sales_RAW(BEFORE)'!G315,"kom",""),".","")</f>
        <v>18</v>
      </c>
      <c r="I306" s="6">
        <f>VLOOKUP(E306,Product_List!$B$2:$D$61,3,FALSE)</f>
        <v>1111.83</v>
      </c>
      <c r="J306" s="5">
        <f>IF(IFERROR(VALUE(SUBSTITUTE(SUBSTITUTE(TRIM('Sales_RAW(BEFORE)'!I315), "%", ""), ",", ".")), 0) &gt; 1, IFERROR(VALUE(SUBSTITUTE(SUBSTITUTE(TRIM('Sales_RAW(BEFORE)'!I315), "%", ""), ",", ".")), 0) / 100, IFERROR(VALUE(SUBSTITUTE(SUBSTITUTE(TRIM('Sales_RAW(BEFORE)'!I315), "%", ""), ",", ".")), 0))</f>
        <v>0.1</v>
      </c>
      <c r="K306" s="6">
        <f t="shared" si="22"/>
        <v>20012.939999999999</v>
      </c>
      <c r="L306" s="6" t="str" cm="1">
        <f t="array" ref="L306">_xlfn.LET(
  _xlpm.valuta, UPPER(TRIM('Sales_RAW(BEFORE)'!K315)),
  _xlfn.IFS(
    _xlpm.valuta = "", "",
    OR(_xlpm.valuta = "USD", _xlpm.valuta = "$"), "$",
    OR(_xlpm.valuta = "EUR", _xlpm.valuta = "€"), "€",
    TRUE, _xlpm.valuta
  )
)</f>
        <v>$</v>
      </c>
      <c r="M306" s="3" t="str">
        <f>"E" &amp; TEXT(VALUE(SUBSTITUTE(SUBSTITUTE(SUBSTITUTE(UPPER(TRIM('Sales_RAW(BEFORE)'!L315)), "EMP", ""), "E", ""), "-", "")),"000")</f>
        <v>E016</v>
      </c>
      <c r="N306" s="3" t="str">
        <f>_xlfn.XLOOKUP(M306,Employees!$D$2:$D$26,Employees!$A$2:$A$26)</f>
        <v>Chris Anderson</v>
      </c>
      <c r="O306" s="3" t="str">
        <f>_xlfn.XLOOKUP(N306,Employees!$A$2:$A$26,Employees!$C$2:$C$26,2)</f>
        <v>Online</v>
      </c>
      <c r="P306" s="3" t="str">
        <f>PROPER('Sales_RAW(BEFORE)'!N315)</f>
        <v>West</v>
      </c>
      <c r="Q306" s="3" t="str">
        <f>VLOOKUP(N306,Employees!$A$2:$B$26,2,FALSE)</f>
        <v>Chicago</v>
      </c>
      <c r="R306" s="3" t="str">
        <f>PROPER('Sales_RAW(BEFORE)'!P315)</f>
        <v xml:space="preserve">Vortex Llc  </v>
      </c>
      <c r="S306" s="3" t="str">
        <f>SUBSTITUTE(SUBSTITUTE('Sales_RAW(BEFORE)'!Q315,"EIN",""),":","")</f>
        <v>183159846</v>
      </c>
      <c r="T306" s="3" t="s">
        <v>464</v>
      </c>
      <c r="U306" s="3" t="s">
        <v>4863</v>
      </c>
      <c r="V306" s="3" t="s">
        <v>4864</v>
      </c>
      <c r="W306" s="3" t="s">
        <v>4865</v>
      </c>
      <c r="X306" s="3" t="s">
        <v>173</v>
      </c>
      <c r="Y306" s="3" t="str">
        <f>PROPER('Sales_RAW(BEFORE)'!W315)</f>
        <v>Cash</v>
      </c>
      <c r="Z306" s="3" t="str">
        <f>PROPER('Sales_RAW(BEFORE)'!X315)</f>
        <v>Processing</v>
      </c>
      <c r="AA306" s="3" t="str" cm="1">
        <f t="array" ref="AA306">_xlfn.LET(
  _xlpm.val, TRIM(LOWER('Sales_RAW(BEFORE)'!Y315)),
  _xlfn.IFS(
    OR(_xlpm.val="yes", _xlpm.val="paid"), "Paid",
    OR(_xlpm.val="no", _xlpm.val="unpaid"), "Unpaid",
    OR(_xlpm.val="partial", _xlpm.val="partial paid"), "Partial",
    _xlpm.val="", "",
    TRUE, 'Sales_RAW(BEFORE)'!AY315
  )
)</f>
        <v>Unpaid</v>
      </c>
      <c r="AB306" s="3" t="s">
        <v>4866</v>
      </c>
      <c r="AC306" s="3" t="str">
        <f>PROPER('Sales_RAW(BEFORE)'!AA315)</f>
        <v>Store</v>
      </c>
      <c r="AD306" s="3" t="str">
        <f>SUBSTITUTE(SUBSTITUTE(SUBSTITUTE(SUBSTITUTE('Sales_RAW(BEFORE)'!AB315,"st",""),"q",""),"Q",""),"uarter","")</f>
        <v>2</v>
      </c>
      <c r="AE306" s="3" t="str">
        <f>TEXT(IFERROR(DATEVALUE('Sales_RAW(BEFORE)'!AC315 &amp; " 1"), IFERROR(DATE(2025, 'Sales_RAW(BEFORE)'!AC315, 1), 'Sales_RAW(BEFORE)'!AC315)), "mmmm")</f>
        <v>May</v>
      </c>
      <c r="AF306" s="3">
        <f>_xlfn.LET(
  _xlpm.raw, TRIM(SUBSTITUTE('Sales_RAW(BEFORE)'!AD315, "'", "")),
  _xlpm.num, IFERROR(VALUE(_xlpm.raw), 0),
  IF(_xlpm.num &lt; 100, 2000 + _xlpm.num, _xlpm.num)
)</f>
        <v>2026</v>
      </c>
      <c r="AG306" s="3" t="str">
        <f>PROPER('Sales_RAW(BEFORE)'!AE315)</f>
        <v>Net 30</v>
      </c>
      <c r="AH306" s="3" cm="1">
        <f t="array" ref="AH306">_xlfn.LET(
  _xlpm.val, LOWER(TRIM('Sales_RAW(BEFORE)'!AF315)),
  _xlfn.IFS(
    OR(_xlpm.val="", _xlpm.val="null", _xlpm.val="N/A", _xlpm.val="-", _xlpm.val="#N/A"), 0,
    ISNUMBER('Sales_RAW(BEFORE)'!AF315), 'Sales_RAW(BEFORE)'!AF315,
    TRUE, IFERROR(_xlfn.NUMBERVALUE(_xlpm.val), 0)
  )
)</f>
        <v>0</v>
      </c>
      <c r="AI306" s="5">
        <f>IF(IFERROR(VALUE(SUBSTITUTE(SUBSTITUTE(TRIM('Sales_RAW(BEFORE)'!AG315), "%", ""), ",", ".")), 0) &gt; 1, IFERROR(VALUE(SUBSTITUTE(SUBSTITUTE(TRIM('Sales_RAW(BEFORE)'!AG315), "%", ""), ",", ".")), 0) / 100, IFERROR(VALUE(SUBSTITUTE(SUBSTITUTE(TRIM('Sales_RAW(BEFORE)'!AG315), "%", ""), ",", ".")), 0))</f>
        <v>0.08</v>
      </c>
      <c r="AJ306" s="6">
        <f t="shared" si="20"/>
        <v>1601.0352</v>
      </c>
      <c r="AK306" s="6">
        <f t="shared" si="21"/>
        <v>21613.975199999997</v>
      </c>
      <c r="AL306" s="6">
        <f>IFERROR(VALUE(SUBSTITUTE(SUBSTITUTE(SUBSTITUTE('Sales_RAW(BEFORE)'!AJ315,"$",""),"USD",""),",",".")),0)</f>
        <v>37</v>
      </c>
      <c r="AM306" s="3" t="str">
        <f>SUBSTITUTE(SUBSTITUTE(PROPER('Sales_RAW(BEFORE)'!AK315), "Fed Ex", "FedEx"),"Fedex","FedEx")</f>
        <v>FedEx</v>
      </c>
      <c r="AN306" s="3" t="s">
        <v>4867</v>
      </c>
      <c r="AO306" s="3" t="str">
        <f>SUBSTITUTE('Sales_RAW(BEFORE)'!AM315,"kg","")</f>
        <v xml:space="preserve">15.2 </v>
      </c>
      <c r="AP306" s="3" t="str">
        <f>_xlfn.LET(
  _xlpm.raw, UPPER(TRIM('Sales_RAW(BEFORE)'!AN315)),
  _xlpm.clean, RIGHT(_xlpm.raw, 1),
  IF(OR(_xlpm.raw="", _xlpm.raw="null"), "N/A", _xlpm.clean)
)</f>
        <v>C</v>
      </c>
      <c r="AQ306" s="3">
        <v>334</v>
      </c>
      <c r="AR306" s="3" cm="1">
        <f t="array" ref="AR306">_xlfn.LET(
  _xlpm.raw, LOWER(TRIM('Sales_RAW(BEFORE)'!AP315)),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306" s="3"/>
      <c r="AT306" s="3"/>
      <c r="AU306" s="3"/>
      <c r="AV306" s="8">
        <f>IF(IFERROR(VALUE(SUBSTITUTE(SUBSTITUTE(TRIM('Sales_RAW(BEFORE)'!AT315), "%", ""), ",", ".")), 0) &gt; 1, IFERROR(VALUE(SUBSTITUTE(SUBSTITUTE(TRIM('Sales_RAW(BEFORE)'!AT315), "%", ""), ",", ".")), 0) / 100, IFERROR(VALUE(SUBSTITUTE(SUBSTITUTE(TRIM('Sales_RAW(BEFORE)'!AT315), "%", ""), ",", ".")), 0))</f>
        <v>0</v>
      </c>
      <c r="AW306" s="6">
        <f>BA306*(_xlfn.XLOOKUP(N306,Employees!$A$2:$A$26,Employees!$E$2:$E$26,2))</f>
        <v>518.73540479999997</v>
      </c>
      <c r="AX306" s="3" t="str">
        <f>PROPER('Sales_RAW(BEFORE)'!AV315)</f>
        <v>Sophia Smith</v>
      </c>
      <c r="AY306" s="3" t="str">
        <f t="shared" si="23"/>
        <v>Sophia Smith</v>
      </c>
      <c r="AZ306" s="3"/>
      <c r="BA306" s="24">
        <f>AK306*(1-(_xlfn.XLOOKUP(G306, Exchange_Rates!$B$8:$F$8, Exchange_Rates!$B$9:$F$9, 0)+J306))</f>
        <v>17291.18016</v>
      </c>
      <c r="BB306" s="7" cm="1">
        <f t="array" ref="BB306">_xlfn.LET(
  _xlpm.raw_dt, SUBSTITUTE(TRIM(C306), ".", "/"),
  _xlpm.dt, IFERROR(DATEVALUE(_xlpm.raw_dt), C306),
  _xlpm.p_code, TRIM(E306),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46895</v>
      </c>
      <c r="BC306" s="25">
        <f t="shared" si="24"/>
        <v>0</v>
      </c>
    </row>
    <row r="307" spans="1:55" ht="15.75" thickBot="1" x14ac:dyDescent="0.3">
      <c r="A307" s="3" t="s">
        <v>4869</v>
      </c>
      <c r="B307" s="10">
        <v>46136</v>
      </c>
      <c r="C307" s="4">
        <v>46239</v>
      </c>
      <c r="D307" s="3" t="str">
        <f>"P-" &amp; TEXT(VALUE(SUBSTITUTE(SUBSTITUTE(SUBSTITUTE(UPPER(TRIM('Sales_RAW(BEFORE)'!D316)), "P", ""), "-", ""), "_", "")),"000")</f>
        <v>P-038</v>
      </c>
      <c r="E307" s="3" t="str">
        <f>VLOOKUP(D307,Product_List!$A$2:$B$61,2,FALSE)</f>
        <v>Cable Max 38</v>
      </c>
      <c r="F307" s="3" t="str">
        <f>_xlfn.XLOOKUP(E307,Product_List!$B$2:$B$61,Product_List!$E$2:$E$61,2)</f>
        <v>TechSupply Co</v>
      </c>
      <c r="G307" s="3" t="str">
        <f>VLOOKUP(E307,Product_List!$B$2:$C$61,2,FALSE)</f>
        <v>Electronics</v>
      </c>
      <c r="H307" s="3" t="str">
        <f>SUBSTITUTE(SUBSTITUTE('Sales_RAW(BEFORE)'!G316,"kom",""),".","")</f>
        <v xml:space="preserve">32 </v>
      </c>
      <c r="I307" s="6">
        <f>VLOOKUP(E307,Product_List!$B$2:$D$61,3,FALSE)</f>
        <v>687.68</v>
      </c>
      <c r="J307" s="5">
        <f>IF(IFERROR(VALUE(SUBSTITUTE(SUBSTITUTE(TRIM('Sales_RAW(BEFORE)'!I316), "%", ""), ",", ".")), 0) &gt; 1, IFERROR(VALUE(SUBSTITUTE(SUBSTITUTE(TRIM('Sales_RAW(BEFORE)'!I316), "%", ""), ",", ".")), 0) / 100, IFERROR(VALUE(SUBSTITUTE(SUBSTITUTE(TRIM('Sales_RAW(BEFORE)'!I316), "%", ""), ",", ".")), 0))</f>
        <v>0.05</v>
      </c>
      <c r="K307" s="6">
        <f t="shared" si="22"/>
        <v>22005.759999999998</v>
      </c>
      <c r="L307" s="6" t="str" cm="1">
        <f t="array" ref="L307">_xlfn.LET(
  _xlpm.valuta, UPPER(TRIM('Sales_RAW(BEFORE)'!K316)),
  _xlfn.IFS(
    _xlpm.valuta = "", "",
    OR(_xlpm.valuta = "USD", _xlpm.valuta = "$"), "$",
    OR(_xlpm.valuta = "EUR", _xlpm.valuta = "€"), "€",
    TRUE, _xlpm.valuta
  )
)</f>
        <v>$</v>
      </c>
      <c r="M307" s="3" t="str">
        <f>"E" &amp; TEXT(VALUE(SUBSTITUTE(SUBSTITUTE(SUBSTITUTE(UPPER(TRIM('Sales_RAW(BEFORE)'!L316)), "EMP", ""), "E", ""), "-", "")),"000")</f>
        <v>E012</v>
      </c>
      <c r="N307" s="3" t="str">
        <f>_xlfn.XLOOKUP(M307,Employees!$D$2:$D$26,Employees!$A$2:$A$26)</f>
        <v>John Smith</v>
      </c>
      <c r="O307" s="3" t="str">
        <f>_xlfn.XLOOKUP(N307,Employees!$A$2:$A$26,Employees!$C$2:$C$26,2)</f>
        <v>Sales</v>
      </c>
      <c r="P307" s="3" t="str">
        <f>PROPER('Sales_RAW(BEFORE)'!N316)</f>
        <v>East</v>
      </c>
      <c r="Q307" s="3" t="str">
        <f>VLOOKUP(N307,Employees!$A$2:$B$26,2,FALSE)</f>
        <v>Miami</v>
      </c>
      <c r="R307" s="3" t="str">
        <f>PROPER('Sales_RAW(BEFORE)'!P316)</f>
        <v>Acme Ltd.</v>
      </c>
      <c r="S307" s="3" t="str">
        <f>SUBSTITUTE(SUBSTITUTE('Sales_RAW(BEFORE)'!Q316,"EIN",""),":","")</f>
        <v xml:space="preserve"> 600125642</v>
      </c>
      <c r="T307" s="3" t="s">
        <v>684</v>
      </c>
      <c r="U307" s="3" t="s">
        <v>4873</v>
      </c>
      <c r="V307" s="3" t="s">
        <v>4874</v>
      </c>
      <c r="W307" s="3" t="s">
        <v>4875</v>
      </c>
      <c r="X307" s="3" t="s">
        <v>173</v>
      </c>
      <c r="Y307" s="3" t="str">
        <f>PROPER('Sales_RAW(BEFORE)'!W316)</f>
        <v>Wire Transfer</v>
      </c>
      <c r="Z307" s="3" t="str">
        <f>PROPER('Sales_RAW(BEFORE)'!X316)</f>
        <v>Delivered</v>
      </c>
      <c r="AA307" s="3" t="str" cm="1">
        <f t="array" ref="AA307">_xlfn.LET(
  _xlpm.val, TRIM(LOWER('Sales_RAW(BEFORE)'!Y316)),
  _xlfn.IFS(
    OR(_xlpm.val="yes", _xlpm.val="paid"), "Paid",
    OR(_xlpm.val="no", _xlpm.val="unpaid"), "Unpaid",
    OR(_xlpm.val="partial", _xlpm.val="partial paid"), "Partial",
    _xlpm.val="", "",
    TRUE, 'Sales_RAW(BEFORE)'!AY316
  )
)</f>
        <v>Unpaid</v>
      </c>
      <c r="AB307" s="3" t="s">
        <v>4876</v>
      </c>
      <c r="AC307" s="3" t="str">
        <f>PROPER('Sales_RAW(BEFORE)'!AA316)</f>
        <v>Store</v>
      </c>
      <c r="AD307" s="3" t="str">
        <f>SUBSTITUTE(SUBSTITUTE(SUBSTITUTE(SUBSTITUTE('Sales_RAW(BEFORE)'!AB316,"st",""),"q",""),"Q",""),"uarter","")</f>
        <v xml:space="preserve">1 </v>
      </c>
      <c r="AE307" s="3" t="str">
        <f>TEXT(IFERROR(DATEVALUE('Sales_RAW(BEFORE)'!AC316 &amp; " 1"), IFERROR(DATE(2025, 'Sales_RAW(BEFORE)'!AC316, 1), 'Sales_RAW(BEFORE)'!AC316)), "mmmm")</f>
        <v>April</v>
      </c>
      <c r="AF307" s="3">
        <f>_xlfn.LET(
  _xlpm.raw, TRIM(SUBSTITUTE('Sales_RAW(BEFORE)'!AD316, "'", "")),
  _xlpm.num, IFERROR(VALUE(_xlpm.raw), 0),
  IF(_xlpm.num &lt; 100, 2000 + _xlpm.num, _xlpm.num)
)</f>
        <v>2026</v>
      </c>
      <c r="AG307" s="3" t="str">
        <f>PROPER('Sales_RAW(BEFORE)'!AE316)</f>
        <v>Immediate</v>
      </c>
      <c r="AH307" s="3" cm="1">
        <f t="array" ref="AH307">_xlfn.LET(
  _xlpm.val, LOWER(TRIM('Sales_RAW(BEFORE)'!AF316)),
  _xlfn.IFS(
    OR(_xlpm.val="", _xlpm.val="null", _xlpm.val="N/A", _xlpm.val="-", _xlpm.val="#N/A"), 0,
    ISNUMBER('Sales_RAW(BEFORE)'!AF316), 'Sales_RAW(BEFORE)'!AF316,
    TRUE, IFERROR(_xlfn.NUMBERVALUE(_xlpm.val), 0)
  )
)</f>
        <v>7</v>
      </c>
      <c r="AI307" s="5">
        <f>IF(IFERROR(VALUE(SUBSTITUTE(SUBSTITUTE(TRIM('Sales_RAW(BEFORE)'!AG316), "%", ""), ",", ".")), 0) &gt; 1, IFERROR(VALUE(SUBSTITUTE(SUBSTITUTE(TRIM('Sales_RAW(BEFORE)'!AG316), "%", ""), ",", ".")), 0) / 100, IFERROR(VALUE(SUBSTITUTE(SUBSTITUTE(TRIM('Sales_RAW(BEFORE)'!AG316), "%", ""), ",", ".")), 0))</f>
        <v>0.08</v>
      </c>
      <c r="AJ307" s="6">
        <f t="shared" si="20"/>
        <v>1760.4607999999998</v>
      </c>
      <c r="AK307" s="6">
        <f t="shared" si="21"/>
        <v>23766.220799999999</v>
      </c>
      <c r="AL307" s="6">
        <f>IFERROR(VALUE(SUBSTITUTE(SUBSTITUTE(SUBSTITUTE('Sales_RAW(BEFORE)'!AJ316,"$",""),"USD",""),",",".")),0)</f>
        <v>1.25</v>
      </c>
      <c r="AM307" s="3" t="str">
        <f>SUBSTITUTE(SUBSTITUTE(PROPER('Sales_RAW(BEFORE)'!AK316), "Fed Ex", "FedEx"),"Fedex","FedEx")</f>
        <v>Ups</v>
      </c>
      <c r="AN307" s="3" t="s">
        <v>4878</v>
      </c>
      <c r="AO307" s="3" t="str">
        <f>SUBSTITUTE('Sales_RAW(BEFORE)'!AM316,"kg","")</f>
        <v>17,6</v>
      </c>
      <c r="AP307" s="3" t="str">
        <f>_xlfn.LET(
  _xlpm.raw, UPPER(TRIM('Sales_RAW(BEFORE)'!AN316)),
  _xlpm.clean, RIGHT(_xlpm.raw, 1),
  IF(OR(_xlpm.raw="", _xlpm.raw="null"), "N/A", _xlpm.clean)
)</f>
        <v>B</v>
      </c>
      <c r="AQ307" s="3">
        <v>488</v>
      </c>
      <c r="AR307" s="3" cm="1">
        <f t="array" ref="AR307">_xlfn.LET(
  _xlpm.raw, LOWER(TRIM('Sales_RAW(BEFORE)'!AP316)),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307" s="3"/>
      <c r="AT307" s="3"/>
      <c r="AU307" s="3"/>
      <c r="AV307" s="8">
        <f>IF(IFERROR(VALUE(SUBSTITUTE(SUBSTITUTE(TRIM('Sales_RAW(BEFORE)'!AT316), "%", ""), ",", ".")), 0) &gt; 1, IFERROR(VALUE(SUBSTITUTE(SUBSTITUTE(TRIM('Sales_RAW(BEFORE)'!AT316), "%", ""), ",", ".")), 0) / 100, IFERROR(VALUE(SUBSTITUTE(SUBSTITUTE(TRIM('Sales_RAW(BEFORE)'!AT316), "%", ""), ",", ".")), 0))</f>
        <v>0.3</v>
      </c>
      <c r="AW307" s="6">
        <f>BA307*(_xlfn.XLOOKUP(N307,Employees!$A$2:$A$26,Employees!$E$2:$E$26,2))</f>
        <v>404.02575359999997</v>
      </c>
      <c r="AX307" s="3" t="str">
        <f>PROPER('Sales_RAW(BEFORE)'!AV316)</f>
        <v xml:space="preserve">  Jessica Smith   </v>
      </c>
      <c r="AY307" s="3" t="str">
        <f t="shared" si="23"/>
        <v xml:space="preserve">  Jessica Smith   </v>
      </c>
      <c r="AZ307" s="3"/>
      <c r="BA307" s="24">
        <f>AK307*(1-(_xlfn.XLOOKUP(G307, Exchange_Rates!$B$8:$F$8, Exchange_Rates!$B$9:$F$9, 0)+J307))</f>
        <v>20201.287679999998</v>
      </c>
      <c r="BB307" s="7" cm="1">
        <f t="array" ref="BB307">_xlfn.LET(
  _xlpm.raw_dt, SUBSTITUTE(TRIM(C307), ".", "/"),
  _xlpm.dt, IFERROR(DATEVALUE(_xlpm.raw_dt), C307),
  _xlpm.p_code, TRIM(E307),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46970</v>
      </c>
      <c r="BC307" s="25">
        <f t="shared" si="24"/>
        <v>6060.3863039999987</v>
      </c>
    </row>
    <row r="308" spans="1:55" ht="15.75" thickBot="1" x14ac:dyDescent="0.3">
      <c r="A308" s="3" t="s">
        <v>4881</v>
      </c>
      <c r="B308" s="10">
        <v>46030</v>
      </c>
      <c r="C308" s="4">
        <f>DATE(2026,1,20)</f>
        <v>46042</v>
      </c>
      <c r="D308" s="3" t="str">
        <f>"P-" &amp; TEXT(VALUE(SUBSTITUTE(SUBSTITUTE(SUBSTITUTE(UPPER(TRIM('Sales_RAW(BEFORE)'!D317)), "P", ""), "-", ""), "_", "")),"000")</f>
        <v>P-020</v>
      </c>
      <c r="E308" s="3" t="str">
        <f>VLOOKUP(D308,Product_List!$A$2:$B$61,2,FALSE)</f>
        <v>Desk X 20</v>
      </c>
      <c r="F308" s="3" t="str">
        <f>_xlfn.XLOOKUP(E308,Product_List!$B$2:$B$61,Product_List!$E$2:$E$61,2)</f>
        <v>BestParts</v>
      </c>
      <c r="G308" s="3" t="str">
        <f>VLOOKUP(E308,Product_List!$B$2:$C$61,2,FALSE)</f>
        <v>Software</v>
      </c>
      <c r="H308" s="3" t="str">
        <f>SUBSTITUTE(SUBSTITUTE('Sales_RAW(BEFORE)'!G317,"kom",""),".","")</f>
        <v xml:space="preserve">8 </v>
      </c>
      <c r="I308" s="6">
        <f>VLOOKUP(E308,Product_List!$B$2:$D$61,3,FALSE)</f>
        <v>635.44000000000005</v>
      </c>
      <c r="J308" s="5">
        <f>IF(IFERROR(VALUE(SUBSTITUTE(SUBSTITUTE(TRIM('Sales_RAW(BEFORE)'!I317), "%", ""), ",", ".")), 0) &gt; 1, IFERROR(VALUE(SUBSTITUTE(SUBSTITUTE(TRIM('Sales_RAW(BEFORE)'!I317), "%", ""), ",", ".")), 0) / 100, IFERROR(VALUE(SUBSTITUTE(SUBSTITUTE(TRIM('Sales_RAW(BEFORE)'!I317), "%", ""), ",", ".")), 0))</f>
        <v>0</v>
      </c>
      <c r="K308" s="6">
        <f t="shared" si="22"/>
        <v>5083.5200000000004</v>
      </c>
      <c r="L308" s="6" t="str" cm="1">
        <f t="array" ref="L308">_xlfn.LET(
  _xlpm.valuta, UPPER(TRIM('Sales_RAW(BEFORE)'!K317)),
  _xlfn.IFS(
    _xlpm.valuta = "", "",
    OR(_xlpm.valuta = "USD", _xlpm.valuta = "$"), "$",
    OR(_xlpm.valuta = "EUR", _xlpm.valuta = "€"), "€",
    TRUE, _xlpm.valuta
  )
)</f>
        <v>$</v>
      </c>
      <c r="M308" s="3" t="str">
        <f>"E" &amp; TEXT(VALUE(SUBSTITUTE(SUBSTITUTE(SUBSTITUTE(UPPER(TRIM('Sales_RAW(BEFORE)'!L317)), "EMP", ""), "E", ""), "-", "")),"000")</f>
        <v>E024</v>
      </c>
      <c r="N308" s="3" t="str">
        <f>_xlfn.XLOOKUP(M308,Employees!$D$2:$D$26,Employees!$A$2:$A$26)</f>
        <v>Robert Smith</v>
      </c>
      <c r="O308" s="3" t="str">
        <f>_xlfn.XLOOKUP(N308,Employees!$A$2:$A$26,Employees!$C$2:$C$26,2)</f>
        <v>Retail</v>
      </c>
      <c r="P308" s="3" t="str">
        <f>PROPER('Sales_RAW(BEFORE)'!N317)</f>
        <v>North</v>
      </c>
      <c r="Q308" s="3" t="str">
        <f>VLOOKUP(N308,Employees!$A$2:$B$26,2,FALSE)</f>
        <v>Chicago</v>
      </c>
      <c r="R308" s="3" t="str">
        <f>PROPER('Sales_RAW(BEFORE)'!P317)</f>
        <v>Stark Ltd.</v>
      </c>
      <c r="S308" s="3" t="str">
        <f>SUBSTITUTE(SUBSTITUTE('Sales_RAW(BEFORE)'!Q317,"EIN",""),":","")</f>
        <v xml:space="preserve"> 839228093</v>
      </c>
      <c r="T308" s="3" t="s">
        <v>420</v>
      </c>
      <c r="U308" s="3" t="s">
        <v>4888</v>
      </c>
      <c r="V308" s="3" t="s">
        <v>4889</v>
      </c>
      <c r="W308" s="3" t="s">
        <v>4890</v>
      </c>
      <c r="X308" s="3" t="s">
        <v>173</v>
      </c>
      <c r="Y308" s="3" t="str">
        <f>PROPER('Sales_RAW(BEFORE)'!W317)</f>
        <v>Wire Transfer</v>
      </c>
      <c r="Z308" s="3" t="str">
        <f>PROPER('Sales_RAW(BEFORE)'!X317)</f>
        <v>Processing</v>
      </c>
      <c r="AA308" s="3" t="str" cm="1">
        <f t="array" ref="AA308">_xlfn.LET(
  _xlpm.val, TRIM(LOWER('Sales_RAW(BEFORE)'!Y317)),
  _xlfn.IFS(
    OR(_xlpm.val="yes", _xlpm.val="paid"), "Paid",
    OR(_xlpm.val="no", _xlpm.val="unpaid"), "Unpaid",
    OR(_xlpm.val="partial", _xlpm.val="partial paid"), "Partial",
    _xlpm.val="", "",
    TRUE, 'Sales_RAW(BEFORE)'!AY317
  )
)</f>
        <v>Paid</v>
      </c>
      <c r="AB308" s="3" t="s">
        <v>4891</v>
      </c>
      <c r="AC308" s="3" t="str">
        <f>PROPER('Sales_RAW(BEFORE)'!AA317)</f>
        <v>Store</v>
      </c>
      <c r="AD308" s="3" t="str">
        <f>SUBSTITUTE(SUBSTITUTE(SUBSTITUTE(SUBSTITUTE('Sales_RAW(BEFORE)'!AB317,"st",""),"q",""),"Q",""),"uarter","")</f>
        <v>1</v>
      </c>
      <c r="AE308" s="3" t="str">
        <f>TEXT(IFERROR(DATEVALUE('Sales_RAW(BEFORE)'!AC317 &amp; " 1"), IFERROR(DATE(2025, 'Sales_RAW(BEFORE)'!AC317, 1), 'Sales_RAW(BEFORE)'!AC317)), "mmmm")</f>
        <v>January</v>
      </c>
      <c r="AF308" s="3">
        <f>_xlfn.LET(
  _xlpm.raw, TRIM(SUBSTITUTE('Sales_RAW(BEFORE)'!AD317, "'", "")),
  _xlpm.num, IFERROR(VALUE(_xlpm.raw), 0),
  IF(_xlpm.num &lt; 100, 2000 + _xlpm.num, _xlpm.num)
)</f>
        <v>2026</v>
      </c>
      <c r="AG308" s="3" t="str">
        <f>PROPER('Sales_RAW(BEFORE)'!AE317)</f>
        <v>Net 30</v>
      </c>
      <c r="AH308" s="3" cm="1">
        <f t="array" ref="AH308">_xlfn.LET(
  _xlpm.val, LOWER(TRIM('Sales_RAW(BEFORE)'!AF317)),
  _xlfn.IFS(
    OR(_xlpm.val="", _xlpm.val="null", _xlpm.val="N/A", _xlpm.val="-", _xlpm.val="#N/A"), 0,
    ISNUMBER('Sales_RAW(BEFORE)'!AF317), 'Sales_RAW(BEFORE)'!AF317,
    TRUE, IFERROR(_xlfn.NUMBERVALUE(_xlpm.val), 0)
  )
)</f>
        <v>18</v>
      </c>
      <c r="AI308" s="5">
        <f>IF(IFERROR(VALUE(SUBSTITUTE(SUBSTITUTE(TRIM('Sales_RAW(BEFORE)'!AG317), "%", ""), ",", ".")), 0) &gt; 1, IFERROR(VALUE(SUBSTITUTE(SUBSTITUTE(TRIM('Sales_RAW(BEFORE)'!AG317), "%", ""), ",", ".")), 0) / 100, IFERROR(VALUE(SUBSTITUTE(SUBSTITUTE(TRIM('Sales_RAW(BEFORE)'!AG317), "%", ""), ",", ".")), 0))</f>
        <v>0.08</v>
      </c>
      <c r="AJ308" s="6">
        <f t="shared" si="20"/>
        <v>406.68160000000006</v>
      </c>
      <c r="AK308" s="6">
        <f t="shared" si="21"/>
        <v>5490.2016000000003</v>
      </c>
      <c r="AL308" s="6">
        <f>IFERROR(VALUE(SUBSTITUTE(SUBSTITUTE(SUBSTITUTE('Sales_RAW(BEFORE)'!AJ317,"$",""),"USD",""),",",".")),0)</f>
        <v>49.32</v>
      </c>
      <c r="AM308" s="3" t="str">
        <f>SUBSTITUTE(SUBSTITUTE(PROPER('Sales_RAW(BEFORE)'!AK317), "Fed Ex", "FedEx"),"Fedex","FedEx")</f>
        <v>Usps</v>
      </c>
      <c r="AN308" s="3" t="s">
        <v>4893</v>
      </c>
      <c r="AO308" s="3" t="str">
        <f>SUBSTITUTE('Sales_RAW(BEFORE)'!AM317,"kg","")</f>
        <v>1.41</v>
      </c>
      <c r="AP308" s="3" t="str">
        <f>_xlfn.LET(
  _xlpm.raw, UPPER(TRIM('Sales_RAW(BEFORE)'!AN317)),
  _xlpm.clean, RIGHT(_xlpm.raw, 1),
  IF(OR(_xlpm.raw="", _xlpm.raw="null"), "N/A", _xlpm.clean)
)</f>
        <v>A</v>
      </c>
      <c r="AQ308" s="3">
        <v>284</v>
      </c>
      <c r="AR308" s="3" cm="1">
        <f t="array" ref="AR308">_xlfn.LET(
  _xlpm.raw, LOWER(TRIM('Sales_RAW(BEFORE)'!AP317)),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308" s="3"/>
      <c r="AT308" s="3"/>
      <c r="AU308" s="3"/>
      <c r="AV308" s="8">
        <f>IF(IFERROR(VALUE(SUBSTITUTE(SUBSTITUTE(TRIM('Sales_RAW(BEFORE)'!AT317), "%", ""), ",", ".")), 0) &gt; 1, IFERROR(VALUE(SUBSTITUTE(SUBSTITUTE(TRIM('Sales_RAW(BEFORE)'!AT317), "%", ""), ",", ".")), 0) / 100, IFERROR(VALUE(SUBSTITUTE(SUBSTITUTE(TRIM('Sales_RAW(BEFORE)'!AT317), "%", ""), ",", ".")), 0))</f>
        <v>0.15</v>
      </c>
      <c r="AW308" s="6">
        <f>BA308*(_xlfn.XLOOKUP(N308,Employees!$A$2:$A$26,Employees!$E$2:$E$26,2))</f>
        <v>93.333427200000003</v>
      </c>
      <c r="AX308" s="3" t="str">
        <f>PROPER('Sales_RAW(BEFORE)'!AV317)</f>
        <v>David Davis</v>
      </c>
      <c r="AY308" s="3" t="str">
        <f t="shared" si="23"/>
        <v>David Davis</v>
      </c>
      <c r="AZ308" s="3"/>
      <c r="BA308" s="24">
        <f>AK308*(1-(_xlfn.XLOOKUP(G308, Exchange_Rates!$B$8:$F$8, Exchange_Rates!$B$9:$F$9, 0)+J308))</f>
        <v>4666.6713600000003</v>
      </c>
      <c r="BB308" s="7" cm="1">
        <f t="array" ref="BB308">_xlfn.LET(
  _xlpm.raw_dt, SUBSTITUTE(TRIM(C308), ".", "/"),
  _xlpm.dt, IFERROR(DATEVALUE(_xlpm.raw_dt), C308),
  _xlpm.p_code, TRIM(E308),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46772</v>
      </c>
      <c r="BC308" s="25">
        <f t="shared" si="24"/>
        <v>700.00070400000004</v>
      </c>
    </row>
    <row r="309" spans="1:55" ht="15.75" thickBot="1" x14ac:dyDescent="0.3">
      <c r="A309" s="3" t="s">
        <v>4895</v>
      </c>
      <c r="B309" s="10">
        <v>45920</v>
      </c>
      <c r="C309" s="4">
        <v>45922</v>
      </c>
      <c r="D309" s="3" t="str">
        <f>"P-" &amp; TEXT(VALUE(SUBSTITUTE(SUBSTITUTE(SUBSTITUTE(UPPER(TRIM('Sales_RAW(BEFORE)'!D318)), "P", ""), "-", ""), "_", "")),"000")</f>
        <v>P-028</v>
      </c>
      <c r="E309" s="3" t="str">
        <f>VLOOKUP(D309,Product_List!$A$2:$B$61,2,FALSE)</f>
        <v>Laptop X 28</v>
      </c>
      <c r="F309" s="3" t="str">
        <f>_xlfn.XLOOKUP(E309,Product_List!$B$2:$B$61,Product_List!$E$2:$E$61,2)</f>
        <v>BestParts</v>
      </c>
      <c r="G309" s="3" t="str">
        <f>VLOOKUP(E309,Product_List!$B$2:$C$61,2,FALSE)</f>
        <v>Furniture</v>
      </c>
      <c r="H309" s="3" t="str">
        <f>SUBSTITUTE(SUBSTITUTE('Sales_RAW(BEFORE)'!G318,"kom",""),".","")</f>
        <v xml:space="preserve">6 </v>
      </c>
      <c r="I309" s="6">
        <f>VLOOKUP(E309,Product_List!$B$2:$D$61,3,FALSE)</f>
        <v>198.36</v>
      </c>
      <c r="J309" s="5">
        <f>IF(IFERROR(VALUE(SUBSTITUTE(SUBSTITUTE(TRIM('Sales_RAW(BEFORE)'!I318), "%", ""), ",", ".")), 0) &gt; 1, IFERROR(VALUE(SUBSTITUTE(SUBSTITUTE(TRIM('Sales_RAW(BEFORE)'!I318), "%", ""), ",", ".")), 0) / 100, IFERROR(VALUE(SUBSTITUTE(SUBSTITUTE(TRIM('Sales_RAW(BEFORE)'!I318), "%", ""), ",", ".")), 0))</f>
        <v>0.1</v>
      </c>
      <c r="K309" s="6">
        <f t="shared" si="22"/>
        <v>1190.1600000000001</v>
      </c>
      <c r="L309" s="6" t="str" cm="1">
        <f t="array" ref="L309">_xlfn.LET(
  _xlpm.valuta, UPPER(TRIM('Sales_RAW(BEFORE)'!K318)),
  _xlfn.IFS(
    _xlpm.valuta = "", "",
    OR(_xlpm.valuta = "USD", _xlpm.valuta = "$"), "$",
    OR(_xlpm.valuta = "EUR", _xlpm.valuta = "€"), "€",
    TRUE, _xlpm.valuta
  )
)</f>
        <v>$</v>
      </c>
      <c r="M309" s="3" t="str">
        <f>"E" &amp; TEXT(VALUE(SUBSTITUTE(SUBSTITUTE(SUBSTITUTE(UPPER(TRIM('Sales_RAW(BEFORE)'!L318)), "EMP", ""), "E", ""), "-", "")),"000")</f>
        <v>E004</v>
      </c>
      <c r="N309" s="3" t="str">
        <f>_xlfn.XLOOKUP(M309,Employees!$D$2:$D$26,Employees!$A$2:$A$26)</f>
        <v>Sophia Johnson</v>
      </c>
      <c r="O309" s="3" t="str">
        <f>_xlfn.XLOOKUP(N309,Employees!$A$2:$A$26,Employees!$C$2:$C$26,2)</f>
        <v>Wholesale</v>
      </c>
      <c r="P309" s="3" t="str">
        <f>PROPER('Sales_RAW(BEFORE)'!N318)</f>
        <v>West</v>
      </c>
      <c r="Q309" s="3" t="str">
        <f>VLOOKUP(N309,Employees!$A$2:$B$26,2,FALSE)</f>
        <v>Houston</v>
      </c>
      <c r="R309" s="3" t="str">
        <f>PROPER('Sales_RAW(BEFORE)'!P318)</f>
        <v xml:space="preserve">Stark Inc   </v>
      </c>
      <c r="S309" s="3" t="str">
        <f>SUBSTITUTE(SUBSTITUTE('Sales_RAW(BEFORE)'!Q318,"EIN",""),":","")</f>
        <v xml:space="preserve"> 911501444</v>
      </c>
      <c r="T309" s="3" t="s">
        <v>1846</v>
      </c>
      <c r="U309" s="3" t="s">
        <v>4900</v>
      </c>
      <c r="V309" s="3" t="s">
        <v>4901</v>
      </c>
      <c r="W309" s="3" t="s">
        <v>4902</v>
      </c>
      <c r="X309" s="3" t="s">
        <v>173</v>
      </c>
      <c r="Y309" s="3" t="str">
        <f>PROPER('Sales_RAW(BEFORE)'!W318)</f>
        <v>Credit Card</v>
      </c>
      <c r="Z309" s="3" t="str">
        <f>PROPER('Sales_RAW(BEFORE)'!X318)</f>
        <v>Delivered</v>
      </c>
      <c r="AA309" s="3" t="str" cm="1">
        <f t="array" ref="AA309">_xlfn.LET(
  _xlpm.val, TRIM(LOWER('Sales_RAW(BEFORE)'!Y318)),
  _xlfn.IFS(
    OR(_xlpm.val="yes", _xlpm.val="paid"), "Paid",
    OR(_xlpm.val="no", _xlpm.val="unpaid"), "Unpaid",
    OR(_xlpm.val="partial", _xlpm.val="partial paid"), "Partial",
    _xlpm.val="", "",
    TRUE, 'Sales_RAW(BEFORE)'!AY318
  )
)</f>
        <v>Paid</v>
      </c>
      <c r="AB309" s="3" t="s">
        <v>4903</v>
      </c>
      <c r="AC309" s="3" t="str">
        <f>PROPER('Sales_RAW(BEFORE)'!AA318)</f>
        <v>Store</v>
      </c>
      <c r="AD309" s="3" t="str">
        <f>SUBSTITUTE(SUBSTITUTE(SUBSTITUTE(SUBSTITUTE('Sales_RAW(BEFORE)'!AB318,"st",""),"q",""),"Q",""),"uarter","")</f>
        <v>3</v>
      </c>
      <c r="AE309" s="3" t="str">
        <f>TEXT(IFERROR(DATEVALUE('Sales_RAW(BEFORE)'!AC318 &amp; " 1"), IFERROR(DATE(2025, 'Sales_RAW(BEFORE)'!AC318, 1), 'Sales_RAW(BEFORE)'!AC318)), "mmmm")</f>
        <v>September</v>
      </c>
      <c r="AF309" s="3">
        <f>_xlfn.LET(
  _xlpm.raw, TRIM(SUBSTITUTE('Sales_RAW(BEFORE)'!AD318, "'", "")),
  _xlpm.num, IFERROR(VALUE(_xlpm.raw), 0),
  IF(_xlpm.num &lt; 100, 2000 + _xlpm.num, _xlpm.num)
)</f>
        <v>2025</v>
      </c>
      <c r="AG309" s="3" t="str">
        <f>PROPER('Sales_RAW(BEFORE)'!AE318)</f>
        <v>15</v>
      </c>
      <c r="AH309" s="3" cm="1">
        <f t="array" ref="AH309">_xlfn.LET(
  _xlpm.val, LOWER(TRIM('Sales_RAW(BEFORE)'!AF318)),
  _xlfn.IFS(
    OR(_xlpm.val="", _xlpm.val="null", _xlpm.val="N/A", _xlpm.val="-", _xlpm.val="#N/A"), 0,
    ISNUMBER('Sales_RAW(BEFORE)'!AF318), 'Sales_RAW(BEFORE)'!AF318,
    TRUE, IFERROR(_xlfn.NUMBERVALUE(_xlpm.val), 0)
  )
)</f>
        <v>45</v>
      </c>
      <c r="AI309" s="5">
        <f>IF(IFERROR(VALUE(SUBSTITUTE(SUBSTITUTE(TRIM('Sales_RAW(BEFORE)'!AG318), "%", ""), ",", ".")), 0) &gt; 1, IFERROR(VALUE(SUBSTITUTE(SUBSTITUTE(TRIM('Sales_RAW(BEFORE)'!AG318), "%", ""), ",", ".")), 0) / 100, IFERROR(VALUE(SUBSTITUTE(SUBSTITUTE(TRIM('Sales_RAW(BEFORE)'!AG318), "%", ""), ",", ".")), 0))</f>
        <v>0.08</v>
      </c>
      <c r="AJ309" s="6">
        <f t="shared" si="20"/>
        <v>95.212800000000001</v>
      </c>
      <c r="AK309" s="6">
        <f t="shared" si="21"/>
        <v>1285.3728000000001</v>
      </c>
      <c r="AL309" s="6">
        <f>IFERROR(VALUE(SUBSTITUTE(SUBSTITUTE(SUBSTITUTE('Sales_RAW(BEFORE)'!AJ318,"$",""),"USD",""),",",".")),0)</f>
        <v>0.56999999999999995</v>
      </c>
      <c r="AM309" s="3" t="str">
        <f>SUBSTITUTE(SUBSTITUTE(PROPER('Sales_RAW(BEFORE)'!AK318), "Fed Ex", "FedEx"),"Fedex","FedEx")</f>
        <v>FedEx</v>
      </c>
      <c r="AN309" s="3" t="s">
        <v>4905</v>
      </c>
      <c r="AO309" s="3" t="str">
        <f>SUBSTITUTE('Sales_RAW(BEFORE)'!AM318,"kg","")</f>
        <v>17,36</v>
      </c>
      <c r="AP309" s="3" t="str">
        <f>_xlfn.LET(
  _xlpm.raw, UPPER(TRIM('Sales_RAW(BEFORE)'!AN318)),
  _xlpm.clean, RIGHT(_xlpm.raw, 1),
  IF(OR(_xlpm.raw="", _xlpm.raw="null"), "N/A", _xlpm.clean)
)</f>
        <v>C</v>
      </c>
      <c r="AQ309" s="3">
        <v>202</v>
      </c>
      <c r="AR309" s="3" cm="1">
        <f t="array" ref="AR309">_xlfn.LET(
  _xlpm.raw, LOWER(TRIM('Sales_RAW(BEFORE)'!AP318)),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309" s="3"/>
      <c r="AT309" s="3"/>
      <c r="AU309" s="3"/>
      <c r="AV309" s="8">
        <f>IF(IFERROR(VALUE(SUBSTITUTE(SUBSTITUTE(TRIM('Sales_RAW(BEFORE)'!AT318), "%", ""), ",", ".")), 0) &gt; 1, IFERROR(VALUE(SUBSTITUTE(SUBSTITUTE(TRIM('Sales_RAW(BEFORE)'!AT318), "%", ""), ",", ".")), 0) / 100, IFERROR(VALUE(SUBSTITUTE(SUBSTITUTE(TRIM('Sales_RAW(BEFORE)'!AT318), "%", ""), ",", ".")), 0))</f>
        <v>0.25</v>
      </c>
      <c r="AW309" s="6">
        <f>BA309*(_xlfn.XLOOKUP(N309,Employees!$A$2:$A$26,Employees!$E$2:$E$26,2))</f>
        <v>51.414912000000008</v>
      </c>
      <c r="AX309" s="3" t="str">
        <f>PROPER('Sales_RAW(BEFORE)'!AV318)</f>
        <v xml:space="preserve">  Ryan Anderson   </v>
      </c>
      <c r="AY309" s="3" t="str">
        <f t="shared" si="23"/>
        <v xml:space="preserve">  Ryan Anderson   </v>
      </c>
      <c r="AZ309" s="3"/>
      <c r="BA309" s="24">
        <f>AK309*(1-(_xlfn.XLOOKUP(G309, Exchange_Rates!$B$8:$F$8, Exchange_Rates!$B$9:$F$9, 0)+J309))</f>
        <v>1028.2982400000001</v>
      </c>
      <c r="BB309" s="7" cm="1">
        <f t="array" ref="BB309">_xlfn.LET(
  _xlpm.raw_dt, SUBSTITUTE(TRIM(C309), ".", "/"),
  _xlpm.dt, IFERROR(DATEVALUE(_xlpm.raw_dt), C309),
  _xlpm.p_code, TRIM(E309),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47018</v>
      </c>
      <c r="BC309" s="25">
        <f t="shared" si="24"/>
        <v>257.07456000000002</v>
      </c>
    </row>
    <row r="310" spans="1:55" ht="15.75" thickBot="1" x14ac:dyDescent="0.3">
      <c r="A310" s="3" t="s">
        <v>4909</v>
      </c>
      <c r="B310" s="10">
        <v>46185</v>
      </c>
      <c r="C310" s="4">
        <v>46199</v>
      </c>
      <c r="D310" s="3" t="str">
        <f>"P-" &amp; TEXT(VALUE(SUBSTITUTE(SUBSTITUTE(SUBSTITUTE(UPPER(TRIM('Sales_RAW(BEFORE)'!D319)), "P", ""), "-", ""), "_", "")),"000")</f>
        <v>P-013</v>
      </c>
      <c r="E310" s="3" t="str">
        <f>VLOOKUP(D310,Product_List!$A$2:$B$61,2,FALSE)</f>
        <v>Monitor Max 13</v>
      </c>
      <c r="F310" s="3" t="str">
        <f>_xlfn.XLOOKUP(E310,Product_List!$B$2:$B$61,Product_List!$E$2:$E$61,2)</f>
        <v>OfficeHub</v>
      </c>
      <c r="G310" s="3" t="str">
        <f>VLOOKUP(E310,Product_List!$B$2:$C$61,2,FALSE)</f>
        <v>Electronics</v>
      </c>
      <c r="H310" s="3" t="str">
        <f>SUBSTITUTE(SUBSTITUTE('Sales_RAW(BEFORE)'!G319,"kom",""),".","")</f>
        <v xml:space="preserve">23 </v>
      </c>
      <c r="I310" s="6">
        <f>VLOOKUP(E310,Product_List!$B$2:$D$61,3,FALSE)</f>
        <v>930.42</v>
      </c>
      <c r="J310" s="5">
        <f>IF(IFERROR(VALUE(SUBSTITUTE(SUBSTITUTE(TRIM('Sales_RAW(BEFORE)'!I319), "%", ""), ",", ".")), 0) &gt; 1, IFERROR(VALUE(SUBSTITUTE(SUBSTITUTE(TRIM('Sales_RAW(BEFORE)'!I319), "%", ""), ",", ".")), 0) / 100, IFERROR(VALUE(SUBSTITUTE(SUBSTITUTE(TRIM('Sales_RAW(BEFORE)'!I319), "%", ""), ",", ".")), 0))</f>
        <v>0.1</v>
      </c>
      <c r="K310" s="6">
        <f t="shared" si="22"/>
        <v>21399.66</v>
      </c>
      <c r="L310" s="6" t="str" cm="1">
        <f t="array" ref="L310">_xlfn.LET(
  _xlpm.valuta, UPPER(TRIM('Sales_RAW(BEFORE)'!K319)),
  _xlfn.IFS(
    _xlpm.valuta = "", "",
    OR(_xlpm.valuta = "USD", _xlpm.valuta = "$"), "$",
    OR(_xlpm.valuta = "EUR", _xlpm.valuta = "€"), "€",
    TRUE, _xlpm.valuta
  )
)</f>
        <v>$</v>
      </c>
      <c r="M310" s="3" t="str">
        <f>"E" &amp; TEXT(VALUE(SUBSTITUTE(SUBSTITUTE(SUBSTITUTE(UPPER(TRIM('Sales_RAW(BEFORE)'!L319)), "EMP", ""), "E", ""), "-", "")),"000")</f>
        <v>E019</v>
      </c>
      <c r="N310" s="3" t="str">
        <f>_xlfn.XLOOKUP(M310,Employees!$D$2:$D$26,Employees!$A$2:$A$26)</f>
        <v>Sophia Taylor</v>
      </c>
      <c r="O310" s="3" t="str">
        <f>_xlfn.XLOOKUP(N310,Employees!$A$2:$A$26,Employees!$C$2:$C$26,2)</f>
        <v>Wholesale</v>
      </c>
      <c r="P310" s="3" t="str">
        <f>PROPER('Sales_RAW(BEFORE)'!N319)</f>
        <v>West</v>
      </c>
      <c r="Q310" s="3" t="str">
        <f>VLOOKUP(N310,Employees!$A$2:$B$26,2,FALSE)</f>
        <v>Los Angeles</v>
      </c>
      <c r="R310" s="3" t="str">
        <f>PROPER('Sales_RAW(BEFORE)'!P319)</f>
        <v>Acme Ltd.</v>
      </c>
      <c r="S310" s="3" t="str">
        <f>SUBSTITUTE(SUBSTITUTE('Sales_RAW(BEFORE)'!Q319,"EIN",""),":","")</f>
        <v>726297451</v>
      </c>
      <c r="T310" s="3" t="s">
        <v>400</v>
      </c>
      <c r="U310" s="3" t="s">
        <v>4914</v>
      </c>
      <c r="V310" s="3" t="s">
        <v>4915</v>
      </c>
      <c r="W310" s="3" t="s">
        <v>4916</v>
      </c>
      <c r="X310" s="3" t="s">
        <v>173</v>
      </c>
      <c r="Y310" s="3" t="str">
        <f>PROPER('Sales_RAW(BEFORE)'!W319)</f>
        <v>Credit Card</v>
      </c>
      <c r="Z310" s="3" t="str">
        <f>PROPER('Sales_RAW(BEFORE)'!X319)</f>
        <v>Delivered</v>
      </c>
      <c r="AA310" s="3" t="str" cm="1">
        <f t="array" ref="AA310">_xlfn.LET(
  _xlpm.val, TRIM(LOWER('Sales_RAW(BEFORE)'!Y319)),
  _xlfn.IFS(
    OR(_xlpm.val="yes", _xlpm.val="paid"), "Paid",
    OR(_xlpm.val="no", _xlpm.val="unpaid"), "Unpaid",
    OR(_xlpm.val="partial", _xlpm.val="partial paid"), "Partial",
    _xlpm.val="", "",
    TRUE, 'Sales_RAW(BEFORE)'!AY319
  )
)</f>
        <v>Paid</v>
      </c>
      <c r="AB310" s="3" t="s">
        <v>4917</v>
      </c>
      <c r="AC310" s="3" t="str">
        <f>PROPER('Sales_RAW(BEFORE)'!AA319)</f>
        <v>Web</v>
      </c>
      <c r="AD310" s="3" t="str">
        <f>SUBSTITUTE(SUBSTITUTE(SUBSTITUTE(SUBSTITUTE('Sales_RAW(BEFORE)'!AB319,"st",""),"q",""),"Q",""),"uarter","")</f>
        <v>4</v>
      </c>
      <c r="AE310" s="3" t="str">
        <f>TEXT(IFERROR(DATEVALUE('Sales_RAW(BEFORE)'!AC319 &amp; " 1"), IFERROR(DATE(2025, 'Sales_RAW(BEFORE)'!AC319, 1), 'Sales_RAW(BEFORE)'!AC319)), "mmmm")</f>
        <v>June</v>
      </c>
      <c r="AF310" s="3">
        <f>_xlfn.LET(
  _xlpm.raw, TRIM(SUBSTITUTE('Sales_RAW(BEFORE)'!AD319, "'", "")),
  _xlpm.num, IFERROR(VALUE(_xlpm.raw), 0),
  IF(_xlpm.num &lt; 100, 2000 + _xlpm.num, _xlpm.num)
)</f>
        <v>2026</v>
      </c>
      <c r="AG310" s="3" t="str">
        <f>PROPER('Sales_RAW(BEFORE)'!AE319)</f>
        <v>Net 60</v>
      </c>
      <c r="AH310" s="3" cm="1">
        <f t="array" ref="AH310">_xlfn.LET(
  _xlpm.val, LOWER(TRIM('Sales_RAW(BEFORE)'!AF319)),
  _xlfn.IFS(
    OR(_xlpm.val="", _xlpm.val="null", _xlpm.val="N/A", _xlpm.val="-", _xlpm.val="#N/A"), 0,
    ISNUMBER('Sales_RAW(BEFORE)'!AF319), 'Sales_RAW(BEFORE)'!AF319,
    TRUE, IFERROR(_xlfn.NUMBERVALUE(_xlpm.val), 0)
  )
)</f>
        <v>58</v>
      </c>
      <c r="AI310" s="5">
        <f>IF(IFERROR(VALUE(SUBSTITUTE(SUBSTITUTE(TRIM('Sales_RAW(BEFORE)'!AG319), "%", ""), ",", ".")), 0) &gt; 1, IFERROR(VALUE(SUBSTITUTE(SUBSTITUTE(TRIM('Sales_RAW(BEFORE)'!AG319), "%", ""), ",", ".")), 0) / 100, IFERROR(VALUE(SUBSTITUTE(SUBSTITUTE(TRIM('Sales_RAW(BEFORE)'!AG319), "%", ""), ",", ".")), 0))</f>
        <v>0.08</v>
      </c>
      <c r="AJ310" s="6">
        <f t="shared" si="20"/>
        <v>1711.9728</v>
      </c>
      <c r="AK310" s="6">
        <f t="shared" si="21"/>
        <v>23111.632799999999</v>
      </c>
      <c r="AL310" s="6">
        <f>IFERROR(VALUE(SUBSTITUTE(SUBSTITUTE(SUBSTITUTE('Sales_RAW(BEFORE)'!AJ319,"$",""),"USD",""),",",".")),0)</f>
        <v>22.3</v>
      </c>
      <c r="AM310" s="3" t="str">
        <f>SUBSTITUTE(SUBSTITUTE(PROPER('Sales_RAW(BEFORE)'!AK319), "Fed Ex", "FedEx"),"Fedex","FedEx")</f>
        <v>FedEx</v>
      </c>
      <c r="AN310" s="3" t="s">
        <v>4919</v>
      </c>
      <c r="AO310" s="3" t="str">
        <f>SUBSTITUTE('Sales_RAW(BEFORE)'!AM319,"kg","")</f>
        <v>25,52</v>
      </c>
      <c r="AP310" s="3" t="str">
        <f>_xlfn.LET(
  _xlpm.raw, UPPER(TRIM('Sales_RAW(BEFORE)'!AN319)),
  _xlpm.clean, RIGHT(_xlpm.raw, 1),
  IF(OR(_xlpm.raw="", _xlpm.raw="null"), "N/A", _xlpm.clean)
)</f>
        <v>A</v>
      </c>
      <c r="AQ310" s="3">
        <v>0</v>
      </c>
      <c r="AR310" s="3" cm="1">
        <f t="array" ref="AR310">_xlfn.LET(
  _xlpm.raw, LOWER(TRIM('Sales_RAW(BEFORE)'!AP319)),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310" s="3"/>
      <c r="AT310" s="3"/>
      <c r="AU310" s="3"/>
      <c r="AV310" s="8">
        <f>IF(IFERROR(VALUE(SUBSTITUTE(SUBSTITUTE(TRIM('Sales_RAW(BEFORE)'!AT319), "%", ""), ",", ".")), 0) &gt; 1, IFERROR(VALUE(SUBSTITUTE(SUBSTITUTE(TRIM('Sales_RAW(BEFORE)'!AT319), "%", ""), ",", ".")), 0) / 100, IFERROR(VALUE(SUBSTITUTE(SUBSTITUTE(TRIM('Sales_RAW(BEFORE)'!AT319), "%", ""), ",", ".")), 0))</f>
        <v>0.18</v>
      </c>
      <c r="AW310" s="6">
        <f>BA310*(_xlfn.XLOOKUP(N310,Employees!$A$2:$A$26,Employees!$E$2:$E$26,2))</f>
        <v>554.6791872</v>
      </c>
      <c r="AX310" s="3" t="str">
        <f>PROPER('Sales_RAW(BEFORE)'!AV319)</f>
        <v>David Davis</v>
      </c>
      <c r="AY310" s="3" t="str">
        <f t="shared" si="23"/>
        <v>David Davis</v>
      </c>
      <c r="AZ310" s="3"/>
      <c r="BA310" s="24">
        <f>AK310*(1-(_xlfn.XLOOKUP(G310, Exchange_Rates!$B$8:$F$8, Exchange_Rates!$B$9:$F$9, 0)+J310))</f>
        <v>18489.306240000002</v>
      </c>
      <c r="BB310" s="7" cm="1">
        <f t="array" ref="BB310">_xlfn.LET(
  _xlpm.raw_dt, SUBSTITUTE(TRIM(C310), ".", "/"),
  _xlpm.dt, IFERROR(DATEVALUE(_xlpm.raw_dt), C310),
  _xlpm.p_code, TRIM(E310),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47295</v>
      </c>
      <c r="BC310" s="25">
        <f t="shared" si="24"/>
        <v>3328.0751232000002</v>
      </c>
    </row>
    <row r="311" spans="1:55" ht="15.75" thickBot="1" x14ac:dyDescent="0.3">
      <c r="A311" s="3" t="s">
        <v>4921</v>
      </c>
      <c r="B311" s="10">
        <v>45802</v>
      </c>
      <c r="C311" s="4">
        <f>DATE(2025,6,7)</f>
        <v>45815</v>
      </c>
      <c r="D311" s="3" t="str">
        <f>"P-" &amp; TEXT(VALUE(SUBSTITUTE(SUBSTITUTE(SUBSTITUTE(UPPER(TRIM('Sales_RAW(BEFORE)'!D320)), "P", ""), "-", ""), "_", "")),"000")</f>
        <v>P-016</v>
      </c>
      <c r="E311" s="3" t="str">
        <f>VLOOKUP(D311,Product_List!$A$2:$B$61,2,FALSE)</f>
        <v>Keyboard X 16</v>
      </c>
      <c r="F311" s="3" t="str">
        <f>_xlfn.XLOOKUP(E311,Product_List!$B$2:$B$61,Product_List!$E$2:$E$61,2)</f>
        <v>TechSupply Co</v>
      </c>
      <c r="G311" s="3" t="str">
        <f>VLOOKUP(E311,Product_List!$B$2:$C$61,2,FALSE)</f>
        <v>Office</v>
      </c>
      <c r="H311" s="3" t="str">
        <f>SUBSTITUTE(SUBSTITUTE('Sales_RAW(BEFORE)'!G320,"kom",""),".","")</f>
        <v xml:space="preserve">18 </v>
      </c>
      <c r="I311" s="6">
        <f>VLOOKUP(E311,Product_List!$B$2:$D$61,3,FALSE)</f>
        <v>127.37</v>
      </c>
      <c r="J311" s="5">
        <f>IF(IFERROR(VALUE(SUBSTITUTE(SUBSTITUTE(TRIM('Sales_RAW(BEFORE)'!I320), "%", ""), ",", ".")), 0) &gt; 1, IFERROR(VALUE(SUBSTITUTE(SUBSTITUTE(TRIM('Sales_RAW(BEFORE)'!I320), "%", ""), ",", ".")), 0) / 100, IFERROR(VALUE(SUBSTITUTE(SUBSTITUTE(TRIM('Sales_RAW(BEFORE)'!I320), "%", ""), ",", ".")), 0))</f>
        <v>0.05</v>
      </c>
      <c r="K311" s="6">
        <f>(H311*I311/(HLOOKUP(AE311,Exchange_Rates!$B$1:$M$2,2,FALSE)))</f>
        <v>2481.2337662337659</v>
      </c>
      <c r="L311" s="6" t="str" cm="1">
        <f t="array" ref="L311">_xlfn.LET(
  _xlpm.valuta, UPPER(TRIM('Sales_RAW(BEFORE)'!K320)),
  _xlfn.IFS(
    _xlpm.valuta = "", "",
    OR(_xlpm.valuta = "USD", _xlpm.valuta = "$"), "$",
    OR(_xlpm.valuta = "EUR", _xlpm.valuta = "€"), "€",
    TRUE, _xlpm.valuta
  )
)</f>
        <v>€</v>
      </c>
      <c r="M311" s="3" t="str">
        <f>"E" &amp; TEXT(VALUE(SUBSTITUTE(SUBSTITUTE(SUBSTITUTE(UPPER(TRIM('Sales_RAW(BEFORE)'!L320)), "EMP", ""), "E", ""), "-", "")),"000")</f>
        <v>E014</v>
      </c>
      <c r="N311" s="3" t="str">
        <f>_xlfn.XLOOKUP(M311,Employees!$D$2:$D$26,Employees!$A$2:$A$26)</f>
        <v>Sophia Brown</v>
      </c>
      <c r="O311" s="3" t="str">
        <f>_xlfn.XLOOKUP(N311,Employees!$A$2:$A$26,Employees!$C$2:$C$26,2)</f>
        <v>Online</v>
      </c>
      <c r="P311" s="3" t="str">
        <f>PROPER('Sales_RAW(BEFORE)'!N320)</f>
        <v>East</v>
      </c>
      <c r="Q311" s="3" t="str">
        <f>VLOOKUP(N311,Employees!$A$2:$B$26,2,FALSE)</f>
        <v>New York</v>
      </c>
      <c r="R311" s="3" t="str">
        <f>PROPER('Sales_RAW(BEFORE)'!P320)</f>
        <v xml:space="preserve">Globex Llc  </v>
      </c>
      <c r="S311" s="3" t="str">
        <f>SUBSTITUTE(SUBSTITUTE('Sales_RAW(BEFORE)'!Q320,"EIN",""),":","")</f>
        <v>432673933</v>
      </c>
      <c r="T311" s="3" t="s">
        <v>258</v>
      </c>
      <c r="U311" s="3" t="s">
        <v>4929</v>
      </c>
      <c r="V311" s="3" t="s">
        <v>4930</v>
      </c>
      <c r="W311" s="3" t="s">
        <v>4931</v>
      </c>
      <c r="X311" s="3" t="s">
        <v>173</v>
      </c>
      <c r="Y311" s="3" t="str">
        <f>PROPER('Sales_RAW(BEFORE)'!W320)</f>
        <v>Credit Card</v>
      </c>
      <c r="Z311" s="3" t="str">
        <f>PROPER('Sales_RAW(BEFORE)'!X320)</f>
        <v>Delivered</v>
      </c>
      <c r="AA311" s="3" t="str" cm="1">
        <f t="array" ref="AA311">_xlfn.LET(
  _xlpm.val, TRIM(LOWER('Sales_RAW(BEFORE)'!Y320)),
  _xlfn.IFS(
    OR(_xlpm.val="yes", _xlpm.val="paid"), "Paid",
    OR(_xlpm.val="no", _xlpm.val="unpaid"), "Unpaid",
    OR(_xlpm.val="partial", _xlpm.val="partial paid"), "Partial",
    _xlpm.val="", "",
    TRUE, 'Sales_RAW(BEFORE)'!AY320
  )
)</f>
        <v>Paid</v>
      </c>
      <c r="AB311" s="3" t="s">
        <v>4932</v>
      </c>
      <c r="AC311" s="3" t="str">
        <f>PROPER('Sales_RAW(BEFORE)'!AA320)</f>
        <v>Phone</v>
      </c>
      <c r="AD311" s="3" t="str">
        <f>SUBSTITUTE(SUBSTITUTE(SUBSTITUTE(SUBSTITUTE('Sales_RAW(BEFORE)'!AB320,"st",""),"q",""),"Q",""),"uarter","")</f>
        <v>1</v>
      </c>
      <c r="AE311" s="3" t="str">
        <f>TEXT(IFERROR(DATEVALUE('Sales_RAW(BEFORE)'!AC320 &amp; " 1"), IFERROR(DATE(2025, 'Sales_RAW(BEFORE)'!AC320, 1), 'Sales_RAW(BEFORE)'!AC320)), "mmmm")</f>
        <v>May</v>
      </c>
      <c r="AF311" s="3">
        <f>_xlfn.LET(
  _xlpm.raw, TRIM(SUBSTITUTE('Sales_RAW(BEFORE)'!AD320, "'", "")),
  _xlpm.num, IFERROR(VALUE(_xlpm.raw), 0),
  IF(_xlpm.num &lt; 100, 2000 + _xlpm.num, _xlpm.num)
)</f>
        <v>2025</v>
      </c>
      <c r="AG311" s="3" t="str">
        <f>PROPER('Sales_RAW(BEFORE)'!AE320)</f>
        <v>Net 30</v>
      </c>
      <c r="AH311" s="3" cm="1">
        <f t="array" ref="AH311">_xlfn.LET(
  _xlpm.val, LOWER(TRIM('Sales_RAW(BEFORE)'!AF320)),
  _xlfn.IFS(
    OR(_xlpm.val="", _xlpm.val="null", _xlpm.val="N/A", _xlpm.val="-", _xlpm.val="#N/A"), 0,
    ISNUMBER('Sales_RAW(BEFORE)'!AF320), 'Sales_RAW(BEFORE)'!AF320,
    TRUE, IFERROR(_xlfn.NUMBERVALUE(_xlpm.val), 0)
  )
)</f>
        <v>40</v>
      </c>
      <c r="AI311" s="5">
        <f>IF(IFERROR(VALUE(SUBSTITUTE(SUBSTITUTE(TRIM('Sales_RAW(BEFORE)'!AG320), "%", ""), ",", ".")), 0) &gt; 1, IFERROR(VALUE(SUBSTITUTE(SUBSTITUTE(TRIM('Sales_RAW(BEFORE)'!AG320), "%", ""), ",", ".")), 0) / 100, IFERROR(VALUE(SUBSTITUTE(SUBSTITUTE(TRIM('Sales_RAW(BEFORE)'!AG320), "%", ""), ",", ".")), 0))</f>
        <v>0.08</v>
      </c>
      <c r="AJ311" s="6">
        <f t="shared" si="20"/>
        <v>198.49870129870126</v>
      </c>
      <c r="AK311" s="6">
        <f t="shared" si="21"/>
        <v>2679.7324675324671</v>
      </c>
      <c r="AL311" s="6">
        <f>IFERROR(VALUE(SUBSTITUTE(SUBSTITUTE(SUBSTITUTE('Sales_RAW(BEFORE)'!AJ320,"$",""),"USD",""),",",".")),0)</f>
        <v>36</v>
      </c>
      <c r="AM311" s="3" t="str">
        <f>SUBSTITUTE(SUBSTITUTE(PROPER('Sales_RAW(BEFORE)'!AK320), "Fed Ex", "FedEx"),"Fedex","FedEx")</f>
        <v>FedEx</v>
      </c>
      <c r="AN311" s="3" t="s">
        <v>4933</v>
      </c>
      <c r="AO311" s="3" t="str">
        <f>SUBSTITUTE('Sales_RAW(BEFORE)'!AM320,"kg","")</f>
        <v xml:space="preserve">11.0 </v>
      </c>
      <c r="AP311" s="3" t="str">
        <f>_xlfn.LET(
  _xlpm.raw, UPPER(TRIM('Sales_RAW(BEFORE)'!AN320)),
  _xlpm.clean, RIGHT(_xlpm.raw, 1),
  IF(OR(_xlpm.raw="", _xlpm.raw="null"), "N/A", _xlpm.clean)
)</f>
        <v>A</v>
      </c>
      <c r="AQ311" s="3">
        <v>57</v>
      </c>
      <c r="AR311" s="3" cm="1">
        <f t="array" ref="AR311">_xlfn.LET(
  _xlpm.raw, LOWER(TRIM('Sales_RAW(BEFORE)'!AP320)),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311" s="3"/>
      <c r="AT311" s="3"/>
      <c r="AU311" s="3"/>
      <c r="AV311" s="8">
        <f>IF(IFERROR(VALUE(SUBSTITUTE(SUBSTITUTE(TRIM('Sales_RAW(BEFORE)'!AT320), "%", ""), ",", ".")), 0) &gt; 1, IFERROR(VALUE(SUBSTITUTE(SUBSTITUTE(TRIM('Sales_RAW(BEFORE)'!AT320), "%", ""), ",", ".")), 0) / 100, IFERROR(VALUE(SUBSTITUTE(SUBSTITUTE(TRIM('Sales_RAW(BEFORE)'!AT320), "%", ""), ",", ".")), 0))</f>
        <v>0.15</v>
      </c>
      <c r="AW311" s="6">
        <f>BA311*(_xlfn.XLOOKUP(N311,Employees!$A$2:$A$26,Employees!$E$2:$E$26,2))</f>
        <v>68.333177922077908</v>
      </c>
      <c r="AX311" s="3" t="str">
        <f>PROPER('Sales_RAW(BEFORE)'!AV320)</f>
        <v>Sophia Miller</v>
      </c>
      <c r="AY311" s="3" t="str">
        <f t="shared" si="23"/>
        <v>Sophia Miller</v>
      </c>
      <c r="AZ311" s="3"/>
      <c r="BA311" s="24">
        <f>AK311*(1-(_xlfn.XLOOKUP(G311, Exchange_Rates!$B$8:$F$8, Exchange_Rates!$B$9:$F$9, 0)+J311))</f>
        <v>2277.7725974025971</v>
      </c>
      <c r="BB311" s="7" cm="1">
        <f t="array" ref="BB311">_xlfn.LET(
  _xlpm.raw_dt, SUBSTITUTE(TRIM(C311), ".", "/"),
  _xlpm.dt, IFERROR(DATEVALUE(_xlpm.raw_dt), C311),
  _xlpm.p_code, TRIM(E311),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46180</v>
      </c>
      <c r="BC311" s="25">
        <f t="shared" si="24"/>
        <v>341.66588961038957</v>
      </c>
    </row>
    <row r="312" spans="1:55" ht="15.75" thickBot="1" x14ac:dyDescent="0.3">
      <c r="A312" s="3" t="s">
        <v>4936</v>
      </c>
      <c r="B312" s="10">
        <v>45919</v>
      </c>
      <c r="C312" s="4">
        <v>45667</v>
      </c>
      <c r="D312" s="3" t="str">
        <f>"P-" &amp; TEXT(VALUE(SUBSTITUTE(SUBSTITUTE(SUBSTITUTE(UPPER(TRIM('Sales_RAW(BEFORE)'!D321)), "P", ""), "-", ""), "_", "")),"000")</f>
        <v>P-004</v>
      </c>
      <c r="E312" s="3" t="str">
        <f>VLOOKUP(D312,Product_List!$A$2:$B$61,2,FALSE)</f>
        <v>Printer Plus 4</v>
      </c>
      <c r="F312" s="3" t="str">
        <f>_xlfn.XLOOKUP(E312,Product_List!$B$2:$B$61,Product_List!$E$2:$E$61,2)</f>
        <v>OfficeHub</v>
      </c>
      <c r="G312" s="3" t="str">
        <f>VLOOKUP(E312,Product_List!$B$2:$C$61,2,FALSE)</f>
        <v>Electronics</v>
      </c>
      <c r="H312" s="3" t="str">
        <f>SUBSTITUTE(SUBSTITUTE('Sales_RAW(BEFORE)'!G321,"kom",""),".","")</f>
        <v xml:space="preserve">28 </v>
      </c>
      <c r="I312" s="6">
        <f>VLOOKUP(E312,Product_List!$B$2:$D$61,3,FALSE)</f>
        <v>364.79</v>
      </c>
      <c r="J312" s="5">
        <f>IF(IFERROR(VALUE(SUBSTITUTE(SUBSTITUTE(TRIM('Sales_RAW(BEFORE)'!I321), "%", ""), ",", ".")), 0) &gt; 1, IFERROR(VALUE(SUBSTITUTE(SUBSTITUTE(TRIM('Sales_RAW(BEFORE)'!I321), "%", ""), ",", ".")), 0) / 100, IFERROR(VALUE(SUBSTITUTE(SUBSTITUTE(TRIM('Sales_RAW(BEFORE)'!I321), "%", ""), ",", ".")), 0))</f>
        <v>0.1</v>
      </c>
      <c r="K312" s="6">
        <f>(H312*I312)/(HLOOKUP(AE312,Exchange_Rates!$B$1:$M$2,2,FALSE))</f>
        <v>11030.36717062635</v>
      </c>
      <c r="L312" s="6" t="str" cm="1">
        <f t="array" ref="L312">_xlfn.LET(
  _xlpm.valuta, UPPER(TRIM('Sales_RAW(BEFORE)'!K321)),
  _xlfn.IFS(
    _xlpm.valuta = "", "",
    OR(_xlpm.valuta = "USD", _xlpm.valuta = "$"), "$",
    OR(_xlpm.valuta = "EUR", _xlpm.valuta = "€"), "€",
    TRUE, _xlpm.valuta
  )
)</f>
        <v>€</v>
      </c>
      <c r="M312" s="3" t="str">
        <f>"E" &amp; TEXT(VALUE(SUBSTITUTE(SUBSTITUTE(SUBSTITUTE(UPPER(TRIM('Sales_RAW(BEFORE)'!L321)), "EMP", ""), "E", ""), "-", "")),"000")</f>
        <v>E017</v>
      </c>
      <c r="N312" s="3" t="str">
        <f>_xlfn.XLOOKUP(M312,Employees!$D$2:$D$26,Employees!$A$2:$A$26)</f>
        <v>Robert Davis</v>
      </c>
      <c r="O312" s="3" t="str">
        <f>_xlfn.XLOOKUP(N312,Employees!$A$2:$A$26,Employees!$C$2:$C$26,2)</f>
        <v>Wholesale</v>
      </c>
      <c r="P312" s="3" t="str">
        <f>PROPER('Sales_RAW(BEFORE)'!N321)</f>
        <v>North</v>
      </c>
      <c r="Q312" s="3" t="str">
        <f>VLOOKUP(N312,Employees!$A$2:$B$26,2,FALSE)</f>
        <v>Miami</v>
      </c>
      <c r="R312" s="3" t="str">
        <f>PROPER('Sales_RAW(BEFORE)'!P321)</f>
        <v>Vortex Inc</v>
      </c>
      <c r="S312" s="3" t="str">
        <f>SUBSTITUTE(SUBSTITUTE('Sales_RAW(BEFORE)'!Q321,"EIN",""),":","")</f>
        <v>367695558</v>
      </c>
      <c r="T312" s="3" t="s">
        <v>684</v>
      </c>
      <c r="U312" s="3" t="s">
        <v>4944</v>
      </c>
      <c r="V312" s="3" t="s">
        <v>4945</v>
      </c>
      <c r="W312" s="3" t="s">
        <v>4946</v>
      </c>
      <c r="X312" s="3" t="s">
        <v>173</v>
      </c>
      <c r="Y312" s="3" t="str">
        <f>PROPER('Sales_RAW(BEFORE)'!W321)</f>
        <v>Wire Transfer</v>
      </c>
      <c r="Z312" s="3" t="str">
        <f>PROPER('Sales_RAW(BEFORE)'!X321)</f>
        <v>Delivered</v>
      </c>
      <c r="AA312" s="3" t="str" cm="1">
        <f t="array" ref="AA312">_xlfn.LET(
  _xlpm.val, TRIM(LOWER('Sales_RAW(BEFORE)'!Y321)),
  _xlfn.IFS(
    OR(_xlpm.val="yes", _xlpm.val="paid"), "Paid",
    OR(_xlpm.val="no", _xlpm.val="unpaid"), "Unpaid",
    OR(_xlpm.val="partial", _xlpm.val="partial paid"), "Partial",
    _xlpm.val="", "",
    TRUE, 'Sales_RAW(BEFORE)'!AY321
  )
)</f>
        <v>Partial</v>
      </c>
      <c r="AB312" s="3" t="s">
        <v>4947</v>
      </c>
      <c r="AC312" s="3" t="str">
        <f>PROPER('Sales_RAW(BEFORE)'!AA321)</f>
        <v>Online</v>
      </c>
      <c r="AD312" s="3" t="str">
        <f>SUBSTITUTE(SUBSTITUTE(SUBSTITUTE(SUBSTITUTE('Sales_RAW(BEFORE)'!AB321,"st",""),"q",""),"Q",""),"uarter","")</f>
        <v>2</v>
      </c>
      <c r="AE312" s="3" t="str">
        <f>TEXT(IFERROR(DATEVALUE('Sales_RAW(BEFORE)'!AC321 &amp; " 1"), IFERROR(DATE(2025, 'Sales_RAW(BEFORE)'!AC321, 1), 'Sales_RAW(BEFORE)'!AC321)), "mmmm")</f>
        <v>September</v>
      </c>
      <c r="AF312" s="3">
        <f>_xlfn.LET(
  _xlpm.raw, TRIM(SUBSTITUTE('Sales_RAW(BEFORE)'!AD321, "'", "")),
  _xlpm.num, IFERROR(VALUE(_xlpm.raw), 0),
  IF(_xlpm.num &lt; 100, 2000 + _xlpm.num, _xlpm.num)
)</f>
        <v>2025</v>
      </c>
      <c r="AG312" s="3" t="str">
        <f>PROPER('Sales_RAW(BEFORE)'!AE321)</f>
        <v>15</v>
      </c>
      <c r="AH312" s="3" cm="1">
        <f t="array" ref="AH312">_xlfn.LET(
  _xlpm.val, LOWER(TRIM('Sales_RAW(BEFORE)'!AF321)),
  _xlfn.IFS(
    OR(_xlpm.val="", _xlpm.val="null", _xlpm.val="N/A", _xlpm.val="-", _xlpm.val="#N/A"), 0,
    ISNUMBER('Sales_RAW(BEFORE)'!AF321), 'Sales_RAW(BEFORE)'!AF321,
    TRUE, IFERROR(_xlfn.NUMBERVALUE(_xlpm.val), 0)
  )
)</f>
        <v>11</v>
      </c>
      <c r="AI312" s="5">
        <f>IF(IFERROR(VALUE(SUBSTITUTE(SUBSTITUTE(TRIM('Sales_RAW(BEFORE)'!AG321), "%", ""), ",", ".")), 0) &gt; 1, IFERROR(VALUE(SUBSTITUTE(SUBSTITUTE(TRIM('Sales_RAW(BEFORE)'!AG321), "%", ""), ",", ".")), 0) / 100, IFERROR(VALUE(SUBSTITUTE(SUBSTITUTE(TRIM('Sales_RAW(BEFORE)'!AG321), "%", ""), ",", ".")), 0))</f>
        <v>0.08</v>
      </c>
      <c r="AJ312" s="6">
        <f t="shared" si="20"/>
        <v>882.429373650108</v>
      </c>
      <c r="AK312" s="6">
        <f t="shared" si="21"/>
        <v>11912.796544276458</v>
      </c>
      <c r="AL312" s="6">
        <f>IFERROR(VALUE(SUBSTITUTE(SUBSTITUTE(SUBSTITUTE('Sales_RAW(BEFORE)'!AJ321,"$",""),"USD",""),",",".")),0)</f>
        <v>37</v>
      </c>
      <c r="AM312" s="3" t="str">
        <f>SUBSTITUTE(SUBSTITUTE(PROPER('Sales_RAW(BEFORE)'!AK321), "Fed Ex", "FedEx"),"Fedex","FedEx")</f>
        <v>Ups</v>
      </c>
      <c r="AN312" s="3" t="s">
        <v>4948</v>
      </c>
      <c r="AO312" s="3" t="str">
        <f>SUBSTITUTE('Sales_RAW(BEFORE)'!AM321,"kg","")</f>
        <v xml:space="preserve">21.1 </v>
      </c>
      <c r="AP312" s="3" t="str">
        <f>_xlfn.LET(
  _xlpm.raw, UPPER(TRIM('Sales_RAW(BEFORE)'!AN321)),
  _xlpm.clean, RIGHT(_xlpm.raw, 1),
  IF(OR(_xlpm.raw="", _xlpm.raw="null"), "N/A", _xlpm.clean)
)</f>
        <v>A</v>
      </c>
      <c r="AQ312" s="3">
        <v>192</v>
      </c>
      <c r="AR312" s="3" cm="1">
        <f t="array" ref="AR312">_xlfn.LET(
  _xlpm.raw, LOWER(TRIM('Sales_RAW(BEFORE)'!AP321)),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312" s="3"/>
      <c r="AT312" s="3"/>
      <c r="AU312" s="3"/>
      <c r="AV312" s="8">
        <f>IF(IFERROR(VALUE(SUBSTITUTE(SUBSTITUTE(TRIM('Sales_RAW(BEFORE)'!AT321), "%", ""), ",", ".")), 0) &gt; 1, IFERROR(VALUE(SUBSTITUTE(SUBSTITUTE(TRIM('Sales_RAW(BEFORE)'!AT321), "%", ""), ",", ".")), 0) / 100, IFERROR(VALUE(SUBSTITUTE(SUBSTITUTE(TRIM('Sales_RAW(BEFORE)'!AT321), "%", ""), ",", ".")), 0))</f>
        <v>0</v>
      </c>
      <c r="AW312" s="6">
        <f>BA312*(_xlfn.XLOOKUP(N312,Employees!$A$2:$A$26,Employees!$E$2:$E$26,2))</f>
        <v>285.907117062635</v>
      </c>
      <c r="AX312" s="3" t="str">
        <f>PROPER('Sales_RAW(BEFORE)'!AV321)</f>
        <v>Jessica Wilson</v>
      </c>
      <c r="AY312" s="3" t="str">
        <f t="shared" si="23"/>
        <v>Jessica Wilson</v>
      </c>
      <c r="AZ312" s="3"/>
      <c r="BA312" s="24">
        <f>AK312*(1-(_xlfn.XLOOKUP(G312, Exchange_Rates!$B$8:$F$8, Exchange_Rates!$B$9:$F$9, 0)+J312))</f>
        <v>9530.2372354211675</v>
      </c>
      <c r="BB312" s="7" cm="1">
        <f t="array" ref="BB312">_xlfn.LET(
  _xlpm.raw_dt, SUBSTITUTE(TRIM(C312), ".", "/"),
  _xlpm.dt, IFERROR(DATEVALUE(_xlpm.raw_dt), C312),
  _xlpm.p_code, TRIM(E312),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46397</v>
      </c>
      <c r="BC312" s="25">
        <f t="shared" si="24"/>
        <v>0</v>
      </c>
    </row>
    <row r="313" spans="1:55" ht="15.75" thickBot="1" x14ac:dyDescent="0.3">
      <c r="A313" s="3" t="s">
        <v>4952</v>
      </c>
      <c r="B313" s="10">
        <v>46257</v>
      </c>
      <c r="C313" s="4">
        <v>46264</v>
      </c>
      <c r="D313" s="3" t="str">
        <f>"P-" &amp; TEXT(VALUE(SUBSTITUTE(SUBSTITUTE(SUBSTITUTE(UPPER(TRIM('Sales_RAW(BEFORE)'!D322)), "P", ""), "-", ""), "_", "")),"000")</f>
        <v>P-023</v>
      </c>
      <c r="E313" s="3" t="str">
        <f>VLOOKUP(D313,Product_List!$A$2:$B$61,2,FALSE)</f>
        <v>Headphones Plus 23</v>
      </c>
      <c r="F313" s="3" t="str">
        <f>_xlfn.XLOOKUP(E313,Product_List!$B$2:$B$61,Product_List!$E$2:$E$61,2)</f>
        <v>BestParts</v>
      </c>
      <c r="G313" s="3" t="str">
        <f>VLOOKUP(E313,Product_List!$B$2:$C$61,2,FALSE)</f>
        <v>Electronics</v>
      </c>
      <c r="H313" s="3" t="str">
        <f>SUBSTITUTE(SUBSTITUTE('Sales_RAW(BEFORE)'!G322,"kom",""),".","")</f>
        <v xml:space="preserve">18 </v>
      </c>
      <c r="I313" s="6">
        <f>VLOOKUP(E313,Product_List!$B$2:$D$61,3,FALSE)</f>
        <v>1260.75</v>
      </c>
      <c r="J313" s="5">
        <f>IF(IFERROR(VALUE(SUBSTITUTE(SUBSTITUTE(TRIM('Sales_RAW(BEFORE)'!I322), "%", ""), ",", ".")), 0) &gt; 1, IFERROR(VALUE(SUBSTITUTE(SUBSTITUTE(TRIM('Sales_RAW(BEFORE)'!I322), "%", ""), ",", ".")), 0) / 100, IFERROR(VALUE(SUBSTITUTE(SUBSTITUTE(TRIM('Sales_RAW(BEFORE)'!I322), "%", ""), ",", ".")), 0))</f>
        <v>0.05</v>
      </c>
      <c r="K313" s="6">
        <f t="shared" si="22"/>
        <v>22693.5</v>
      </c>
      <c r="L313" s="6" t="str" cm="1">
        <f t="array" ref="L313">_xlfn.LET(
  _xlpm.valuta, UPPER(TRIM('Sales_RAW(BEFORE)'!K322)),
  _xlfn.IFS(
    _xlpm.valuta = "", "",
    OR(_xlpm.valuta = "USD", _xlpm.valuta = "$"), "$",
    OR(_xlpm.valuta = "EUR", _xlpm.valuta = "€"), "€",
    TRUE, _xlpm.valuta
  )
)</f>
        <v>$</v>
      </c>
      <c r="M313" s="3" t="str">
        <f>"E" &amp; TEXT(VALUE(SUBSTITUTE(SUBSTITUTE(SUBSTITUTE(UPPER(TRIM('Sales_RAW(BEFORE)'!L322)), "EMP", ""), "E", ""), "-", "")),"000")</f>
        <v>E025</v>
      </c>
      <c r="N313" s="3" t="str">
        <f>_xlfn.XLOOKUP(M313,Employees!$D$2:$D$26,Employees!$A$2:$A$26)</f>
        <v>Chris Johnson</v>
      </c>
      <c r="O313" s="3" t="str">
        <f>_xlfn.XLOOKUP(N313,Employees!$A$2:$A$26,Employees!$C$2:$C$26,2)</f>
        <v>Sales</v>
      </c>
      <c r="P313" s="3" t="str">
        <f>PROPER('Sales_RAW(BEFORE)'!N322)</f>
        <v>South</v>
      </c>
      <c r="Q313" s="3" t="str">
        <f>VLOOKUP(N313,Employees!$A$2:$B$26,2,FALSE)</f>
        <v>Boston</v>
      </c>
      <c r="R313" s="3" t="str">
        <f>PROPER('Sales_RAW(BEFORE)'!P322)</f>
        <v xml:space="preserve">Vortex Llc  </v>
      </c>
      <c r="S313" s="3" t="str">
        <f>SUBSTITUTE(SUBSTITUTE('Sales_RAW(BEFORE)'!Q322,"EIN",""),":","")</f>
        <v>112588347</v>
      </c>
      <c r="T313" s="3" t="s">
        <v>1359</v>
      </c>
      <c r="U313" s="3" t="s">
        <v>4958</v>
      </c>
      <c r="V313" s="3" t="s">
        <v>4959</v>
      </c>
      <c r="W313" s="3" t="s">
        <v>4960</v>
      </c>
      <c r="X313" s="3" t="s">
        <v>173</v>
      </c>
      <c r="Y313" s="3" t="str">
        <f>PROPER('Sales_RAW(BEFORE)'!W322)</f>
        <v>Wire</v>
      </c>
      <c r="Z313" s="3" t="str">
        <f>PROPER('Sales_RAW(BEFORE)'!X322)</f>
        <v>Cancelled</v>
      </c>
      <c r="AA313" s="3" t="str" cm="1">
        <f t="array" ref="AA313">_xlfn.LET(
  _xlpm.val, TRIM(LOWER('Sales_RAW(BEFORE)'!Y322)),
  _xlfn.IFS(
    OR(_xlpm.val="yes", _xlpm.val="paid"), "Paid",
    OR(_xlpm.val="no", _xlpm.val="unpaid"), "Unpaid",
    OR(_xlpm.val="partial", _xlpm.val="partial paid"), "Partial",
    _xlpm.val="", "",
    TRUE, 'Sales_RAW(BEFORE)'!AY322
  )
)</f>
        <v>Unpaid</v>
      </c>
      <c r="AB313" s="3" t="s">
        <v>4961</v>
      </c>
      <c r="AC313" s="3" t="str">
        <f>PROPER('Sales_RAW(BEFORE)'!AA322)</f>
        <v>Online</v>
      </c>
      <c r="AD313" s="3" t="str">
        <f>SUBSTITUTE(SUBSTITUTE(SUBSTITUTE(SUBSTITUTE('Sales_RAW(BEFORE)'!AB322,"st",""),"q",""),"Q",""),"uarter","")</f>
        <v>3</v>
      </c>
      <c r="AE313" s="3" t="str">
        <f>TEXT(IFERROR(DATEVALUE('Sales_RAW(BEFORE)'!AC322 &amp; " 1"), IFERROR(DATE(2025, 'Sales_RAW(BEFORE)'!AC322, 1), 'Sales_RAW(BEFORE)'!AC322)), "mmmm")</f>
        <v>August</v>
      </c>
      <c r="AF313" s="3">
        <f>_xlfn.LET(
  _xlpm.raw, TRIM(SUBSTITUTE('Sales_RAW(BEFORE)'!AD322, "'", "")),
  _xlpm.num, IFERROR(VALUE(_xlpm.raw), 0),
  IF(_xlpm.num &lt; 100, 2000 + _xlpm.num, _xlpm.num)
)</f>
        <v>2026</v>
      </c>
      <c r="AG313" s="3" t="str">
        <f>PROPER('Sales_RAW(BEFORE)'!AE322)</f>
        <v>15</v>
      </c>
      <c r="AH313" s="3" cm="1">
        <f t="array" ref="AH313">_xlfn.LET(
  _xlpm.val, LOWER(TRIM('Sales_RAW(BEFORE)'!AF322)),
  _xlfn.IFS(
    OR(_xlpm.val="", _xlpm.val="null", _xlpm.val="N/A", _xlpm.val="-", _xlpm.val="#N/A"), 0,
    ISNUMBER('Sales_RAW(BEFORE)'!AF322), 'Sales_RAW(BEFORE)'!AF322,
    TRUE, IFERROR(_xlfn.NUMBERVALUE(_xlpm.val), 0)
  )
)</f>
        <v>7</v>
      </c>
      <c r="AI313" s="5">
        <f>IF(IFERROR(VALUE(SUBSTITUTE(SUBSTITUTE(TRIM('Sales_RAW(BEFORE)'!AG322), "%", ""), ",", ".")), 0) &gt; 1, IFERROR(VALUE(SUBSTITUTE(SUBSTITUTE(TRIM('Sales_RAW(BEFORE)'!AG322), "%", ""), ",", ".")), 0) / 100, IFERROR(VALUE(SUBSTITUTE(SUBSTITUTE(TRIM('Sales_RAW(BEFORE)'!AG322), "%", ""), ",", ".")), 0))</f>
        <v>0.08</v>
      </c>
      <c r="AJ313" s="6">
        <f t="shared" si="20"/>
        <v>1815.48</v>
      </c>
      <c r="AK313" s="6">
        <f t="shared" si="21"/>
        <v>24508.98</v>
      </c>
      <c r="AL313" s="6">
        <f>IFERROR(VALUE(SUBSTITUTE(SUBSTITUTE(SUBSTITUTE('Sales_RAW(BEFORE)'!AJ322,"$",""),"USD",""),",",".")),0)</f>
        <v>1.66</v>
      </c>
      <c r="AM313" s="3" t="str">
        <f>SUBSTITUTE(SUBSTITUTE(PROPER('Sales_RAW(BEFORE)'!AK322), "Fed Ex", "FedEx"),"Fedex","FedEx")</f>
        <v>Usps</v>
      </c>
      <c r="AN313" s="3" t="s">
        <v>4963</v>
      </c>
      <c r="AO313" s="3" t="str">
        <f>SUBSTITUTE('Sales_RAW(BEFORE)'!AM322,"kg","")</f>
        <v xml:space="preserve">13.7 </v>
      </c>
      <c r="AP313" s="3" t="str">
        <f>_xlfn.LET(
  _xlpm.raw, UPPER(TRIM('Sales_RAW(BEFORE)'!AN322)),
  _xlpm.clean, RIGHT(_xlpm.raw, 1),
  IF(OR(_xlpm.raw="", _xlpm.raw="null"), "N/A", _xlpm.clean)
)</f>
        <v>B</v>
      </c>
      <c r="AQ313" s="3">
        <v>71</v>
      </c>
      <c r="AR313" s="3" cm="1">
        <f t="array" ref="AR313">_xlfn.LET(
  _xlpm.raw, LOWER(TRIM('Sales_RAW(BEFORE)'!AP322)),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313" s="3"/>
      <c r="AT313" s="3"/>
      <c r="AU313" s="3"/>
      <c r="AV313" s="8">
        <f>IF(IFERROR(VALUE(SUBSTITUTE(SUBSTITUTE(TRIM('Sales_RAW(BEFORE)'!AT322), "%", ""), ",", ".")), 0) &gt; 1, IFERROR(VALUE(SUBSTITUTE(SUBSTITUTE(TRIM('Sales_RAW(BEFORE)'!AT322), "%", ""), ",", ".")), 0) / 100, IFERROR(VALUE(SUBSTITUTE(SUBSTITUTE(TRIM('Sales_RAW(BEFORE)'!AT322), "%", ""), ",", ".")), 0))</f>
        <v>0.25</v>
      </c>
      <c r="AW313" s="6">
        <f>BA313*(_xlfn.XLOOKUP(N313,Employees!$A$2:$A$26,Employees!$E$2:$E$26,2))</f>
        <v>1041.63165</v>
      </c>
      <c r="AX313" s="3" t="str">
        <f>PROPER('Sales_RAW(BEFORE)'!AV322)</f>
        <v>Emily Wilson</v>
      </c>
      <c r="AY313" s="3" t="str">
        <f t="shared" si="23"/>
        <v>Emily Wilson</v>
      </c>
      <c r="AZ313" s="3"/>
      <c r="BA313" s="24">
        <f>AK313*(1-(_xlfn.XLOOKUP(G313, Exchange_Rates!$B$8:$F$8, Exchange_Rates!$B$9:$F$9, 0)+J313))</f>
        <v>20832.632999999998</v>
      </c>
      <c r="BB313" s="7" cm="1">
        <f t="array" ref="BB313">_xlfn.LET(
  _xlpm.raw_dt, SUBSTITUTE(TRIM(C313), ".", "/"),
  _xlpm.dt, IFERROR(DATEVALUE(_xlpm.raw_dt), C313),
  _xlpm.p_code, TRIM(E313),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46995</v>
      </c>
      <c r="BC313" s="25">
        <f t="shared" si="24"/>
        <v>5208.1582499999995</v>
      </c>
    </row>
    <row r="314" spans="1:55" ht="15.75" thickBot="1" x14ac:dyDescent="0.3">
      <c r="A314" s="3" t="s">
        <v>4966</v>
      </c>
      <c r="B314" s="10">
        <v>45684</v>
      </c>
      <c r="C314" s="4">
        <v>45932</v>
      </c>
      <c r="D314" s="3" t="str">
        <f>"P-" &amp; TEXT(VALUE(SUBSTITUTE(SUBSTITUTE(SUBSTITUTE(UPPER(TRIM('Sales_RAW(BEFORE)'!D323)), "P", ""), "-", ""), "_", "")),"000")</f>
        <v>P-004</v>
      </c>
      <c r="E314" s="3" t="str">
        <f>VLOOKUP(D314,Product_List!$A$2:$B$61,2,FALSE)</f>
        <v>Printer Plus 4</v>
      </c>
      <c r="F314" s="3" t="str">
        <f>_xlfn.XLOOKUP(E314,Product_List!$B$2:$B$61,Product_List!$E$2:$E$61,2)</f>
        <v>OfficeHub</v>
      </c>
      <c r="G314" s="3" t="str">
        <f>VLOOKUP(E314,Product_List!$B$2:$C$61,2,FALSE)</f>
        <v>Electronics</v>
      </c>
      <c r="H314" s="3" t="str">
        <f>SUBSTITUTE(SUBSTITUTE('Sales_RAW(BEFORE)'!G323,"kom",""),".","")</f>
        <v xml:space="preserve">3 </v>
      </c>
      <c r="I314" s="6">
        <f>VLOOKUP(E314,Product_List!$B$2:$D$61,3,FALSE)</f>
        <v>364.79</v>
      </c>
      <c r="J314" s="5">
        <f>IF(IFERROR(VALUE(SUBSTITUTE(SUBSTITUTE(TRIM('Sales_RAW(BEFORE)'!I323), "%", ""), ",", ".")), 0) &gt; 1, IFERROR(VALUE(SUBSTITUTE(SUBSTITUTE(TRIM('Sales_RAW(BEFORE)'!I323), "%", ""), ",", ".")), 0) / 100, IFERROR(VALUE(SUBSTITUTE(SUBSTITUTE(TRIM('Sales_RAW(BEFORE)'!I323), "%", ""), ",", ".")), 0))</f>
        <v>0.1</v>
      </c>
      <c r="K314" s="6">
        <f t="shared" si="22"/>
        <v>1094.3700000000001</v>
      </c>
      <c r="L314" s="6" t="str" cm="1">
        <f t="array" ref="L314">_xlfn.LET(
  _xlpm.valuta, UPPER(TRIM('Sales_RAW(BEFORE)'!K323)),
  _xlfn.IFS(
    _xlpm.valuta = "", "",
    OR(_xlpm.valuta = "USD", _xlpm.valuta = "$"), "$",
    OR(_xlpm.valuta = "EUR", _xlpm.valuta = "€"), "€",
    TRUE, _xlpm.valuta
  )
)</f>
        <v>$</v>
      </c>
      <c r="M314" s="3" t="str">
        <f>"E" &amp; TEXT(VALUE(SUBSTITUTE(SUBSTITUTE(SUBSTITUTE(UPPER(TRIM('Sales_RAW(BEFORE)'!L323)), "EMP", ""), "E", ""), "-", "")),"000")</f>
        <v>E011</v>
      </c>
      <c r="N314" s="3" t="str">
        <f>_xlfn.XLOOKUP(M314,Employees!$D$2:$D$26,Employees!$A$2:$A$26)</f>
        <v>Michael Taylor</v>
      </c>
      <c r="O314" s="3" t="str">
        <f>_xlfn.XLOOKUP(N314,Employees!$A$2:$A$26,Employees!$C$2:$C$26,2)</f>
        <v>Wholesale</v>
      </c>
      <c r="P314" s="3" t="str">
        <f>PROPER('Sales_RAW(BEFORE)'!N323)</f>
        <v>North</v>
      </c>
      <c r="Q314" s="3" t="str">
        <f>VLOOKUP(N314,Employees!$A$2:$B$26,2,FALSE)</f>
        <v>Boston</v>
      </c>
      <c r="R314" s="3" t="str">
        <f>PROPER('Sales_RAW(BEFORE)'!P323)</f>
        <v>Umbrella Llc</v>
      </c>
      <c r="S314" s="3" t="str">
        <f>SUBSTITUTE(SUBSTITUTE('Sales_RAW(BEFORE)'!Q323,"EIN",""),":","")</f>
        <v>723780098</v>
      </c>
      <c r="T314" s="3" t="s">
        <v>935</v>
      </c>
      <c r="U314" s="3" t="s">
        <v>4972</v>
      </c>
      <c r="V314" s="3" t="s">
        <v>4973</v>
      </c>
      <c r="W314" s="3" t="s">
        <v>4974</v>
      </c>
      <c r="X314" s="3" t="s">
        <v>173</v>
      </c>
      <c r="Y314" s="3" t="str">
        <f>PROPER('Sales_RAW(BEFORE)'!W323)</f>
        <v>Credit Card</v>
      </c>
      <c r="Z314" s="3" t="str">
        <f>PROPER('Sales_RAW(BEFORE)'!X323)</f>
        <v>Delivered</v>
      </c>
      <c r="AA314" s="3" t="str" cm="1">
        <f t="array" ref="AA314">_xlfn.LET(
  _xlpm.val, TRIM(LOWER('Sales_RAW(BEFORE)'!Y323)),
  _xlfn.IFS(
    OR(_xlpm.val="yes", _xlpm.val="paid"), "Paid",
    OR(_xlpm.val="no", _xlpm.val="unpaid"), "Unpaid",
    OR(_xlpm.val="partial", _xlpm.val="partial paid"), "Partial",
    _xlpm.val="", "",
    TRUE, 'Sales_RAW(BEFORE)'!AY323
  )
)</f>
        <v>Unpaid</v>
      </c>
      <c r="AB314" s="3" t="s">
        <v>4975</v>
      </c>
      <c r="AC314" s="3" t="str">
        <f>PROPER('Sales_RAW(BEFORE)'!AA323)</f>
        <v>Phone</v>
      </c>
      <c r="AD314" s="3" t="str">
        <f>SUBSTITUTE(SUBSTITUTE(SUBSTITUTE(SUBSTITUTE('Sales_RAW(BEFORE)'!AB323,"st",""),"q",""),"Q",""),"uarter","")</f>
        <v>1</v>
      </c>
      <c r="AE314" s="3" t="str">
        <f>TEXT(IFERROR(DATEVALUE('Sales_RAW(BEFORE)'!AC323 &amp; " 1"), IFERROR(DATE(2025, 'Sales_RAW(BEFORE)'!AC323, 1), 'Sales_RAW(BEFORE)'!AC323)), "mmmm")</f>
        <v>January</v>
      </c>
      <c r="AF314" s="3">
        <f>_xlfn.LET(
  _xlpm.raw, TRIM(SUBSTITUTE('Sales_RAW(BEFORE)'!AD323, "'", "")),
  _xlpm.num, IFERROR(VALUE(_xlpm.raw), 0),
  IF(_xlpm.num &lt; 100, 2000 + _xlpm.num, _xlpm.num)
)</f>
        <v>2025</v>
      </c>
      <c r="AG314" s="3" t="str">
        <f>PROPER('Sales_RAW(BEFORE)'!AE323)</f>
        <v>15</v>
      </c>
      <c r="AH314" s="3" cm="1">
        <f t="array" ref="AH314">_xlfn.LET(
  _xlpm.val, LOWER(TRIM('Sales_RAW(BEFORE)'!AF323)),
  _xlfn.IFS(
    OR(_xlpm.val="", _xlpm.val="null", _xlpm.val="N/A", _xlpm.val="-", _xlpm.val="#N/A"), 0,
    ISNUMBER('Sales_RAW(BEFORE)'!AF323), 'Sales_RAW(BEFORE)'!AF323,
    TRUE, IFERROR(_xlfn.NUMBERVALUE(_xlpm.val), 0)
  )
)</f>
        <v>9</v>
      </c>
      <c r="AI314" s="5">
        <f>IF(IFERROR(VALUE(SUBSTITUTE(SUBSTITUTE(TRIM('Sales_RAW(BEFORE)'!AG323), "%", ""), ",", ".")), 0) &gt; 1, IFERROR(VALUE(SUBSTITUTE(SUBSTITUTE(TRIM('Sales_RAW(BEFORE)'!AG323), "%", ""), ",", ".")), 0) / 100, IFERROR(VALUE(SUBSTITUTE(SUBSTITUTE(TRIM('Sales_RAW(BEFORE)'!AG323), "%", ""), ",", ".")), 0))</f>
        <v>0.08</v>
      </c>
      <c r="AJ314" s="6">
        <f t="shared" si="20"/>
        <v>87.549600000000012</v>
      </c>
      <c r="AK314" s="6">
        <f t="shared" si="21"/>
        <v>1181.9196000000002</v>
      </c>
      <c r="AL314" s="6">
        <f>IFERROR(VALUE(SUBSTITUTE(SUBSTITUTE(SUBSTITUTE('Sales_RAW(BEFORE)'!AJ323,"$",""),"USD",""),",",".")),0)</f>
        <v>15.59</v>
      </c>
      <c r="AM314" s="3" t="str">
        <f>SUBSTITUTE(SUBSTITUTE(PROPER('Sales_RAW(BEFORE)'!AK323), "Fed Ex", "FedEx"),"Fedex","FedEx")</f>
        <v>Usps</v>
      </c>
      <c r="AN314" s="3" t="s">
        <v>4976</v>
      </c>
      <c r="AO314" s="3" t="str">
        <f>SUBSTITUTE('Sales_RAW(BEFORE)'!AM323,"kg","")</f>
        <v>22.84</v>
      </c>
      <c r="AP314" s="3" t="str">
        <f>_xlfn.LET(
  _xlpm.raw, UPPER(TRIM('Sales_RAW(BEFORE)'!AN323)),
  _xlpm.clean, RIGHT(_xlpm.raw, 1),
  IF(OR(_xlpm.raw="", _xlpm.raw="null"), "N/A", _xlpm.clean)
)</f>
        <v>B</v>
      </c>
      <c r="AQ314" s="3">
        <v>237</v>
      </c>
      <c r="AR314" s="3">
        <v>1</v>
      </c>
      <c r="AS314" s="3"/>
      <c r="AT314" s="3"/>
      <c r="AU314" s="3"/>
      <c r="AV314" s="8">
        <f>IF(IFERROR(VALUE(SUBSTITUTE(SUBSTITUTE(TRIM('Sales_RAW(BEFORE)'!AT323), "%", ""), ",", ".")), 0) &gt; 1, IFERROR(VALUE(SUBSTITUTE(SUBSTITUTE(TRIM('Sales_RAW(BEFORE)'!AT323), "%", ""), ",", ".")), 0) / 100, IFERROR(VALUE(SUBSTITUTE(SUBSTITUTE(TRIM('Sales_RAW(BEFORE)'!AT323), "%", ""), ",", ".")), 0))</f>
        <v>0.15</v>
      </c>
      <c r="AW314" s="6">
        <f>BA314*(_xlfn.XLOOKUP(N314,Employees!$A$2:$A$26,Employees!$E$2:$E$26,2))</f>
        <v>18.910713600000005</v>
      </c>
      <c r="AX314" s="3" t="str">
        <f>PROPER('Sales_RAW(BEFORE)'!AV323)</f>
        <v xml:space="preserve">Olivia Davis  </v>
      </c>
      <c r="AY314" s="3" t="str">
        <f t="shared" si="23"/>
        <v xml:space="preserve">Olivia Davis  </v>
      </c>
      <c r="AZ314" s="3"/>
      <c r="BA314" s="24">
        <f>AK314*(1-(_xlfn.XLOOKUP(G314, Exchange_Rates!$B$8:$F$8, Exchange_Rates!$B$9:$F$9, 0)+J314))</f>
        <v>945.53568000000018</v>
      </c>
      <c r="BB314" s="7" cm="1">
        <f t="array" ref="BB314">_xlfn.LET(
  _xlpm.raw_dt, SUBSTITUTE(TRIM(C314), ".", "/"),
  _xlpm.dt, IFERROR(DATEVALUE(_xlpm.raw_dt), C314),
  _xlpm.p_code, TRIM(E314),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46662</v>
      </c>
      <c r="BC314" s="25">
        <f t="shared" si="24"/>
        <v>141.83035200000003</v>
      </c>
    </row>
    <row r="315" spans="1:55" ht="15.75" thickBot="1" x14ac:dyDescent="0.3">
      <c r="A315" s="3" t="s">
        <v>4979</v>
      </c>
      <c r="B315" s="10">
        <v>46198</v>
      </c>
      <c r="C315" s="4">
        <v>46210</v>
      </c>
      <c r="D315" s="3" t="str">
        <f>"P-" &amp; TEXT(VALUE(SUBSTITUTE(SUBSTITUTE(SUBSTITUTE(UPPER(TRIM('Sales_RAW(BEFORE)'!D324)), "P", ""), "-", ""), "_", "")),"000")</f>
        <v>P-003</v>
      </c>
      <c r="E315" s="3" t="str">
        <f>VLOOKUP(D315,Product_List!$A$2:$B$61,2,FALSE)</f>
        <v>Laptop Max 3</v>
      </c>
      <c r="F315" s="3" t="str">
        <f>_xlfn.XLOOKUP(E315,Product_List!$B$2:$B$61,Product_List!$E$2:$E$61,2)</f>
        <v>TechSupply Co</v>
      </c>
      <c r="G315" s="3" t="str">
        <f>VLOOKUP(E315,Product_List!$B$2:$C$61,2,FALSE)</f>
        <v>Office</v>
      </c>
      <c r="H315" s="3" t="str">
        <f>SUBSTITUTE(SUBSTITUTE('Sales_RAW(BEFORE)'!G324,"kom",""),".","")</f>
        <v xml:space="preserve">27 </v>
      </c>
      <c r="I315" s="6">
        <f>VLOOKUP(E315,Product_List!$B$2:$D$61,3,FALSE)</f>
        <v>61.06</v>
      </c>
      <c r="J315" s="5">
        <f>IF(IFERROR(VALUE(SUBSTITUTE(SUBSTITUTE(TRIM('Sales_RAW(BEFORE)'!I324), "%", ""), ",", ".")), 0) &gt; 1, IFERROR(VALUE(SUBSTITUTE(SUBSTITUTE(TRIM('Sales_RAW(BEFORE)'!I324), "%", ""), ",", ".")), 0) / 100, IFERROR(VALUE(SUBSTITUTE(SUBSTITUTE(TRIM('Sales_RAW(BEFORE)'!I324), "%", ""), ",", ".")), 0))</f>
        <v>0</v>
      </c>
      <c r="K315" s="6">
        <f t="shared" si="22"/>
        <v>1648.6200000000001</v>
      </c>
      <c r="L315" s="6" t="str" cm="1">
        <f t="array" ref="L315">_xlfn.LET(
  _xlpm.valuta, UPPER(TRIM('Sales_RAW(BEFORE)'!K324)),
  _xlfn.IFS(
    _xlpm.valuta = "", "",
    OR(_xlpm.valuta = "USD", _xlpm.valuta = "$"), "$",
    OR(_xlpm.valuta = "EUR", _xlpm.valuta = "€"), "€",
    TRUE, _xlpm.valuta
  )
)</f>
        <v>$</v>
      </c>
      <c r="M315" s="3" t="str">
        <f>"E" &amp; TEXT(VALUE(SUBSTITUTE(SUBSTITUTE(SUBSTITUTE(UPPER(TRIM('Sales_RAW(BEFORE)'!L324)), "EMP", ""), "E", ""), "-", "")),"000")</f>
        <v>E004</v>
      </c>
      <c r="N315" s="3" t="str">
        <f>_xlfn.XLOOKUP(M315,Employees!$D$2:$D$26,Employees!$A$2:$A$26)</f>
        <v>Sophia Johnson</v>
      </c>
      <c r="O315" s="3" t="str">
        <f>_xlfn.XLOOKUP(N315,Employees!$A$2:$A$26,Employees!$C$2:$C$26,2)</f>
        <v>Wholesale</v>
      </c>
      <c r="P315" s="3" t="str">
        <f>PROPER('Sales_RAW(BEFORE)'!N324)</f>
        <v>South</v>
      </c>
      <c r="Q315" s="3" t="str">
        <f>VLOOKUP(N315,Employees!$A$2:$B$26,2,FALSE)</f>
        <v>Houston</v>
      </c>
      <c r="R315" s="3" t="str">
        <f>PROPER('Sales_RAW(BEFORE)'!P324)</f>
        <v xml:space="preserve"> Acme Inc</v>
      </c>
      <c r="S315" s="3" t="str">
        <f>SUBSTITUTE(SUBSTITUTE('Sales_RAW(BEFORE)'!Q324,"EIN",""),":","")</f>
        <v xml:space="preserve"> 611143720</v>
      </c>
      <c r="T315" s="3" t="s">
        <v>994</v>
      </c>
      <c r="U315" s="3" t="s">
        <v>4986</v>
      </c>
      <c r="V315" s="3" t="s">
        <v>4987</v>
      </c>
      <c r="W315" s="3" t="s">
        <v>4988</v>
      </c>
      <c r="X315" s="3" t="s">
        <v>173</v>
      </c>
      <c r="Y315" s="3" t="str">
        <f>PROPER('Sales_RAW(BEFORE)'!W324)</f>
        <v>Credit Card</v>
      </c>
      <c r="Z315" s="3" t="str">
        <f>PROPER('Sales_RAW(BEFORE)'!X324)</f>
        <v>Delivered</v>
      </c>
      <c r="AA315" s="3" t="str" cm="1">
        <f t="array" ref="AA315">_xlfn.LET(
  _xlpm.val, TRIM(LOWER('Sales_RAW(BEFORE)'!Y324)),
  _xlfn.IFS(
    OR(_xlpm.val="yes", _xlpm.val="paid"), "Paid",
    OR(_xlpm.val="no", _xlpm.val="unpaid"), "Unpaid",
    OR(_xlpm.val="partial", _xlpm.val="partial paid"), "Partial",
    _xlpm.val="", "",
    TRUE, 'Sales_RAW(BEFORE)'!AY324
  )
)</f>
        <v>Paid</v>
      </c>
      <c r="AB315" s="3" t="s">
        <v>4989</v>
      </c>
      <c r="AC315" s="3" t="str">
        <f>PROPER('Sales_RAW(BEFORE)'!AA324)</f>
        <v>Online</v>
      </c>
      <c r="AD315" s="3" t="str">
        <f>SUBSTITUTE(SUBSTITUTE(SUBSTITUTE(SUBSTITUTE('Sales_RAW(BEFORE)'!AB324,"st",""),"q",""),"Q",""),"uarter","")</f>
        <v>1</v>
      </c>
      <c r="AE315" s="3" t="str">
        <f>TEXT(IFERROR(DATEVALUE('Sales_RAW(BEFORE)'!AC324 &amp; " 1"), IFERROR(DATE(2025, 'Sales_RAW(BEFORE)'!AC324, 1), 'Sales_RAW(BEFORE)'!AC324)), "mmmm")</f>
        <v>June</v>
      </c>
      <c r="AF315" s="3">
        <f>_xlfn.LET(
  _xlpm.raw, TRIM(SUBSTITUTE('Sales_RAW(BEFORE)'!AD324, "'", "")),
  _xlpm.num, IFERROR(VALUE(_xlpm.raw), 0),
  IF(_xlpm.num &lt; 100, 2000 + _xlpm.num, _xlpm.num)
)</f>
        <v>2026</v>
      </c>
      <c r="AG315" s="3" t="str">
        <f>PROPER('Sales_RAW(BEFORE)'!AE324)</f>
        <v>Net 60</v>
      </c>
      <c r="AH315" s="3" cm="1">
        <f t="array" ref="AH315">_xlfn.LET(
  _xlpm.val, LOWER(TRIM('Sales_RAW(BEFORE)'!AF324)),
  _xlfn.IFS(
    OR(_xlpm.val="", _xlpm.val="null", _xlpm.val="N/A", _xlpm.val="-", _xlpm.val="#N/A"), 0,
    ISNUMBER('Sales_RAW(BEFORE)'!AF324), 'Sales_RAW(BEFORE)'!AF324,
    TRUE, IFERROR(_xlfn.NUMBERVALUE(_xlpm.val), 0)
  )
)</f>
        <v>31</v>
      </c>
      <c r="AI315" s="5">
        <f>IF(IFERROR(VALUE(SUBSTITUTE(SUBSTITUTE(TRIM('Sales_RAW(BEFORE)'!AG324), "%", ""), ",", ".")), 0) &gt; 1, IFERROR(VALUE(SUBSTITUTE(SUBSTITUTE(TRIM('Sales_RAW(BEFORE)'!AG324), "%", ""), ",", ".")), 0) / 100, IFERROR(VALUE(SUBSTITUTE(SUBSTITUTE(TRIM('Sales_RAW(BEFORE)'!AG324), "%", ""), ",", ".")), 0))</f>
        <v>0.08</v>
      </c>
      <c r="AJ315" s="6">
        <f t="shared" si="20"/>
        <v>131.8896</v>
      </c>
      <c r="AK315" s="6">
        <f t="shared" si="21"/>
        <v>1780.5096000000001</v>
      </c>
      <c r="AL315" s="6">
        <f>IFERROR(VALUE(SUBSTITUTE(SUBSTITUTE(SUBSTITUTE('Sales_RAW(BEFORE)'!AJ324,"$",""),"USD",""),",",".")),0)</f>
        <v>33.56</v>
      </c>
      <c r="AM315" s="3" t="str">
        <f>SUBSTITUTE(SUBSTITUTE(PROPER('Sales_RAW(BEFORE)'!AK324), "Fed Ex", "FedEx"),"Fedex","FedEx")</f>
        <v>Usps</v>
      </c>
      <c r="AN315" s="3" t="s">
        <v>4991</v>
      </c>
      <c r="AO315" s="3" t="str">
        <f>SUBSTITUTE('Sales_RAW(BEFORE)'!AM324,"kg","")</f>
        <v>7,35</v>
      </c>
      <c r="AP315" s="3" t="str">
        <f>_xlfn.LET(
  _xlpm.raw, UPPER(TRIM('Sales_RAW(BEFORE)'!AN324)),
  _xlpm.clean, RIGHT(_xlpm.raw, 1),
  IF(OR(_xlpm.raw="", _xlpm.raw="null"), "N/A", _xlpm.clean)
)</f>
        <v>A</v>
      </c>
      <c r="AQ315" s="3">
        <v>148</v>
      </c>
      <c r="AR315" s="3" cm="1">
        <f t="array" ref="AR315">_xlfn.LET(
  _xlpm.raw, LOWER(TRIM('Sales_RAW(BEFORE)'!AP324)),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315" s="3"/>
      <c r="AT315" s="3"/>
      <c r="AU315" s="3"/>
      <c r="AV315" s="8">
        <f>IF(IFERROR(VALUE(SUBSTITUTE(SUBSTITUTE(TRIM('Sales_RAW(BEFORE)'!AT324), "%", ""), ",", ".")), 0) &gt; 1, IFERROR(VALUE(SUBSTITUTE(SUBSTITUTE(TRIM('Sales_RAW(BEFORE)'!AT324), "%", ""), ",", ".")), 0) / 100, IFERROR(VALUE(SUBSTITUTE(SUBSTITUTE(TRIM('Sales_RAW(BEFORE)'!AT324), "%", ""), ",", ".")), 0))</f>
        <v>0</v>
      </c>
      <c r="AW315" s="6">
        <f>BA315*(_xlfn.XLOOKUP(N315,Employees!$A$2:$A$26,Employees!$E$2:$E$26,2))</f>
        <v>80.122932000000006</v>
      </c>
      <c r="AX315" s="3" t="str">
        <f>PROPER('Sales_RAW(BEFORE)'!AV324)</f>
        <v xml:space="preserve"> Laura Smith</v>
      </c>
      <c r="AY315" s="3" t="str">
        <f t="shared" si="23"/>
        <v xml:space="preserve"> Laura Smith</v>
      </c>
      <c r="AZ315" s="3"/>
      <c r="BA315" s="24">
        <f>AK315*(1-(_xlfn.XLOOKUP(G315, Exchange_Rates!$B$8:$F$8, Exchange_Rates!$B$9:$F$9, 0)+J315))</f>
        <v>1602.4586400000001</v>
      </c>
      <c r="BB315" s="7" cm="1">
        <f t="array" ref="BB315">_xlfn.LET(
  _xlpm.raw_dt, SUBSTITUTE(TRIM(C315), ".", "/"),
  _xlpm.dt, IFERROR(DATEVALUE(_xlpm.raw_dt), C315),
  _xlpm.p_code, TRIM(E315),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46575</v>
      </c>
      <c r="BC315" s="25">
        <f t="shared" si="24"/>
        <v>0</v>
      </c>
    </row>
    <row r="316" spans="1:55" ht="15.75" thickBot="1" x14ac:dyDescent="0.3">
      <c r="A316" s="3" t="s">
        <v>4994</v>
      </c>
      <c r="B316" s="10">
        <v>46167</v>
      </c>
      <c r="C316" s="4">
        <v>46059</v>
      </c>
      <c r="D316" s="3" t="str">
        <f>"P-" &amp; TEXT(VALUE(SUBSTITUTE(SUBSTITUTE(SUBSTITUTE(UPPER(TRIM('Sales_RAW(BEFORE)'!D325)), "P", ""), "-", ""), "_", "")),"000")</f>
        <v>P-043</v>
      </c>
      <c r="E316" s="3" t="str">
        <f>VLOOKUP(D316,Product_List!$A$2:$B$61,2,FALSE)</f>
        <v>Headphones X 43</v>
      </c>
      <c r="F316" s="3" t="str">
        <f>_xlfn.XLOOKUP(E316,Product_List!$B$2:$B$61,Product_List!$E$2:$E$61,2)</f>
        <v>Global Distrib</v>
      </c>
      <c r="G316" s="3" t="str">
        <f>VLOOKUP(E316,Product_List!$B$2:$C$61,2,FALSE)</f>
        <v>Equipment</v>
      </c>
      <c r="H316" s="3" t="str">
        <f>SUBSTITUTE(SUBSTITUTE('Sales_RAW(BEFORE)'!G325,"kom",""),".","")</f>
        <v xml:space="preserve">8 </v>
      </c>
      <c r="I316" s="6">
        <f>VLOOKUP(E316,Product_List!$B$2:$D$61,3,FALSE)</f>
        <v>156.69</v>
      </c>
      <c r="J316" s="5">
        <f>IF(IFERROR(VALUE(SUBSTITUTE(SUBSTITUTE(TRIM('Sales_RAW(BEFORE)'!I325), "%", ""), ",", ".")), 0) &gt; 1, IFERROR(VALUE(SUBSTITUTE(SUBSTITUTE(TRIM('Sales_RAW(BEFORE)'!I325), "%", ""), ",", ".")), 0) / 100, IFERROR(VALUE(SUBSTITUTE(SUBSTITUTE(TRIM('Sales_RAW(BEFORE)'!I325), "%", ""), ",", ".")), 0))</f>
        <v>0</v>
      </c>
      <c r="K316" s="6">
        <f t="shared" ref="K316:K342" si="25">IFERROR(H316*I316,0)</f>
        <v>1253.52</v>
      </c>
      <c r="L316" s="6" t="str" cm="1">
        <f t="array" ref="L316">_xlfn.LET(
  _xlpm.valuta, UPPER(TRIM('Sales_RAW(BEFORE)'!K325)),
  _xlfn.IFS(
    _xlpm.valuta = "", "",
    OR(_xlpm.valuta = "USD", _xlpm.valuta = "$"), "$",
    OR(_xlpm.valuta = "EUR", _xlpm.valuta = "€"), "€",
    TRUE, _xlpm.valuta
  )
)</f>
        <v>$</v>
      </c>
      <c r="M316" s="3" t="str">
        <f>"E" &amp; TEXT(VALUE(SUBSTITUTE(SUBSTITUTE(SUBSTITUTE(UPPER(TRIM('Sales_RAW(BEFORE)'!L325)), "EMP", ""), "E", ""), "-", "")),"000")</f>
        <v>E019</v>
      </c>
      <c r="N316" s="3" t="str">
        <f>_xlfn.XLOOKUP(M316,Employees!$D$2:$D$26,Employees!$A$2:$A$26)</f>
        <v>Sophia Taylor</v>
      </c>
      <c r="O316" s="3" t="str">
        <f>_xlfn.XLOOKUP(N316,Employees!$A$2:$A$26,Employees!$C$2:$C$26,2)</f>
        <v>Wholesale</v>
      </c>
      <c r="P316" s="3" t="str">
        <f>PROPER('Sales_RAW(BEFORE)'!N325)</f>
        <v>South</v>
      </c>
      <c r="Q316" s="3" t="str">
        <f>VLOOKUP(N316,Employees!$A$2:$B$26,2,FALSE)</f>
        <v>Los Angeles</v>
      </c>
      <c r="R316" s="3" t="str">
        <f>PROPER('Sales_RAW(BEFORE)'!P325)</f>
        <v xml:space="preserve">Globex Llc </v>
      </c>
      <c r="S316" s="3" t="str">
        <f>SUBSTITUTE(SUBSTITUTE('Sales_RAW(BEFORE)'!Q325,"EIN",""),":","")</f>
        <v>884438391</v>
      </c>
      <c r="T316" s="3" t="s">
        <v>994</v>
      </c>
      <c r="U316" s="3" t="s">
        <v>5000</v>
      </c>
      <c r="V316" s="3" t="s">
        <v>5001</v>
      </c>
      <c r="W316" s="3" t="s">
        <v>5002</v>
      </c>
      <c r="X316" s="3" t="s">
        <v>173</v>
      </c>
      <c r="Y316" s="3" t="str">
        <f>PROPER('Sales_RAW(BEFORE)'!W325)</f>
        <v>Credit Card</v>
      </c>
      <c r="Z316" s="3" t="str">
        <f>PROPER('Sales_RAW(BEFORE)'!X325)</f>
        <v>Processing</v>
      </c>
      <c r="AA316" s="3" t="str" cm="1">
        <f t="array" ref="AA316">_xlfn.LET(
  _xlpm.val, TRIM(LOWER('Sales_RAW(BEFORE)'!Y325)),
  _xlfn.IFS(
    OR(_xlpm.val="yes", _xlpm.val="paid"), "Paid",
    OR(_xlpm.val="no", _xlpm.val="unpaid"), "Unpaid",
    OR(_xlpm.val="partial", _xlpm.val="partial paid"), "Partial",
    _xlpm.val="", "",
    TRUE, 'Sales_RAW(BEFORE)'!AY325
  )
)</f>
        <v>Paid</v>
      </c>
      <c r="AB316" s="3" t="s">
        <v>5003</v>
      </c>
      <c r="AC316" s="3" t="str">
        <f>PROPER('Sales_RAW(BEFORE)'!AA325)</f>
        <v>Store</v>
      </c>
      <c r="AD316" s="3" t="str">
        <f>SUBSTITUTE(SUBSTITUTE(SUBSTITUTE(SUBSTITUTE('Sales_RAW(BEFORE)'!AB325,"st",""),"q",""),"Q",""),"uarter","")</f>
        <v>2</v>
      </c>
      <c r="AE316" s="3" t="str">
        <f>TEXT(IFERROR(DATEVALUE('Sales_RAW(BEFORE)'!AC325 &amp; " 1"), IFERROR(DATE(2025, 'Sales_RAW(BEFORE)'!AC325, 1), 'Sales_RAW(BEFORE)'!AC325)), "mmmm")</f>
        <v>May</v>
      </c>
      <c r="AF316" s="3">
        <f>_xlfn.LET(
  _xlpm.raw, TRIM(SUBSTITUTE('Sales_RAW(BEFORE)'!AD325, "'", "")),
  _xlpm.num, IFERROR(VALUE(_xlpm.raw), 0),
  IF(_xlpm.num &lt; 100, 2000 + _xlpm.num, _xlpm.num)
)</f>
        <v>2026</v>
      </c>
      <c r="AG316" s="3" t="str">
        <f>PROPER('Sales_RAW(BEFORE)'!AE325)</f>
        <v>Net 60</v>
      </c>
      <c r="AH316" s="3" cm="1">
        <f t="array" ref="AH316">_xlfn.LET(
  _xlpm.val, LOWER(TRIM('Sales_RAW(BEFORE)'!AF325)),
  _xlfn.IFS(
    OR(_xlpm.val="", _xlpm.val="null", _xlpm.val="N/A", _xlpm.val="-", _xlpm.val="#N/A"), 0,
    ISNUMBER('Sales_RAW(BEFORE)'!AF325), 'Sales_RAW(BEFORE)'!AF325,
    TRUE, IFERROR(_xlfn.NUMBERVALUE(_xlpm.val), 0)
  )
)</f>
        <v>80</v>
      </c>
      <c r="AI316" s="5">
        <f>IF(IFERROR(VALUE(SUBSTITUTE(SUBSTITUTE(TRIM('Sales_RAW(BEFORE)'!AG325), "%", ""), ",", ".")), 0) &gt; 1, IFERROR(VALUE(SUBSTITUTE(SUBSTITUTE(TRIM('Sales_RAW(BEFORE)'!AG325), "%", ""), ",", ".")), 0) / 100, IFERROR(VALUE(SUBSTITUTE(SUBSTITUTE(TRIM('Sales_RAW(BEFORE)'!AG325), "%", ""), ",", ".")), 0))</f>
        <v>0.08</v>
      </c>
      <c r="AJ316" s="6">
        <f t="shared" ref="AJ316:AJ342" si="26">K316*AI316</f>
        <v>100.2816</v>
      </c>
      <c r="AK316" s="6">
        <f t="shared" ref="AK316:AK342" si="27">AJ316+K316</f>
        <v>1353.8016</v>
      </c>
      <c r="AL316" s="6">
        <f>IFERROR(VALUE(SUBSTITUTE(SUBSTITUTE(SUBSTITUTE('Sales_RAW(BEFORE)'!AJ325,"$",""),"USD",""),",",".")),0)</f>
        <v>43.7</v>
      </c>
      <c r="AM316" s="3" t="str">
        <f>SUBSTITUTE(SUBSTITUTE(PROPER('Sales_RAW(BEFORE)'!AK325), "Fed Ex", "FedEx"),"Fedex","FedEx")</f>
        <v>Ups</v>
      </c>
      <c r="AN316" s="3" t="s">
        <v>5005</v>
      </c>
      <c r="AO316" s="3" t="str">
        <f>SUBSTITUTE('Sales_RAW(BEFORE)'!AM325,"kg","")</f>
        <v xml:space="preserve">25.5 </v>
      </c>
      <c r="AP316" s="3" t="str">
        <f>_xlfn.LET(
  _xlpm.raw, UPPER(TRIM('Sales_RAW(BEFORE)'!AN325)),
  _xlpm.clean, RIGHT(_xlpm.raw, 1),
  IF(OR(_xlpm.raw="", _xlpm.raw="null"), "N/A", _xlpm.clean)
)</f>
        <v>A</v>
      </c>
      <c r="AQ316" s="3">
        <v>393</v>
      </c>
      <c r="AR316" s="3" cm="1">
        <f t="array" ref="AR316">_xlfn.LET(
  _xlpm.raw, LOWER(TRIM('Sales_RAW(BEFORE)'!AP325)),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316" s="3"/>
      <c r="AT316" s="3"/>
      <c r="AU316" s="3"/>
      <c r="AV316" s="8">
        <f>IF(IFERROR(VALUE(SUBSTITUTE(SUBSTITUTE(TRIM('Sales_RAW(BEFORE)'!AT325), "%", ""), ",", ".")), 0) &gt; 1, IFERROR(VALUE(SUBSTITUTE(SUBSTITUTE(TRIM('Sales_RAW(BEFORE)'!AT325), "%", ""), ",", ".")), 0) / 100, IFERROR(VALUE(SUBSTITUTE(SUBSTITUTE(TRIM('Sales_RAW(BEFORE)'!AT325), "%", ""), ",", ".")), 0))</f>
        <v>0.18</v>
      </c>
      <c r="AW316" s="6">
        <f>BA316*(_xlfn.XLOOKUP(N316,Employees!$A$2:$A$26,Employees!$E$2:$E$26,2))</f>
        <v>36.552643199999999</v>
      </c>
      <c r="AX316" s="3" t="str">
        <f>PROPER('Sales_RAW(BEFORE)'!AV325)</f>
        <v>Laura Wilson</v>
      </c>
      <c r="AY316" s="3" t="str">
        <f t="shared" si="23"/>
        <v>Laura Wilson</v>
      </c>
      <c r="AZ316" s="3"/>
      <c r="BA316" s="24">
        <f>AK316*(1-(_xlfn.XLOOKUP(G316, Exchange_Rates!$B$8:$F$8, Exchange_Rates!$B$9:$F$9, 0)+J316))</f>
        <v>1218.4214400000001</v>
      </c>
      <c r="BB316" s="7" cm="1">
        <f t="array" ref="BB316">_xlfn.LET(
  _xlpm.raw_dt, SUBSTITUTE(TRIM(C316), ".", "/"),
  _xlpm.dt, IFERROR(DATEVALUE(_xlpm.raw_dt), C316),
  _xlpm.p_code, TRIM(E316),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46424</v>
      </c>
      <c r="BC316" s="25">
        <f t="shared" si="24"/>
        <v>219.31585920000001</v>
      </c>
    </row>
    <row r="317" spans="1:55" ht="15.75" thickBot="1" x14ac:dyDescent="0.3">
      <c r="A317" s="3" t="s">
        <v>5008</v>
      </c>
      <c r="B317" s="10">
        <f>DATE(2026,5,24)</f>
        <v>46166</v>
      </c>
      <c r="C317" s="4">
        <v>46177</v>
      </c>
      <c r="D317" s="3" t="str">
        <f>"P-" &amp; TEXT(VALUE(SUBSTITUTE(SUBSTITUTE(SUBSTITUTE(UPPER(TRIM('Sales_RAW(BEFORE)'!D326)), "P", ""), "-", ""), "_", "")),"000")</f>
        <v>P-050</v>
      </c>
      <c r="E317" s="3" t="str">
        <f>VLOOKUP(D317,Product_List!$A$2:$B$61,2,FALSE)</f>
        <v>License X 50</v>
      </c>
      <c r="F317" s="3" t="str">
        <f>_xlfn.XLOOKUP(E317,Product_List!$B$2:$B$61,Product_List!$E$2:$E$61,2)</f>
        <v>BestParts</v>
      </c>
      <c r="G317" s="3" t="str">
        <f>VLOOKUP(E317,Product_List!$B$2:$C$61,2,FALSE)</f>
        <v>Equipment</v>
      </c>
      <c r="H317" s="3" t="str">
        <f>SUBSTITUTE(SUBSTITUTE('Sales_RAW(BEFORE)'!G326,"kom",""),".","")</f>
        <v xml:space="preserve">31 </v>
      </c>
      <c r="I317" s="6">
        <f>VLOOKUP(E317,Product_List!$B$2:$D$61,3,FALSE)</f>
        <v>39.53</v>
      </c>
      <c r="J317" s="5">
        <f>IF(IFERROR(VALUE(SUBSTITUTE(SUBSTITUTE(TRIM('Sales_RAW(BEFORE)'!I326), "%", ""), ",", ".")), 0) &gt; 1, IFERROR(VALUE(SUBSTITUTE(SUBSTITUTE(TRIM('Sales_RAW(BEFORE)'!I326), "%", ""), ",", ".")), 0) / 100, IFERROR(VALUE(SUBSTITUTE(SUBSTITUTE(TRIM('Sales_RAW(BEFORE)'!I326), "%", ""), ",", ".")), 0))</f>
        <v>0</v>
      </c>
      <c r="K317" s="6">
        <f>(H317*I317)/(HLOOKUP(AE317,Exchange_Rates!$B$1:$M$2,2,FALSE))</f>
        <v>1326.2229437229437</v>
      </c>
      <c r="L317" s="6" t="str" cm="1">
        <f t="array" ref="L317">_xlfn.LET(
  _xlpm.valuta, UPPER(TRIM('Sales_RAW(BEFORE)'!K326)),
  _xlfn.IFS(
    _xlpm.valuta = "", "",
    OR(_xlpm.valuta = "USD", _xlpm.valuta = "$"), "$",
    OR(_xlpm.valuta = "EUR", _xlpm.valuta = "€"), "€",
    TRUE, _xlpm.valuta
  )
)</f>
        <v>€</v>
      </c>
      <c r="M317" s="3" t="str">
        <f>"E" &amp; TEXT(VALUE(SUBSTITUTE(SUBSTITUTE(SUBSTITUTE(UPPER(TRIM('Sales_RAW(BEFORE)'!L326)), "EMP", ""), "E", ""), "-", "")),"000")</f>
        <v>E006</v>
      </c>
      <c r="N317" s="3" t="str">
        <f>_xlfn.XLOOKUP(M317,Employees!$D$2:$D$26,Employees!$A$2:$A$26)</f>
        <v>Emily Davis</v>
      </c>
      <c r="O317" s="3" t="str">
        <f>_xlfn.XLOOKUP(N317,Employees!$A$2:$A$26,Employees!$C$2:$C$26,2)</f>
        <v>Retail</v>
      </c>
      <c r="P317" s="3" t="str">
        <f>PROPER('Sales_RAW(BEFORE)'!N326)</f>
        <v>North</v>
      </c>
      <c r="Q317" s="3" t="str">
        <f>VLOOKUP(N317,Employees!$A$2:$B$26,2,FALSE)</f>
        <v>Houston</v>
      </c>
      <c r="R317" s="3" t="str">
        <f>PROPER('Sales_RAW(BEFORE)'!P326)</f>
        <v>Stark Inc</v>
      </c>
      <c r="S317" s="3" t="str">
        <f>SUBSTITUTE(SUBSTITUTE('Sales_RAW(BEFORE)'!Q326,"EIN",""),":","")</f>
        <v xml:space="preserve"> 548904514</v>
      </c>
      <c r="T317" s="3" t="s">
        <v>286</v>
      </c>
      <c r="U317" s="3" t="s">
        <v>5012</v>
      </c>
      <c r="V317" s="3" t="s">
        <v>5013</v>
      </c>
      <c r="W317" s="3" t="s">
        <v>5014</v>
      </c>
      <c r="X317" s="3" t="s">
        <v>173</v>
      </c>
      <c r="Y317" s="3" t="str">
        <f>PROPER('Sales_RAW(BEFORE)'!W326)</f>
        <v>Cash</v>
      </c>
      <c r="Z317" s="3" t="str">
        <f>PROPER('Sales_RAW(BEFORE)'!X326)</f>
        <v>Cancelled</v>
      </c>
      <c r="AA317" s="3" t="str" cm="1">
        <f t="array" ref="AA317">_xlfn.LET(
  _xlpm.val, TRIM(LOWER('Sales_RAW(BEFORE)'!Y326)),
  _xlfn.IFS(
    OR(_xlpm.val="yes", _xlpm.val="paid"), "Paid",
    OR(_xlpm.val="no", _xlpm.val="unpaid"), "Unpaid",
    OR(_xlpm.val="partial", _xlpm.val="partial paid"), "Partial",
    _xlpm.val="", "",
    TRUE, 'Sales_RAW(BEFORE)'!AY326
  )
)</f>
        <v>Partial</v>
      </c>
      <c r="AB317" s="3" t="s">
        <v>5015</v>
      </c>
      <c r="AC317" s="3" t="str">
        <f>PROPER('Sales_RAW(BEFORE)'!AA326)</f>
        <v>Online</v>
      </c>
      <c r="AD317" s="3" t="str">
        <f>SUBSTITUTE(SUBSTITUTE(SUBSTITUTE(SUBSTITUTE('Sales_RAW(BEFORE)'!AB326,"st",""),"q",""),"Q",""),"uarter","")</f>
        <v>4</v>
      </c>
      <c r="AE317" s="3" t="str">
        <f>TEXT(IFERROR(DATEVALUE('Sales_RAW(BEFORE)'!AC326 &amp; " 1"), IFERROR(DATE(2025, 'Sales_RAW(BEFORE)'!AC326, 1), 'Sales_RAW(BEFORE)'!AC326)), "mmmm")</f>
        <v>May</v>
      </c>
      <c r="AF317" s="3">
        <f>_xlfn.LET(
  _xlpm.raw, TRIM(SUBSTITUTE('Sales_RAW(BEFORE)'!AD326, "'", "")),
  _xlpm.num, IFERROR(VALUE(_xlpm.raw), 0),
  IF(_xlpm.num &lt; 100, 2000 + _xlpm.num, _xlpm.num)
)</f>
        <v>2026</v>
      </c>
      <c r="AG317" s="3" t="str">
        <f>PROPER('Sales_RAW(BEFORE)'!AE326)</f>
        <v>Net 30</v>
      </c>
      <c r="AH317" s="3" cm="1">
        <f t="array" ref="AH317">_xlfn.LET(
  _xlpm.val, LOWER(TRIM('Sales_RAW(BEFORE)'!AF326)),
  _xlfn.IFS(
    OR(_xlpm.val="", _xlpm.val="null", _xlpm.val="N/A", _xlpm.val="-", _xlpm.val="#N/A"), 0,
    ISNUMBER('Sales_RAW(BEFORE)'!AF326), 'Sales_RAW(BEFORE)'!AF326,
    TRUE, IFERROR(_xlfn.NUMBERVALUE(_xlpm.val), 0)
  )
)</f>
        <v>78</v>
      </c>
      <c r="AI317" s="5">
        <f>IF(IFERROR(VALUE(SUBSTITUTE(SUBSTITUTE(TRIM('Sales_RAW(BEFORE)'!AG326), "%", ""), ",", ".")), 0) &gt; 1, IFERROR(VALUE(SUBSTITUTE(SUBSTITUTE(TRIM('Sales_RAW(BEFORE)'!AG326), "%", ""), ",", ".")), 0) / 100, IFERROR(VALUE(SUBSTITUTE(SUBSTITUTE(TRIM('Sales_RAW(BEFORE)'!AG326), "%", ""), ",", ".")), 0))</f>
        <v>0.08</v>
      </c>
      <c r="AJ317" s="6">
        <f t="shared" si="26"/>
        <v>106.09783549783549</v>
      </c>
      <c r="AK317" s="6">
        <f t="shared" si="27"/>
        <v>1432.3207792207791</v>
      </c>
      <c r="AL317" s="6">
        <f>IFERROR(VALUE(SUBSTITUTE(SUBSTITUTE(SUBSTITUTE('Sales_RAW(BEFORE)'!AJ326,"$",""),"USD",""),",",".")),0)</f>
        <v>37.700000000000003</v>
      </c>
      <c r="AM317" s="3" t="str">
        <f>SUBSTITUTE(SUBSTITUTE(PROPER('Sales_RAW(BEFORE)'!AK326), "Fed Ex", "FedEx"),"Fedex","FedEx")</f>
        <v>Ups</v>
      </c>
      <c r="AN317" s="3" t="s">
        <v>5016</v>
      </c>
      <c r="AO317" s="3" t="str">
        <f>SUBSTITUTE('Sales_RAW(BEFORE)'!AM326,"kg","")</f>
        <v>26,86</v>
      </c>
      <c r="AP317" s="3" t="str">
        <f>_xlfn.LET(
  _xlpm.raw, UPPER(TRIM('Sales_RAW(BEFORE)'!AN326)),
  _xlpm.clean, RIGHT(_xlpm.raw, 1),
  IF(OR(_xlpm.raw="", _xlpm.raw="null"), "N/A", _xlpm.clean)
)</f>
        <v>C</v>
      </c>
      <c r="AQ317" s="3">
        <v>49</v>
      </c>
      <c r="AR317" s="3" cm="1">
        <f t="array" ref="AR317">_xlfn.LET(
  _xlpm.raw, LOWER(TRIM('Sales_RAW(BEFORE)'!AP326)),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317" s="3"/>
      <c r="AT317" s="3"/>
      <c r="AU317" s="3"/>
      <c r="AV317" s="8">
        <f>IF(IFERROR(VALUE(SUBSTITUTE(SUBSTITUTE(TRIM('Sales_RAW(BEFORE)'!AT326), "%", ""), ",", ".")), 0) &gt; 1, IFERROR(VALUE(SUBSTITUTE(SUBSTITUTE(TRIM('Sales_RAW(BEFORE)'!AT326), "%", ""), ",", ".")), 0) / 100, IFERROR(VALUE(SUBSTITUTE(SUBSTITUTE(TRIM('Sales_RAW(BEFORE)'!AT326), "%", ""), ",", ".")), 0))</f>
        <v>0.3</v>
      </c>
      <c r="AW317" s="6">
        <f>BA317*(_xlfn.XLOOKUP(N317,Employees!$A$2:$A$26,Employees!$E$2:$E$26,2))</f>
        <v>64.454435064935055</v>
      </c>
      <c r="AX317" s="3" t="str">
        <f>PROPER('Sales_RAW(BEFORE)'!AV326)</f>
        <v xml:space="preserve">Emma Jones  </v>
      </c>
      <c r="AY317" s="3" t="str">
        <f t="shared" ref="AY317:AY342" si="28">AX317</f>
        <v xml:space="preserve">Emma Jones  </v>
      </c>
      <c r="AZ317" s="3"/>
      <c r="BA317" s="24">
        <f>AK317*(1-(_xlfn.XLOOKUP(G317, Exchange_Rates!$B$8:$F$8, Exchange_Rates!$B$9:$F$9, 0)+J317))</f>
        <v>1289.0887012987012</v>
      </c>
      <c r="BB317" s="7" cm="1">
        <f t="array" ref="BB317">_xlfn.LET(
  _xlpm.raw_dt, SUBSTITUTE(TRIM(C317), ".", "/"),
  _xlpm.dt, IFERROR(DATEVALUE(_xlpm.raw_dt), C317),
  _xlpm.p_code, TRIM(E317),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46542</v>
      </c>
      <c r="BC317" s="25">
        <f t="shared" ref="BC317:BC338" si="29">BA317*AV317</f>
        <v>386.72661038961036</v>
      </c>
    </row>
    <row r="318" spans="1:55" ht="15.75" thickBot="1" x14ac:dyDescent="0.3">
      <c r="A318" s="3" t="s">
        <v>5018</v>
      </c>
      <c r="B318" s="10">
        <v>45665</v>
      </c>
      <c r="C318" s="4">
        <v>45884</v>
      </c>
      <c r="D318" s="3" t="str">
        <f>"P-" &amp; TEXT(VALUE(SUBSTITUTE(SUBSTITUTE(SUBSTITUTE(UPPER(TRIM('Sales_RAW(BEFORE)'!D327)), "P", ""), "-", ""), "_", "")),"000")</f>
        <v>P-052</v>
      </c>
      <c r="E318" s="3" t="str">
        <f>VLOOKUP(D318,Product_List!$A$2:$B$61,2,FALSE)</f>
        <v>Laptop Max 52</v>
      </c>
      <c r="F318" s="3" t="str">
        <f>_xlfn.XLOOKUP(E318,Product_List!$B$2:$B$61,Product_List!$E$2:$E$61,2)</f>
        <v>TechSupply Co</v>
      </c>
      <c r="G318" s="3" t="str">
        <f>VLOOKUP(E318,Product_List!$B$2:$C$61,2,FALSE)</f>
        <v>Furniture</v>
      </c>
      <c r="H318" s="3" t="str">
        <f>SUBSTITUTE(SUBSTITUTE('Sales_RAW(BEFORE)'!G327,"kom",""),".","")</f>
        <v xml:space="preserve">6 </v>
      </c>
      <c r="I318" s="6">
        <f>VLOOKUP(E318,Product_List!$B$2:$D$61,3,FALSE)</f>
        <v>1467.86</v>
      </c>
      <c r="J318" s="5">
        <f>IF(IFERROR(VALUE(SUBSTITUTE(SUBSTITUTE(TRIM('Sales_RAW(BEFORE)'!I327), "%", ""), ",", ".")), 0) &gt; 1, IFERROR(VALUE(SUBSTITUTE(SUBSTITUTE(TRIM('Sales_RAW(BEFORE)'!I327), "%", ""), ",", ".")), 0) / 100, IFERROR(VALUE(SUBSTITUTE(SUBSTITUTE(TRIM('Sales_RAW(BEFORE)'!I327), "%", ""), ",", ".")), 0))</f>
        <v>0.1</v>
      </c>
      <c r="K318" s="6">
        <f t="shared" si="25"/>
        <v>8807.16</v>
      </c>
      <c r="L318" s="6" t="str" cm="1">
        <f t="array" ref="L318">_xlfn.LET(
  _xlpm.valuta, UPPER(TRIM('Sales_RAW(BEFORE)'!K327)),
  _xlfn.IFS(
    _xlpm.valuta = "", "",
    OR(_xlpm.valuta = "USD", _xlpm.valuta = "$"), "$",
    OR(_xlpm.valuta = "EUR", _xlpm.valuta = "€"), "€",
    TRUE, _xlpm.valuta
  )
)</f>
        <v>$</v>
      </c>
      <c r="M318" s="3" t="str">
        <f>"E" &amp; TEXT(VALUE(SUBSTITUTE(SUBSTITUTE(SUBSTITUTE(UPPER(TRIM('Sales_RAW(BEFORE)'!L327)), "EMP", ""), "E", ""), "-", "")),"000")</f>
        <v>E009</v>
      </c>
      <c r="N318" s="3" t="str">
        <f>_xlfn.XLOOKUP(M318,Employees!$D$2:$D$26,Employees!$A$2:$A$26)</f>
        <v>Olivia Wilson</v>
      </c>
      <c r="O318" s="3" t="str">
        <f>_xlfn.XLOOKUP(N318,Employees!$A$2:$A$26,Employees!$C$2:$C$26,2)</f>
        <v>Wholesale</v>
      </c>
      <c r="P318" s="3" t="str">
        <f>PROPER('Sales_RAW(BEFORE)'!N327)</f>
        <v>South</v>
      </c>
      <c r="Q318" s="3" t="str">
        <f>VLOOKUP(N318,Employees!$A$2:$B$26,2,FALSE)</f>
        <v>Miami</v>
      </c>
      <c r="R318" s="3" t="str">
        <f>PROPER('Sales_RAW(BEFORE)'!P327)</f>
        <v>Wayne Ltd.</v>
      </c>
      <c r="S318" s="3" t="str">
        <f>SUBSTITUTE(SUBSTITUTE('Sales_RAW(BEFORE)'!Q327,"EIN",""),":","")</f>
        <v xml:space="preserve"> 496976436</v>
      </c>
      <c r="T318" s="3" t="s">
        <v>420</v>
      </c>
      <c r="U318" s="3" t="s">
        <v>5027</v>
      </c>
      <c r="V318" s="3" t="s">
        <v>5028</v>
      </c>
      <c r="W318" s="3" t="s">
        <v>5029</v>
      </c>
      <c r="X318" s="3" t="s">
        <v>173</v>
      </c>
      <c r="Y318" s="3" t="str">
        <f>PROPER('Sales_RAW(BEFORE)'!W327)</f>
        <v>Credit Card</v>
      </c>
      <c r="Z318" s="3" t="str">
        <f>PROPER('Sales_RAW(BEFORE)'!X327)</f>
        <v>Cancelled</v>
      </c>
      <c r="AA318" s="3" t="str" cm="1">
        <f t="array" ref="AA318">_xlfn.LET(
  _xlpm.val, TRIM(LOWER('Sales_RAW(BEFORE)'!Y327)),
  _xlfn.IFS(
    OR(_xlpm.val="yes", _xlpm.val="paid"), "Paid",
    OR(_xlpm.val="no", _xlpm.val="unpaid"), "Unpaid",
    OR(_xlpm.val="partial", _xlpm.val="partial paid"), "Partial",
    _xlpm.val="", "",
    TRUE, 'Sales_RAW(BEFORE)'!AY327
  )
)</f>
        <v>Paid</v>
      </c>
      <c r="AB318" s="3" t="s">
        <v>5030</v>
      </c>
      <c r="AC318" s="3" t="str">
        <f>PROPER('Sales_RAW(BEFORE)'!AA327)</f>
        <v>Web</v>
      </c>
      <c r="AD318" s="3" t="str">
        <f>SUBSTITUTE(SUBSTITUTE(SUBSTITUTE(SUBSTITUTE('Sales_RAW(BEFORE)'!AB327,"st",""),"q",""),"Q",""),"uarter","")</f>
        <v>1</v>
      </c>
      <c r="AE318" s="3" t="str">
        <f>TEXT(IFERROR(DATEVALUE('Sales_RAW(BEFORE)'!AC327 &amp; " 1"), IFERROR(DATE(2025, 'Sales_RAW(BEFORE)'!AC327, 1), 'Sales_RAW(BEFORE)'!AC327)), "mmmm")</f>
        <v>August</v>
      </c>
      <c r="AF318" s="3">
        <f>_xlfn.LET(
  _xlpm.raw, TRIM(SUBSTITUTE('Sales_RAW(BEFORE)'!AD327, "'", "")),
  _xlpm.num, IFERROR(VALUE(_xlpm.raw), 0),
  IF(_xlpm.num &lt; 100, 2000 + _xlpm.num, _xlpm.num)
)</f>
        <v>2025</v>
      </c>
      <c r="AG318" s="3" t="str">
        <f>PROPER('Sales_RAW(BEFORE)'!AE327)</f>
        <v>Net 30</v>
      </c>
      <c r="AH318" s="3" cm="1">
        <f t="array" ref="AH318">_xlfn.LET(
  _xlpm.val, LOWER(TRIM('Sales_RAW(BEFORE)'!AF327)),
  _xlfn.IFS(
    OR(_xlpm.val="", _xlpm.val="null", _xlpm.val="N/A", _xlpm.val="-", _xlpm.val="#N/A"), 0,
    ISNUMBER('Sales_RAW(BEFORE)'!AF327), 'Sales_RAW(BEFORE)'!AF327,
    TRUE, IFERROR(_xlfn.NUMBERVALUE(_xlpm.val), 0)
  )
)</f>
        <v>0</v>
      </c>
      <c r="AI318" s="5">
        <f>IF(IFERROR(VALUE(SUBSTITUTE(SUBSTITUTE(TRIM('Sales_RAW(BEFORE)'!AG327), "%", ""), ",", ".")), 0) &gt; 1, IFERROR(VALUE(SUBSTITUTE(SUBSTITUTE(TRIM('Sales_RAW(BEFORE)'!AG327), "%", ""), ",", ".")), 0) / 100, IFERROR(VALUE(SUBSTITUTE(SUBSTITUTE(TRIM('Sales_RAW(BEFORE)'!AG327), "%", ""), ",", ".")), 0))</f>
        <v>0.08</v>
      </c>
      <c r="AJ318" s="6">
        <f t="shared" si="26"/>
        <v>704.57280000000003</v>
      </c>
      <c r="AK318" s="6">
        <f t="shared" si="27"/>
        <v>9511.7327999999998</v>
      </c>
      <c r="AL318" s="6">
        <f>IFERROR(VALUE(SUBSTITUTE(SUBSTITUTE(SUBSTITUTE('Sales_RAW(BEFORE)'!AJ327,"$",""),"USD",""),",",".")),0)</f>
        <v>47.62</v>
      </c>
      <c r="AM318" s="3" t="str">
        <f>SUBSTITUTE(SUBSTITUTE(PROPER('Sales_RAW(BEFORE)'!AK327), "Fed Ex", "FedEx"),"Fedex","FedEx")</f>
        <v>Ups</v>
      </c>
      <c r="AN318" s="3" t="s">
        <v>5032</v>
      </c>
      <c r="AO318" s="3" t="str">
        <f>SUBSTITUTE('Sales_RAW(BEFORE)'!AM327,"kg","")</f>
        <v xml:space="preserve">1.5 </v>
      </c>
      <c r="AP318" s="3" t="str">
        <f>_xlfn.LET(
  _xlpm.raw, UPPER(TRIM('Sales_RAW(BEFORE)'!AN327)),
  _xlpm.clean, RIGHT(_xlpm.raw, 1),
  IF(OR(_xlpm.raw="", _xlpm.raw="null"), "N/A", _xlpm.clean)
)</f>
        <v>A</v>
      </c>
      <c r="AQ318" s="3">
        <v>319</v>
      </c>
      <c r="AR318" s="3" cm="1">
        <f t="array" ref="AR318">_xlfn.LET(
  _xlpm.raw, LOWER(TRIM('Sales_RAW(BEFORE)'!AP327)),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2</v>
      </c>
      <c r="AS318" s="3"/>
      <c r="AT318" s="3"/>
      <c r="AU318" s="3"/>
      <c r="AV318" s="8">
        <f>IF(IFERROR(VALUE(SUBSTITUTE(SUBSTITUTE(TRIM('Sales_RAW(BEFORE)'!AT327), "%", ""), ",", ".")), 0) &gt; 1, IFERROR(VALUE(SUBSTITUTE(SUBSTITUTE(TRIM('Sales_RAW(BEFORE)'!AT327), "%", ""), ",", ".")), 0) / 100, IFERROR(VALUE(SUBSTITUTE(SUBSTITUTE(TRIM('Sales_RAW(BEFORE)'!AT327), "%", ""), ",", ".")), 0))</f>
        <v>0.3</v>
      </c>
      <c r="AW318" s="6">
        <f>BA318*(_xlfn.XLOOKUP(N318,Employees!$A$2:$A$26,Employees!$E$2:$E$26,2))</f>
        <v>228.28158719999999</v>
      </c>
      <c r="AX318" s="3" t="str">
        <f>PROPER('Sales_RAW(BEFORE)'!AV327)</f>
        <v>David Miller</v>
      </c>
      <c r="AY318" s="3" t="str">
        <f t="shared" si="28"/>
        <v>David Miller</v>
      </c>
      <c r="AZ318" s="3"/>
      <c r="BA318" s="24">
        <f>AK318*(1-(_xlfn.XLOOKUP(G318, Exchange_Rates!$B$8:$F$8, Exchange_Rates!$B$9:$F$9, 0)+J318))</f>
        <v>7609.3862399999998</v>
      </c>
      <c r="BB318" s="7" cm="1">
        <f t="array" ref="BB318">_xlfn.LET(
  _xlpm.raw_dt, SUBSTITUTE(TRIM(C318), ".", "/"),
  _xlpm.dt, IFERROR(DATEVALUE(_xlpm.raw_dt), C318),
  _xlpm.p_code, TRIM(E318),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46980</v>
      </c>
      <c r="BC318" s="25">
        <f t="shared" si="29"/>
        <v>2282.8158719999997</v>
      </c>
    </row>
    <row r="319" spans="1:55" ht="15.75" thickBot="1" x14ac:dyDescent="0.3">
      <c r="A319" s="3" t="s">
        <v>5036</v>
      </c>
      <c r="B319" s="10">
        <v>45804</v>
      </c>
      <c r="C319" s="4">
        <v>45808</v>
      </c>
      <c r="D319" s="3" t="str">
        <f>"P-" &amp; TEXT(VALUE(SUBSTITUTE(SUBSTITUTE(SUBSTITUTE(UPPER(TRIM('Sales_RAW(BEFORE)'!D328)), "P", ""), "-", ""), "_", "")),"000")</f>
        <v>P-001</v>
      </c>
      <c r="E319" s="3" t="str">
        <f>VLOOKUP(D319,Product_List!$A$2:$B$61,2,FALSE)</f>
        <v>Desk X 1</v>
      </c>
      <c r="F319" s="3" t="str">
        <f>_xlfn.XLOOKUP(E319,Product_List!$B$2:$B$61,Product_List!$E$2:$E$61,2)</f>
        <v>Global Distrib</v>
      </c>
      <c r="G319" s="3" t="str">
        <f>VLOOKUP(E319,Product_List!$B$2:$C$61,2,FALSE)</f>
        <v>Software</v>
      </c>
      <c r="H319" s="3" t="str">
        <f>SUBSTITUTE(SUBSTITUTE('Sales_RAW(BEFORE)'!G328,"kom",""),".","")</f>
        <v>12</v>
      </c>
      <c r="I319" s="6">
        <f>VLOOKUP(E319,Product_List!$B$2:$D$61,3,FALSE)</f>
        <v>978.15</v>
      </c>
      <c r="J319" s="5">
        <f>IF(IFERROR(VALUE(SUBSTITUTE(SUBSTITUTE(TRIM('Sales_RAW(BEFORE)'!I328), "%", ""), ",", ".")), 0) &gt; 1, IFERROR(VALUE(SUBSTITUTE(SUBSTITUTE(TRIM('Sales_RAW(BEFORE)'!I328), "%", ""), ",", ".")), 0) / 100, IFERROR(VALUE(SUBSTITUTE(SUBSTITUTE(TRIM('Sales_RAW(BEFORE)'!I328), "%", ""), ",", ".")), 0))</f>
        <v>0.05</v>
      </c>
      <c r="K319" s="6">
        <f t="shared" si="25"/>
        <v>11737.8</v>
      </c>
      <c r="L319" s="6" t="str" cm="1">
        <f t="array" ref="L319">_xlfn.LET(
  _xlpm.valuta, UPPER(TRIM('Sales_RAW(BEFORE)'!K328)),
  _xlfn.IFS(
    _xlpm.valuta = "", "",
    OR(_xlpm.valuta = "USD", _xlpm.valuta = "$"), "$",
    OR(_xlpm.valuta = "EUR", _xlpm.valuta = "€"), "€",
    TRUE, _xlpm.valuta
  )
)</f>
        <v>$</v>
      </c>
      <c r="M319" s="3" t="str">
        <f>"E" &amp; TEXT(VALUE(SUBSTITUTE(SUBSTITUTE(SUBSTITUTE(UPPER(TRIM('Sales_RAW(BEFORE)'!L328)), "EMP", ""), "E", ""), "-", "")),"000")</f>
        <v>E022</v>
      </c>
      <c r="N319" s="3" t="str">
        <f>_xlfn.XLOOKUP(M319,Employees!$D$2:$D$26,Employees!$A$2:$A$26)</f>
        <v>Chris Williams</v>
      </c>
      <c r="O319" s="3" t="str">
        <f>_xlfn.XLOOKUP(N319,Employees!$A$2:$A$26,Employees!$C$2:$C$26,2)</f>
        <v>Sales</v>
      </c>
      <c r="P319" s="3" t="str">
        <f>PROPER('Sales_RAW(BEFORE)'!N328)</f>
        <v>North</v>
      </c>
      <c r="Q319" s="3" t="str">
        <f>VLOOKUP(N319,Employees!$A$2:$B$26,2,FALSE)</f>
        <v>Boston</v>
      </c>
      <c r="R319" s="3" t="str">
        <f>PROPER('Sales_RAW(BEFORE)'!P328)</f>
        <v>Wayne Inc</v>
      </c>
      <c r="S319" s="3" t="str">
        <f>SUBSTITUTE(SUBSTITUTE('Sales_RAW(BEFORE)'!Q328,"EIN",""),":","")</f>
        <v xml:space="preserve"> 686301428</v>
      </c>
      <c r="T319" s="3" t="s">
        <v>66</v>
      </c>
      <c r="U319" s="3" t="s">
        <v>5043</v>
      </c>
      <c r="V319" s="3" t="s">
        <v>5044</v>
      </c>
      <c r="W319" s="3" t="s">
        <v>5045</v>
      </c>
      <c r="X319" s="3" t="s">
        <v>173</v>
      </c>
      <c r="Y319" s="3" t="str">
        <f>PROPER('Sales_RAW(BEFORE)'!W328)</f>
        <v>Wire Transfer</v>
      </c>
      <c r="Z319" s="3" t="str">
        <f>PROPER('Sales_RAW(BEFORE)'!X328)</f>
        <v>Pending</v>
      </c>
      <c r="AA319" s="3" t="str" cm="1">
        <f t="array" ref="AA319">_xlfn.LET(
  _xlpm.val, TRIM(LOWER('Sales_RAW(BEFORE)'!Y328)),
  _xlfn.IFS(
    OR(_xlpm.val="yes", _xlpm.val="paid"), "Paid",
    OR(_xlpm.val="no", _xlpm.val="unpaid"), "Unpaid",
    OR(_xlpm.val="partial", _xlpm.val="partial paid"), "Partial",
    _xlpm.val="", "",
    TRUE, 'Sales_RAW(BEFORE)'!AY328
  )
)</f>
        <v>Paid</v>
      </c>
      <c r="AB319" s="3" t="s">
        <v>5046</v>
      </c>
      <c r="AC319" s="3" t="str">
        <f>PROPER('Sales_RAW(BEFORE)'!AA328)</f>
        <v>Online</v>
      </c>
      <c r="AD319" s="3" t="str">
        <f>SUBSTITUTE(SUBSTITUTE(SUBSTITUTE(SUBSTITUTE('Sales_RAW(BEFORE)'!AB328,"st",""),"q",""),"Q",""),"uarter","")</f>
        <v>2</v>
      </c>
      <c r="AE319" s="3" t="str">
        <f>TEXT(IFERROR(DATEVALUE('Sales_RAW(BEFORE)'!AC328 &amp; " 1"), IFERROR(DATE(2025, 'Sales_RAW(BEFORE)'!AC328, 1), 'Sales_RAW(BEFORE)'!AC328)), "mmmm")</f>
        <v>May</v>
      </c>
      <c r="AF319" s="3">
        <f>_xlfn.LET(
  _xlpm.raw, TRIM(SUBSTITUTE('Sales_RAW(BEFORE)'!AD328, "'", "")),
  _xlpm.num, IFERROR(VALUE(_xlpm.raw), 0),
  IF(_xlpm.num &lt; 100, 2000 + _xlpm.num, _xlpm.num)
)</f>
        <v>2025</v>
      </c>
      <c r="AG319" s="3" t="str">
        <f>PROPER('Sales_RAW(BEFORE)'!AE328)</f>
        <v>Immediate</v>
      </c>
      <c r="AH319" s="3" cm="1">
        <f t="array" ref="AH319">_xlfn.LET(
  _xlpm.val, LOWER(TRIM('Sales_RAW(BEFORE)'!AF328)),
  _xlfn.IFS(
    OR(_xlpm.val="", _xlpm.val="null", _xlpm.val="N/A", _xlpm.val="-", _xlpm.val="#N/A"), 0,
    ISNUMBER('Sales_RAW(BEFORE)'!AF328), 'Sales_RAW(BEFORE)'!AF328,
    TRUE, IFERROR(_xlfn.NUMBERVALUE(_xlpm.val), 0)
  )
)</f>
        <v>58</v>
      </c>
      <c r="AI319" s="5">
        <f>IF(IFERROR(VALUE(SUBSTITUTE(SUBSTITUTE(TRIM('Sales_RAW(BEFORE)'!AG328), "%", ""), ",", ".")), 0) &gt; 1, IFERROR(VALUE(SUBSTITUTE(SUBSTITUTE(TRIM('Sales_RAW(BEFORE)'!AG328), "%", ""), ",", ".")), 0) / 100, IFERROR(VALUE(SUBSTITUTE(SUBSTITUTE(TRIM('Sales_RAW(BEFORE)'!AG328), "%", ""), ",", ".")), 0))</f>
        <v>0.08</v>
      </c>
      <c r="AJ319" s="6">
        <f t="shared" si="26"/>
        <v>939.024</v>
      </c>
      <c r="AK319" s="6">
        <f t="shared" si="27"/>
        <v>12676.823999999999</v>
      </c>
      <c r="AL319" s="6">
        <f>IFERROR(VALUE(SUBSTITUTE(SUBSTITUTE(SUBSTITUTE('Sales_RAW(BEFORE)'!AJ328,"$",""),"USD",""),",",".")),0)</f>
        <v>18</v>
      </c>
      <c r="AM319" s="3" t="str">
        <f>SUBSTITUTE(SUBSTITUTE(PROPER('Sales_RAW(BEFORE)'!AK328), "Fed Ex", "FedEx"),"Fedex","FedEx")</f>
        <v>FedEx</v>
      </c>
      <c r="AN319" s="3" t="s">
        <v>5047</v>
      </c>
      <c r="AO319" s="3" t="str">
        <f>SUBSTITUTE('Sales_RAW(BEFORE)'!AM328,"kg","")</f>
        <v xml:space="preserve">21.1 </v>
      </c>
      <c r="AP319" s="3" t="str">
        <f>_xlfn.LET(
  _xlpm.raw, UPPER(TRIM('Sales_RAW(BEFORE)'!AN328)),
  _xlpm.clean, RIGHT(_xlpm.raw, 1),
  IF(OR(_xlpm.raw="", _xlpm.raw="null"), "N/A", _xlpm.clean)
)</f>
        <v>C</v>
      </c>
      <c r="AQ319" s="3">
        <v>468</v>
      </c>
      <c r="AR319" s="3" cm="1">
        <f t="array" ref="AR319">_xlfn.LET(
  _xlpm.raw, LOWER(TRIM('Sales_RAW(BEFORE)'!AP328)),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319" s="3"/>
      <c r="AT319" s="3"/>
      <c r="AU319" s="3"/>
      <c r="AV319" s="8">
        <f>IF(IFERROR(VALUE(SUBSTITUTE(SUBSTITUTE(TRIM('Sales_RAW(BEFORE)'!AT328), "%", ""), ",", ".")), 0) &gt; 1, IFERROR(VALUE(SUBSTITUTE(SUBSTITUTE(TRIM('Sales_RAW(BEFORE)'!AT328), "%", ""), ",", ".")), 0) / 100, IFERROR(VALUE(SUBSTITUTE(SUBSTITUTE(TRIM('Sales_RAW(BEFORE)'!AT328), "%", ""), ",", ".")), 0))</f>
        <v>0.18</v>
      </c>
      <c r="AW319" s="6">
        <f>BA319*(_xlfn.XLOOKUP(N319,Employees!$A$2:$A$26,Employees!$E$2:$E$26,2))</f>
        <v>304.24377599999997</v>
      </c>
      <c r="AX319" s="3" t="str">
        <f>PROPER('Sales_RAW(BEFORE)'!AV328)</f>
        <v>Daniel Smith</v>
      </c>
      <c r="AY319" s="3" t="str">
        <f t="shared" si="28"/>
        <v>Daniel Smith</v>
      </c>
      <c r="AZ319" s="3"/>
      <c r="BA319" s="24">
        <f>AK319*(1-(_xlfn.XLOOKUP(G319, Exchange_Rates!$B$8:$F$8, Exchange_Rates!$B$9:$F$9, 0)+J319))</f>
        <v>10141.459199999999</v>
      </c>
      <c r="BB319" s="7" cm="1">
        <f t="array" ref="BB319">_xlfn.LET(
  _xlpm.raw_dt, SUBSTITUTE(TRIM(C319), ".", "/"),
  _xlpm.dt, IFERROR(DATEVALUE(_xlpm.raw_dt), C319),
  _xlpm.p_code, TRIM(E319),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46538</v>
      </c>
      <c r="BC319" s="25">
        <f t="shared" si="29"/>
        <v>1825.4626559999999</v>
      </c>
    </row>
    <row r="320" spans="1:55" ht="15.75" thickBot="1" x14ac:dyDescent="0.3">
      <c r="A320" s="3" t="s">
        <v>4118</v>
      </c>
      <c r="B320" s="10">
        <f>DATE(2025,12,2)</f>
        <v>45993</v>
      </c>
      <c r="C320" s="4">
        <v>46003</v>
      </c>
      <c r="D320" s="3" t="str">
        <f>"P-" &amp; TEXT(VALUE(SUBSTITUTE(SUBSTITUTE(SUBSTITUTE(UPPER(TRIM('Sales_RAW(BEFORE)'!D329)), "P", ""), "-", ""), "_", "")),"000")</f>
        <v>P-004</v>
      </c>
      <c r="E320" s="3" t="str">
        <f>VLOOKUP(D320,Product_List!$A$2:$B$61,2,FALSE)</f>
        <v>Printer Plus 4</v>
      </c>
      <c r="F320" s="3" t="str">
        <f>_xlfn.XLOOKUP(E320,Product_List!$B$2:$B$61,Product_List!$E$2:$E$61,2)</f>
        <v>OfficeHub</v>
      </c>
      <c r="G320" s="3" t="str">
        <f>VLOOKUP(E320,Product_List!$B$2:$C$61,2,FALSE)</f>
        <v>Electronics</v>
      </c>
      <c r="H320" s="3" t="str">
        <f>SUBSTITUTE(SUBSTITUTE('Sales_RAW(BEFORE)'!G329,"kom",""),".","")</f>
        <v xml:space="preserve">24 </v>
      </c>
      <c r="I320" s="6">
        <f>VLOOKUP(E320,Product_List!$B$2:$D$61,3,FALSE)</f>
        <v>364.79</v>
      </c>
      <c r="J320" s="5">
        <f>IF(IFERROR(VALUE(SUBSTITUTE(SUBSTITUTE(TRIM('Sales_RAW(BEFORE)'!I329), "%", ""), ",", ".")), 0) &gt; 1, IFERROR(VALUE(SUBSTITUTE(SUBSTITUTE(TRIM('Sales_RAW(BEFORE)'!I329), "%", ""), ",", ".")), 0) / 100, IFERROR(VALUE(SUBSTITUTE(SUBSTITUTE(TRIM('Sales_RAW(BEFORE)'!I329), "%", ""), ",", ".")), 0))</f>
        <v>0.05</v>
      </c>
      <c r="K320" s="6">
        <f t="shared" si="25"/>
        <v>8754.9600000000009</v>
      </c>
      <c r="L320" s="6" t="str" cm="1">
        <f t="array" ref="L320">_xlfn.LET(
  _xlpm.valuta, UPPER(TRIM('Sales_RAW(BEFORE)'!K329)),
  _xlfn.IFS(
    _xlpm.valuta = "", "",
    OR(_xlpm.valuta = "USD", _xlpm.valuta = "$"), "$",
    OR(_xlpm.valuta = "EUR", _xlpm.valuta = "€"), "€",
    TRUE, _xlpm.valuta
  )
)</f>
        <v>$</v>
      </c>
      <c r="M320" s="3" t="str">
        <f>"E" &amp; TEXT(VALUE(SUBSTITUTE(SUBSTITUTE(SUBSTITUTE(UPPER(TRIM('Sales_RAW(BEFORE)'!L329)), "EMP", ""), "E", ""), "-", "")),"000")</f>
        <v>E017</v>
      </c>
      <c r="N320" s="3" t="str">
        <f>_xlfn.XLOOKUP(M320,Employees!$D$2:$D$26,Employees!$A$2:$A$26)</f>
        <v>Robert Davis</v>
      </c>
      <c r="O320" s="3" t="str">
        <f>_xlfn.XLOOKUP(N320,Employees!$A$2:$A$26,Employees!$C$2:$C$26,2)</f>
        <v>Wholesale</v>
      </c>
      <c r="P320" s="3" t="str">
        <f>PROPER('Sales_RAW(BEFORE)'!N329)</f>
        <v>North</v>
      </c>
      <c r="Q320" s="3" t="str">
        <f>VLOOKUP(N320,Employees!$A$2:$B$26,2,FALSE)</f>
        <v>Miami</v>
      </c>
      <c r="R320" s="3" t="str">
        <f>PROPER('Sales_RAW(BEFORE)'!P329)</f>
        <v xml:space="preserve">  Initech Llc</v>
      </c>
      <c r="S320" s="3" t="str">
        <f>SUBSTITUTE(SUBSTITUTE('Sales_RAW(BEFORE)'!Q329,"EIN",""),":","")</f>
        <v>673589146</v>
      </c>
      <c r="T320" s="3" t="s">
        <v>66</v>
      </c>
      <c r="U320" s="3" t="s">
        <v>4125</v>
      </c>
      <c r="V320" s="3" t="s">
        <v>4126</v>
      </c>
      <c r="W320" s="3" t="s">
        <v>4127</v>
      </c>
      <c r="X320" s="3" t="s">
        <v>173</v>
      </c>
      <c r="Y320" s="3" t="str">
        <f>PROPER('Sales_RAW(BEFORE)'!W329)</f>
        <v>Wire Transfer</v>
      </c>
      <c r="Z320" s="3" t="str">
        <f>PROPER('Sales_RAW(BEFORE)'!X329)</f>
        <v>Cancelled</v>
      </c>
      <c r="AA320" s="3" t="str" cm="1">
        <f t="array" ref="AA320">_xlfn.LET(
  _xlpm.val, TRIM(LOWER('Sales_RAW(BEFORE)'!Y329)),
  _xlfn.IFS(
    OR(_xlpm.val="yes", _xlpm.val="paid"), "Paid",
    OR(_xlpm.val="no", _xlpm.val="unpaid"), "Unpaid",
    OR(_xlpm.val="partial", _xlpm.val="partial paid"), "Partial",
    _xlpm.val="", "",
    TRUE, 'Sales_RAW(BEFORE)'!AY329
  )
)</f>
        <v>Partial</v>
      </c>
      <c r="AB320" s="3" t="s">
        <v>4128</v>
      </c>
      <c r="AC320" s="3" t="str">
        <f>PROPER('Sales_RAW(BEFORE)'!AA329)</f>
        <v>Web</v>
      </c>
      <c r="AD320" s="3" t="str">
        <f>SUBSTITUTE(SUBSTITUTE(SUBSTITUTE(SUBSTITUTE('Sales_RAW(BEFORE)'!AB329,"st",""),"q",""),"Q",""),"uarter","")</f>
        <v>4</v>
      </c>
      <c r="AE320" s="3" t="str">
        <f>TEXT(IFERROR(DATEVALUE('Sales_RAW(BEFORE)'!AC329 &amp; " 1"), IFERROR(DATE(2025, 'Sales_RAW(BEFORE)'!AC329, 1), 'Sales_RAW(BEFORE)'!AC329)), "mmmm")</f>
        <v>December</v>
      </c>
      <c r="AF320" s="3">
        <f>_xlfn.LET(
  _xlpm.raw, TRIM(SUBSTITUTE('Sales_RAW(BEFORE)'!AD329, "'", "")),
  _xlpm.num, IFERROR(VALUE(_xlpm.raw), 0),
  IF(_xlpm.num &lt; 100, 2000 + _xlpm.num, _xlpm.num)
)</f>
        <v>2025</v>
      </c>
      <c r="AG320" s="3" t="str">
        <f>PROPER('Sales_RAW(BEFORE)'!AE329)</f>
        <v>Net 60</v>
      </c>
      <c r="AH320" s="3" cm="1">
        <f t="array" ref="AH320">_xlfn.LET(
  _xlpm.val, LOWER(TRIM('Sales_RAW(BEFORE)'!AF329)),
  _xlfn.IFS(
    OR(_xlpm.val="", _xlpm.val="null", _xlpm.val="N/A", _xlpm.val="-", _xlpm.val="#N/A"), 0,
    ISNUMBER('Sales_RAW(BEFORE)'!AF329), 'Sales_RAW(BEFORE)'!AF329,
    TRUE, IFERROR(_xlfn.NUMBERVALUE(_xlpm.val), 0)
  )
)</f>
        <v>34</v>
      </c>
      <c r="AI320" s="5">
        <f>IF(IFERROR(VALUE(SUBSTITUTE(SUBSTITUTE(TRIM('Sales_RAW(BEFORE)'!AG329), "%", ""), ",", ".")), 0) &gt; 1, IFERROR(VALUE(SUBSTITUTE(SUBSTITUTE(TRIM('Sales_RAW(BEFORE)'!AG329), "%", ""), ",", ".")), 0) / 100, IFERROR(VALUE(SUBSTITUTE(SUBSTITUTE(TRIM('Sales_RAW(BEFORE)'!AG329), "%", ""), ",", ".")), 0))</f>
        <v>0.08</v>
      </c>
      <c r="AJ320" s="6">
        <f t="shared" si="26"/>
        <v>700.3968000000001</v>
      </c>
      <c r="AK320" s="6">
        <f t="shared" si="27"/>
        <v>9455.3568000000014</v>
      </c>
      <c r="AL320" s="6">
        <f>IFERROR(VALUE(SUBSTITUTE(SUBSTITUTE(SUBSTITUTE('Sales_RAW(BEFORE)'!AJ329,"$",""),"USD",""),",",".")),0)</f>
        <v>0</v>
      </c>
      <c r="AM320" s="3" t="str">
        <f>SUBSTITUTE(SUBSTITUTE(PROPER('Sales_RAW(BEFORE)'!AK329), "Fed Ex", "FedEx"),"Fedex","FedEx")</f>
        <v>Dhl</v>
      </c>
      <c r="AN320" s="3" t="s">
        <v>4129</v>
      </c>
      <c r="AO320" s="3" t="str">
        <f>SUBSTITUTE('Sales_RAW(BEFORE)'!AM329,"kg","")</f>
        <v>7.38</v>
      </c>
      <c r="AP320" s="3" t="str">
        <f>_xlfn.LET(
  _xlpm.raw, UPPER(TRIM('Sales_RAW(BEFORE)'!AN329)),
  _xlpm.clean, RIGHT(_xlpm.raw, 1),
  IF(OR(_xlpm.raw="", _xlpm.raw="null"), "N/A", _xlpm.clean)
)</f>
        <v>B</v>
      </c>
      <c r="AQ320" s="3">
        <v>419</v>
      </c>
      <c r="AR320" s="3" cm="1">
        <f t="array" ref="AR320">_xlfn.LET(
  _xlpm.raw, LOWER(TRIM('Sales_RAW(BEFORE)'!AP329)),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320" s="3"/>
      <c r="AT320" s="3"/>
      <c r="AU320" s="3"/>
      <c r="AV320" s="8">
        <f>IF(IFERROR(VALUE(SUBSTITUTE(SUBSTITUTE(TRIM('Sales_RAW(BEFORE)'!AT329), "%", ""), ",", ".")), 0) &gt; 1, IFERROR(VALUE(SUBSTITUTE(SUBSTITUTE(TRIM('Sales_RAW(BEFORE)'!AT329), "%", ""), ",", ".")), 0) / 100, IFERROR(VALUE(SUBSTITUTE(SUBSTITUTE(TRIM('Sales_RAW(BEFORE)'!AT329), "%", ""), ",", ".")), 0))</f>
        <v>0.18</v>
      </c>
      <c r="AW320" s="6">
        <f>BA320*(_xlfn.XLOOKUP(N320,Employees!$A$2:$A$26,Employees!$E$2:$E$26,2))</f>
        <v>241.11159840000002</v>
      </c>
      <c r="AX320" s="3" t="str">
        <f>PROPER('Sales_RAW(BEFORE)'!AV329)</f>
        <v xml:space="preserve">Daniel Smith  </v>
      </c>
      <c r="AY320" s="3" t="str">
        <f t="shared" si="28"/>
        <v xml:space="preserve">Daniel Smith  </v>
      </c>
      <c r="AZ320" s="3"/>
      <c r="BA320" s="24">
        <f>AK320*(1-(_xlfn.XLOOKUP(G320, Exchange_Rates!$B$8:$F$8, Exchange_Rates!$B$9:$F$9, 0)+J320))</f>
        <v>8037.053280000001</v>
      </c>
      <c r="BB320" s="7" cm="1">
        <f t="array" ref="BB320">_xlfn.LET(
  _xlpm.raw_dt, SUBSTITUTE(TRIM(C320), ".", "/"),
  _xlpm.dt, IFERROR(DATEVALUE(_xlpm.raw_dt), C320),
  _xlpm.p_code, TRIM(E320),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46733</v>
      </c>
      <c r="BC320" s="25">
        <f t="shared" si="29"/>
        <v>1446.6695904000001</v>
      </c>
    </row>
    <row r="321" spans="1:55" ht="15.75" thickBot="1" x14ac:dyDescent="0.3">
      <c r="A321" s="3" t="s">
        <v>5049</v>
      </c>
      <c r="B321" s="10">
        <v>45692</v>
      </c>
      <c r="C321" s="4">
        <v>45810</v>
      </c>
      <c r="D321" s="3" t="str">
        <f>"P-" &amp; TEXT(VALUE(SUBSTITUTE(SUBSTITUTE(SUBSTITUTE(UPPER(TRIM('Sales_RAW(BEFORE)'!D331)), "P", ""), "-", ""), "_", "")),"000")</f>
        <v>P-022</v>
      </c>
      <c r="E321" s="3" t="str">
        <f>VLOOKUP(D321,Product_List!$A$2:$B$61,2,FALSE)</f>
        <v>Desk Basic 22</v>
      </c>
      <c r="F321" s="3" t="str">
        <f>_xlfn.XLOOKUP(E321,Product_List!$B$2:$B$61,Product_List!$E$2:$E$61,2)</f>
        <v>BestParts</v>
      </c>
      <c r="G321" s="3" t="str">
        <f>VLOOKUP(E321,Product_List!$B$2:$C$61,2,FALSE)</f>
        <v>Furniture</v>
      </c>
      <c r="H321" s="3" t="str">
        <f>SUBSTITUTE(SUBSTITUTE('Sales_RAW(BEFORE)'!G331,"kom",""),".","")</f>
        <v>33</v>
      </c>
      <c r="I321" s="6">
        <f>VLOOKUP(E321,Product_List!$B$2:$D$61,3,FALSE)</f>
        <v>893.58</v>
      </c>
      <c r="J321" s="5">
        <f>IF(IFERROR(VALUE(SUBSTITUTE(SUBSTITUTE(TRIM('Sales_RAW(BEFORE)'!I330), "%", ""), ",", ".")), 0) &gt; 1, IFERROR(VALUE(SUBSTITUTE(SUBSTITUTE(TRIM('Sales_RAW(BEFORE)'!I330), "%", ""), ",", ".")), 0) / 100, IFERROR(VALUE(SUBSTITUTE(SUBSTITUTE(TRIM('Sales_RAW(BEFORE)'!I330), "%", ""), ",", ".")), 0))</f>
        <v>0</v>
      </c>
      <c r="K321" s="6">
        <f t="shared" si="25"/>
        <v>29488.140000000003</v>
      </c>
      <c r="L321" s="6" t="str" cm="1">
        <f t="array" ref="L321">_xlfn.LET(
  _xlpm.valuta, UPPER(TRIM('Sales_RAW(BEFORE)'!K331)),
  _xlfn.IFS(
    _xlpm.valuta = "", "",
    OR(_xlpm.valuta = "USD", _xlpm.valuta = "$"), "$",
    OR(_xlpm.valuta = "EUR", _xlpm.valuta = "€"), "€",
    TRUE, _xlpm.valuta
  )
)</f>
        <v>$</v>
      </c>
      <c r="M321" s="3" t="str">
        <f>"E" &amp; TEXT(VALUE(SUBSTITUTE(SUBSTITUTE(SUBSTITUTE(UPPER(TRIM('Sales_RAW(BEFORE)'!L331)), "EMP", ""), "E", ""), "-", "")),"000")</f>
        <v>E009</v>
      </c>
      <c r="N321" s="3" t="str">
        <f>_xlfn.XLOOKUP(M321,Employees!$D$2:$D$26,Employees!$A$2:$A$26)</f>
        <v>Olivia Wilson</v>
      </c>
      <c r="O321" s="3" t="str">
        <f>_xlfn.XLOOKUP(N321,Employees!$A$2:$A$26,Employees!$C$2:$C$26,2)</f>
        <v>Wholesale</v>
      </c>
      <c r="P321" s="3" t="str">
        <f>PROPER('Sales_RAW(BEFORE)'!N331)</f>
        <v>North</v>
      </c>
      <c r="Q321" s="3" t="str">
        <f>VLOOKUP(N321,Employees!$A$2:$B$26,2,FALSE)</f>
        <v>Miami</v>
      </c>
      <c r="R321" s="3" t="str">
        <f>PROPER('Sales_RAW(BEFORE)'!P331)</f>
        <v xml:space="preserve">Wayne Inc   </v>
      </c>
      <c r="S321" s="3" t="str">
        <f>SUBSTITUTE(SUBSTITUTE('Sales_RAW(BEFORE)'!Q331,"EIN",""),":","")</f>
        <v xml:space="preserve"> 616089352</v>
      </c>
      <c r="T321" s="3" t="s">
        <v>2253</v>
      </c>
      <c r="U321" s="3" t="s">
        <v>5054</v>
      </c>
      <c r="V321" s="3" t="s">
        <v>5055</v>
      </c>
      <c r="W321" s="3" t="s">
        <v>5056</v>
      </c>
      <c r="X321" s="3" t="s">
        <v>173</v>
      </c>
      <c r="Y321" s="3" t="str">
        <f>PROPER('Sales_RAW(BEFORE)'!W331)</f>
        <v>Credit Card</v>
      </c>
      <c r="Z321" s="3" t="str">
        <f>PROPER('Sales_RAW(BEFORE)'!X331)</f>
        <v>Delivered</v>
      </c>
      <c r="AA321" s="3" t="str" cm="1">
        <f t="array" ref="AA321">_xlfn.LET(
  _xlpm.val, TRIM(LOWER('Sales_RAW(BEFORE)'!Y331)),
  _xlfn.IFS(
    OR(_xlpm.val="yes", _xlpm.val="paid"), "Paid",
    OR(_xlpm.val="no", _xlpm.val="unpaid"), "Unpaid",
    OR(_xlpm.val="partial", _xlpm.val="partial paid"), "Partial",
    _xlpm.val="", "",
    TRUE, 'Sales_RAW(BEFORE)'!AY331
  )
)</f>
        <v>Paid</v>
      </c>
      <c r="AB321" s="3" t="s">
        <v>5057</v>
      </c>
      <c r="AC321" s="3" t="str">
        <f>PROPER('Sales_RAW(BEFORE)'!AA331)</f>
        <v>Phone</v>
      </c>
      <c r="AD321" s="3" t="str">
        <f>SUBSTITUTE(SUBSTITUTE(SUBSTITUTE(SUBSTITUTE('Sales_RAW(BEFORE)'!AB331,"st",""),"q",""),"Q",""),"uarter","")</f>
        <v xml:space="preserve">1 </v>
      </c>
      <c r="AE321" s="3" t="str">
        <f>TEXT(IFERROR(DATEVALUE('Sales_RAW(BEFORE)'!AC331 &amp; " 1"), IFERROR(DATE(2025, 'Sales_RAW(BEFORE)'!AC331, 1), 'Sales_RAW(BEFORE)'!AC331)), "mmmm")</f>
        <v>February</v>
      </c>
      <c r="AF321" s="3">
        <f>_xlfn.LET(
  _xlpm.raw, TRIM(SUBSTITUTE('Sales_RAW(BEFORE)'!AD331, "'", "")),
  _xlpm.num, IFERROR(VALUE(_xlpm.raw), 0),
  IF(_xlpm.num &lt; 100, 2000 + _xlpm.num, _xlpm.num)
)</f>
        <v>2025</v>
      </c>
      <c r="AG321" s="3" t="str">
        <f>PROPER('Sales_RAW(BEFORE)'!AE331)</f>
        <v>Net 30</v>
      </c>
      <c r="AH321" s="3" cm="1">
        <f t="array" ref="AH321">_xlfn.LET(
  _xlpm.val, LOWER(TRIM('Sales_RAW(BEFORE)'!AF331)),
  _xlfn.IFS(
    OR(_xlpm.val="", _xlpm.val="null", _xlpm.val="N/A", _xlpm.val="-", _xlpm.val="#N/A"), 0,
    ISNUMBER('Sales_RAW(BEFORE)'!AF331), 'Sales_RAW(BEFORE)'!AF331,
    TRUE, IFERROR(_xlfn.NUMBERVALUE(_xlpm.val), 0)
  )
)</f>
        <v>65</v>
      </c>
      <c r="AI321" s="5">
        <f>IF(IFERROR(VALUE(SUBSTITUTE(SUBSTITUTE(TRIM('Sales_RAW(BEFORE)'!AG331), "%", ""), ",", ".")), 0) &gt; 1, IFERROR(VALUE(SUBSTITUTE(SUBSTITUTE(TRIM('Sales_RAW(BEFORE)'!AG331), "%", ""), ",", ".")), 0) / 100, IFERROR(VALUE(SUBSTITUTE(SUBSTITUTE(TRIM('Sales_RAW(BEFORE)'!AG331), "%", ""), ",", ".")), 0))</f>
        <v>0.08</v>
      </c>
      <c r="AJ321" s="6">
        <f t="shared" si="26"/>
        <v>2359.0512000000003</v>
      </c>
      <c r="AK321" s="6">
        <f t="shared" si="27"/>
        <v>31847.191200000005</v>
      </c>
      <c r="AL321" s="6">
        <f>IFERROR(VALUE(SUBSTITUTE(SUBSTITUTE(SUBSTITUTE('Sales_RAW(BEFORE)'!AJ331,"$",""),"USD",""),",",".")),0)</f>
        <v>12.7</v>
      </c>
      <c r="AM321" s="3" t="str">
        <f>SUBSTITUTE(SUBSTITUTE(PROPER('Sales_RAW(BEFORE)'!AK331), "Fed Ex", "FedEx"),"Fedex","FedEx")</f>
        <v>Dhl</v>
      </c>
      <c r="AN321" s="3" t="s">
        <v>5059</v>
      </c>
      <c r="AO321" s="3" t="str">
        <f>SUBSTITUTE('Sales_RAW(BEFORE)'!AM331,"kg","")</f>
        <v>26,17</v>
      </c>
      <c r="AP321" s="3" t="str">
        <f>_xlfn.LET(
  _xlpm.raw, UPPER(TRIM('Sales_RAW(BEFORE)'!AN331)),
  _xlpm.clean, RIGHT(_xlpm.raw, 1),
  IF(OR(_xlpm.raw="", _xlpm.raw="null"), "N/A", _xlpm.clean)
)</f>
        <v>A</v>
      </c>
      <c r="AQ321" s="3">
        <v>269</v>
      </c>
      <c r="AR321" s="3" cm="1">
        <f t="array" ref="AR321">_xlfn.LET(
  _xlpm.raw, LOWER(TRIM('Sales_RAW(BEFORE)'!AP331)),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321" s="3"/>
      <c r="AT321" s="3"/>
      <c r="AU321" s="3"/>
      <c r="AV321" s="8">
        <f>IF(IFERROR(VALUE(SUBSTITUTE(SUBSTITUTE(TRIM('Sales_RAW(BEFORE)'!AT331), "%", ""), ",", ".")), 0) &gt; 1, IFERROR(VALUE(SUBSTITUTE(SUBSTITUTE(TRIM('Sales_RAW(BEFORE)'!AT331), "%", ""), ",", ".")), 0) / 100, IFERROR(VALUE(SUBSTITUTE(SUBSTITUTE(TRIM('Sales_RAW(BEFORE)'!AT331), "%", ""), ",", ".")), 0))</f>
        <v>0.25</v>
      </c>
      <c r="AW321" s="6">
        <f>BA321*(_xlfn.XLOOKUP(N321,Employees!$A$2:$A$26,Employees!$E$2:$E$26,2))</f>
        <v>859.87416240000005</v>
      </c>
      <c r="AX321" s="3" t="str">
        <f>PROPER('Sales_RAW(BEFORE)'!AV331)</f>
        <v xml:space="preserve">   Chris Williams</v>
      </c>
      <c r="AY321" s="3" t="str">
        <f t="shared" si="28"/>
        <v xml:space="preserve">   Chris Williams</v>
      </c>
      <c r="AZ321" s="3"/>
      <c r="BA321" s="24">
        <f>AK321*(1-(_xlfn.XLOOKUP(G321, Exchange_Rates!$B$8:$F$8, Exchange_Rates!$B$9:$F$9, 0)+J321))</f>
        <v>28662.472080000003</v>
      </c>
      <c r="BB321" s="7" cm="1">
        <f t="array" ref="BB321">_xlfn.LET(
  _xlpm.raw_dt, SUBSTITUTE(TRIM(C321), ".", "/"),
  _xlpm.dt, IFERROR(DATEVALUE(_xlpm.raw_dt), C321),
  _xlpm.p_code, TRIM(E321),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46175</v>
      </c>
      <c r="BC321" s="25">
        <f t="shared" si="29"/>
        <v>7165.6180200000008</v>
      </c>
    </row>
    <row r="322" spans="1:55" ht="15.75" thickBot="1" x14ac:dyDescent="0.3">
      <c r="A322" s="3" t="s">
        <v>3501</v>
      </c>
      <c r="B322" s="10">
        <v>45746</v>
      </c>
      <c r="C322" s="4">
        <v>45748</v>
      </c>
      <c r="D322" s="3" t="str">
        <f>"P-" &amp; TEXT(VALUE(SUBSTITUTE(SUBSTITUTE(SUBSTITUTE(UPPER(TRIM('Sales_RAW(BEFORE)'!D332)), "P", ""), "-", ""), "_", "")),"000")</f>
        <v>P-041</v>
      </c>
      <c r="E322" s="3" t="str">
        <f>VLOOKUP(D322,Product_List!$A$2:$B$61,2,FALSE)</f>
        <v>Monitor X 41</v>
      </c>
      <c r="F322" s="3" t="str">
        <f>_xlfn.XLOOKUP(E322,Product_List!$B$2:$B$61,Product_List!$E$2:$E$61,2)</f>
        <v>TechSupply Co</v>
      </c>
      <c r="G322" s="3" t="str">
        <f>VLOOKUP(E322,Product_List!$B$2:$C$61,2,FALSE)</f>
        <v>Software</v>
      </c>
      <c r="H322" s="3" t="str">
        <f>SUBSTITUTE(SUBSTITUTE('Sales_RAW(BEFORE)'!G332,"kom",""),".","")</f>
        <v>23</v>
      </c>
      <c r="I322" s="6">
        <f>VLOOKUP(E322,Product_List!$B$2:$D$61,3,FALSE)</f>
        <v>247.64</v>
      </c>
      <c r="J322" s="5">
        <f>IF(IFERROR(VALUE(SUBSTITUTE(SUBSTITUTE(TRIM('Sales_RAW(BEFORE)'!I331), "%", ""), ",", ".")), 0) &gt; 1, IFERROR(VALUE(SUBSTITUTE(SUBSTITUTE(TRIM('Sales_RAW(BEFORE)'!I331), "%", ""), ",", ".")), 0) / 100, IFERROR(VALUE(SUBSTITUTE(SUBSTITUTE(TRIM('Sales_RAW(BEFORE)'!I331), "%", ""), ",", ".")), 0))</f>
        <v>0.1</v>
      </c>
      <c r="K322" s="6">
        <f t="shared" si="25"/>
        <v>5695.7199999999993</v>
      </c>
      <c r="L322" s="6" t="str" cm="1">
        <f t="array" ref="L322">_xlfn.LET(
  _xlpm.valuta, UPPER(TRIM('Sales_RAW(BEFORE)'!K332)),
  _xlfn.IFS(
    _xlpm.valuta = "", "",
    OR(_xlpm.valuta = "USD", _xlpm.valuta = "$"), "$",
    OR(_xlpm.valuta = "EUR", _xlpm.valuta = "€"), "€",
    TRUE, _xlpm.valuta
  )
)</f>
        <v>$</v>
      </c>
      <c r="M322" s="3" t="str">
        <f>"E" &amp; TEXT(VALUE(SUBSTITUTE(SUBSTITUTE(SUBSTITUTE(UPPER(TRIM('Sales_RAW(BEFORE)'!L332)), "EMP", ""), "E", ""), "-", "")),"000")</f>
        <v>E001</v>
      </c>
      <c r="N322" s="3" t="str">
        <f>_xlfn.XLOOKUP(M322,Employees!$D$2:$D$26,Employees!$A$2:$A$26)</f>
        <v>Sarah Wilson</v>
      </c>
      <c r="O322" s="3" t="str">
        <f>_xlfn.XLOOKUP(N322,Employees!$A$2:$A$26,Employees!$C$2:$C$26,2)</f>
        <v>Online</v>
      </c>
      <c r="P322" s="3" t="str">
        <f>PROPER('Sales_RAW(BEFORE)'!N332)</f>
        <v>West</v>
      </c>
      <c r="Q322" s="3" t="str">
        <f>VLOOKUP(N322,Employees!$A$2:$B$26,2,FALSE)</f>
        <v>Los Angeles</v>
      </c>
      <c r="R322" s="3" t="str">
        <f>PROPER('Sales_RAW(BEFORE)'!P332)</f>
        <v>Umbrella Inc</v>
      </c>
      <c r="S322" s="3" t="str">
        <f>SUBSTITUTE(SUBSTITUTE('Sales_RAW(BEFORE)'!Q332,"EIN",""),":","")</f>
        <v xml:space="preserve"> 837262618</v>
      </c>
      <c r="T322" s="3" t="s">
        <v>1722</v>
      </c>
      <c r="U322" s="3" t="s">
        <v>3506</v>
      </c>
      <c r="V322" s="3" t="s">
        <v>3507</v>
      </c>
      <c r="W322" s="3" t="s">
        <v>3508</v>
      </c>
      <c r="X322" s="3" t="s">
        <v>173</v>
      </c>
      <c r="Y322" s="3" t="str">
        <f>PROPER('Sales_RAW(BEFORE)'!W332)</f>
        <v>Credit Card</v>
      </c>
      <c r="Z322" s="3" t="str">
        <f>PROPER('Sales_RAW(BEFORE)'!X332)</f>
        <v>Delivered</v>
      </c>
      <c r="AA322" s="3" t="str" cm="1">
        <f t="array" ref="AA322">_xlfn.LET(
  _xlpm.val, TRIM(LOWER('Sales_RAW(BEFORE)'!Y332)),
  _xlfn.IFS(
    OR(_xlpm.val="yes", _xlpm.val="paid"), "Paid",
    OR(_xlpm.val="no", _xlpm.val="unpaid"), "Unpaid",
    OR(_xlpm.val="partial", _xlpm.val="partial paid"), "Partial",
    _xlpm.val="", "",
    TRUE, 'Sales_RAW(BEFORE)'!AY332
  )
)</f>
        <v>Paid</v>
      </c>
      <c r="AB322" s="3" t="s">
        <v>3509</v>
      </c>
      <c r="AC322" s="3" t="str">
        <f>PROPER('Sales_RAW(BEFORE)'!AA332)</f>
        <v>Online</v>
      </c>
      <c r="AD322" s="3" t="str">
        <f>SUBSTITUTE(SUBSTITUTE(SUBSTITUTE(SUBSTITUTE('Sales_RAW(BEFORE)'!AB332,"st",""),"q",""),"Q",""),"uarter","")</f>
        <v>2</v>
      </c>
      <c r="AE322" s="3" t="str">
        <f>TEXT(IFERROR(DATEVALUE('Sales_RAW(BEFORE)'!AC332 &amp; " 1"), IFERROR(DATE(2025, 'Sales_RAW(BEFORE)'!AC332, 1), 'Sales_RAW(BEFORE)'!AC332)), "mmmm")</f>
        <v>March</v>
      </c>
      <c r="AF322" s="3">
        <f>_xlfn.LET(
  _xlpm.raw, TRIM(SUBSTITUTE('Sales_RAW(BEFORE)'!AD332, "'", "")),
  _xlpm.num, IFERROR(VALUE(_xlpm.raw), 0),
  IF(_xlpm.num &lt; 100, 2000 + _xlpm.num, _xlpm.num)
)</f>
        <v>2025</v>
      </c>
      <c r="AG322" s="3" t="str">
        <f>PROPER('Sales_RAW(BEFORE)'!AE332)</f>
        <v>Net 60</v>
      </c>
      <c r="AH322" s="3" cm="1">
        <f t="array" ref="AH322">_xlfn.LET(
  _xlpm.val, LOWER(TRIM('Sales_RAW(BEFORE)'!AF332)),
  _xlfn.IFS(
    OR(_xlpm.val="", _xlpm.val="null", _xlpm.val="N/A", _xlpm.val="-", _xlpm.val="#N/A"), 0,
    ISNUMBER('Sales_RAW(BEFORE)'!AF332), 'Sales_RAW(BEFORE)'!AF332,
    TRUE, IFERROR(_xlfn.NUMBERVALUE(_xlpm.val), 0)
  )
)</f>
        <v>27</v>
      </c>
      <c r="AI322" s="5">
        <f>IF(IFERROR(VALUE(SUBSTITUTE(SUBSTITUTE(TRIM('Sales_RAW(BEFORE)'!AG332), "%", ""), ",", ".")), 0) &gt; 1, IFERROR(VALUE(SUBSTITUTE(SUBSTITUTE(TRIM('Sales_RAW(BEFORE)'!AG332), "%", ""), ",", ".")), 0) / 100, IFERROR(VALUE(SUBSTITUTE(SUBSTITUTE(TRIM('Sales_RAW(BEFORE)'!AG332), "%", ""), ",", ".")), 0))</f>
        <v>0.08</v>
      </c>
      <c r="AJ322" s="6">
        <f t="shared" si="26"/>
        <v>455.65759999999995</v>
      </c>
      <c r="AK322" s="6">
        <f t="shared" si="27"/>
        <v>6151.3775999999989</v>
      </c>
      <c r="AL322" s="6">
        <f>IFERROR(VALUE(SUBSTITUTE(SUBSTITUTE(SUBSTITUTE('Sales_RAW(BEFORE)'!AJ332,"$",""),"USD",""),",",".")),0)</f>
        <v>3.17</v>
      </c>
      <c r="AM322" s="3" t="str">
        <f>SUBSTITUTE(SUBSTITUTE(PROPER('Sales_RAW(BEFORE)'!AK332), "Fed Ex", "FedEx"),"Fedex","FedEx")</f>
        <v>Ups</v>
      </c>
      <c r="AN322" s="3" t="s">
        <v>3511</v>
      </c>
      <c r="AO322" s="3" t="str">
        <f>SUBSTITUTE('Sales_RAW(BEFORE)'!AM332,"kg","")</f>
        <v xml:space="preserve">25.9 </v>
      </c>
      <c r="AP322" s="3" t="str">
        <f>_xlfn.LET(
  _xlpm.raw, UPPER(TRIM('Sales_RAW(BEFORE)'!AN332)),
  _xlpm.clean, RIGHT(_xlpm.raw, 1),
  IF(OR(_xlpm.raw="", _xlpm.raw="null"), "N/A", _xlpm.clean)
)</f>
        <v>B</v>
      </c>
      <c r="AQ322" s="3">
        <v>485</v>
      </c>
      <c r="AR322" s="3" cm="1">
        <f t="array" ref="AR322">_xlfn.LET(
  _xlpm.raw, LOWER(TRIM('Sales_RAW(BEFORE)'!AP332)),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322" s="3"/>
      <c r="AT322" s="3"/>
      <c r="AU322" s="3"/>
      <c r="AV322" s="8">
        <f>IF(IFERROR(VALUE(SUBSTITUTE(SUBSTITUTE(TRIM('Sales_RAW(BEFORE)'!AT332), "%", ""), ",", ".")), 0) &gt; 1, IFERROR(VALUE(SUBSTITUTE(SUBSTITUTE(TRIM('Sales_RAW(BEFORE)'!AT332), "%", ""), ",", ".")), 0) / 100, IFERROR(VALUE(SUBSTITUTE(SUBSTITUTE(TRIM('Sales_RAW(BEFORE)'!AT332), "%", ""), ",", ".")), 0))</f>
        <v>0.3</v>
      </c>
      <c r="AW322" s="6">
        <f>BA322*(_xlfn.XLOOKUP(N322,Employees!$A$2:$A$26,Employees!$E$2:$E$26,2))</f>
        <v>138.40599599999996</v>
      </c>
      <c r="AX322" s="3" t="str">
        <f>PROPER('Sales_RAW(BEFORE)'!AV332)</f>
        <v xml:space="preserve">Sarah Davis </v>
      </c>
      <c r="AY322" s="3" t="str">
        <f t="shared" si="28"/>
        <v xml:space="preserve">Sarah Davis </v>
      </c>
      <c r="AZ322" s="3"/>
      <c r="BA322" s="24">
        <f>AK322*(1-(_xlfn.XLOOKUP(G322, Exchange_Rates!$B$8:$F$8, Exchange_Rates!$B$9:$F$9, 0)+J322))</f>
        <v>4613.5331999999989</v>
      </c>
      <c r="BB322" s="7" cm="1">
        <f t="array" ref="BB322">_xlfn.LET(
  _xlpm.raw_dt, SUBSTITUTE(TRIM(C322), ".", "/"),
  _xlpm.dt, IFERROR(DATEVALUE(_xlpm.raw_dt), C322),
  _xlpm.p_code, TRIM(E322),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46478</v>
      </c>
      <c r="BC322" s="25">
        <f t="shared" si="29"/>
        <v>1384.0599599999996</v>
      </c>
    </row>
    <row r="323" spans="1:55" ht="15.75" thickBot="1" x14ac:dyDescent="0.3">
      <c r="A323" s="3" t="s">
        <v>4292</v>
      </c>
      <c r="B323" s="10">
        <v>45948</v>
      </c>
      <c r="C323" s="4">
        <v>45957</v>
      </c>
      <c r="D323" s="3" t="str">
        <f>"P-" &amp; TEXT(VALUE(SUBSTITUTE(SUBSTITUTE(SUBSTITUTE(UPPER(TRIM('Sales_RAW(BEFORE)'!D333)), "P", ""), "-", ""), "_", "")),"000")</f>
        <v>P-043</v>
      </c>
      <c r="E323" s="3" t="str">
        <f>VLOOKUP(D323,Product_List!$A$2:$B$61,2,FALSE)</f>
        <v>Headphones X 43</v>
      </c>
      <c r="F323" s="3" t="str">
        <f>_xlfn.XLOOKUP(E323,Product_List!$B$2:$B$61,Product_List!$E$2:$E$61,2)</f>
        <v>Global Distrib</v>
      </c>
      <c r="G323" s="3" t="str">
        <f>VLOOKUP(E323,Product_List!$B$2:$C$61,2,FALSE)</f>
        <v>Equipment</v>
      </c>
      <c r="H323" s="3" t="str">
        <f>SUBSTITUTE(SUBSTITUTE('Sales_RAW(BEFORE)'!G333,"kom",""),".","")</f>
        <v xml:space="preserve">14 </v>
      </c>
      <c r="I323" s="6">
        <f>VLOOKUP(E323,Product_List!$B$2:$D$61,3,FALSE)</f>
        <v>156.69</v>
      </c>
      <c r="J323" s="5">
        <f>IF(IFERROR(VALUE(SUBSTITUTE(SUBSTITUTE(TRIM('Sales_RAW(BEFORE)'!I332), "%", ""), ",", ".")), 0) &gt; 1, IFERROR(VALUE(SUBSTITUTE(SUBSTITUTE(TRIM('Sales_RAW(BEFORE)'!I332), "%", ""), ",", ".")), 0) / 100, IFERROR(VALUE(SUBSTITUTE(SUBSTITUTE(TRIM('Sales_RAW(BEFORE)'!I332), "%", ""), ",", ".")), 0))</f>
        <v>0.1</v>
      </c>
      <c r="K323" s="6">
        <f t="shared" si="25"/>
        <v>2193.66</v>
      </c>
      <c r="L323" s="6" t="str" cm="1">
        <f t="array" ref="L323">_xlfn.LET(
  _xlpm.valuta, UPPER(TRIM('Sales_RAW(BEFORE)'!K333)),
  _xlfn.IFS(
    _xlpm.valuta = "", "",
    OR(_xlpm.valuta = "USD", _xlpm.valuta = "$"), "$",
    OR(_xlpm.valuta = "EUR", _xlpm.valuta = "€"), "€",
    TRUE, _xlpm.valuta
  )
)</f>
        <v>$</v>
      </c>
      <c r="M323" s="3" t="str">
        <f>"E" &amp; TEXT(VALUE(SUBSTITUTE(SUBSTITUTE(SUBSTITUTE(UPPER(TRIM('Sales_RAW(BEFORE)'!L333)), "EMP", ""), "E", ""), "-", "")),"000")</f>
        <v>E014</v>
      </c>
      <c r="N323" s="3" t="str">
        <f>_xlfn.XLOOKUP(M323,Employees!$D$2:$D$26,Employees!$A$2:$A$26)</f>
        <v>Sophia Brown</v>
      </c>
      <c r="O323" s="3" t="str">
        <f>_xlfn.XLOOKUP(N323,Employees!$A$2:$A$26,Employees!$C$2:$C$26,2)</f>
        <v>Online</v>
      </c>
      <c r="P323" s="3" t="str">
        <f>PROPER('Sales_RAW(BEFORE)'!N333)</f>
        <v>South</v>
      </c>
      <c r="Q323" s="3" t="str">
        <f>VLOOKUP(N323,Employees!$A$2:$B$26,2,FALSE)</f>
        <v>New York</v>
      </c>
      <c r="R323" s="3" t="str">
        <f>PROPER('Sales_RAW(BEFORE)'!P333)</f>
        <v>Globex Ltd.</v>
      </c>
      <c r="S323" s="3" t="str">
        <f>SUBSTITUTE(SUBSTITUTE('Sales_RAW(BEFORE)'!Q333,"EIN",""),":","")</f>
        <v>434573960</v>
      </c>
      <c r="T323" s="3" t="s">
        <v>564</v>
      </c>
      <c r="U323" s="3" t="s">
        <v>4298</v>
      </c>
      <c r="V323" s="3" t="s">
        <v>4299</v>
      </c>
      <c r="W323" s="3" t="s">
        <v>4300</v>
      </c>
      <c r="X323" s="3" t="s">
        <v>173</v>
      </c>
      <c r="Y323" s="3" t="str">
        <f>PROPER('Sales_RAW(BEFORE)'!W333)</f>
        <v>Cash</v>
      </c>
      <c r="Z323" s="3" t="str">
        <f>PROPER('Sales_RAW(BEFORE)'!X333)</f>
        <v>Cancelled</v>
      </c>
      <c r="AA323" s="3" t="str" cm="1">
        <f t="array" ref="AA323">_xlfn.LET(
  _xlpm.val, TRIM(LOWER('Sales_RAW(BEFORE)'!Y333)),
  _xlfn.IFS(
    OR(_xlpm.val="yes", _xlpm.val="paid"), "Paid",
    OR(_xlpm.val="no", _xlpm.val="unpaid"), "Unpaid",
    OR(_xlpm.val="partial", _xlpm.val="partial paid"), "Partial",
    _xlpm.val="", "",
    TRUE, 'Sales_RAW(BEFORE)'!AY333
  )
)</f>
        <v>Paid</v>
      </c>
      <c r="AB323" s="3" t="s">
        <v>4301</v>
      </c>
      <c r="AC323" s="3" t="str">
        <f>PROPER('Sales_RAW(BEFORE)'!AA333)</f>
        <v>Store</v>
      </c>
      <c r="AD323" s="3" t="str">
        <f>SUBSTITUTE(SUBSTITUTE(SUBSTITUTE(SUBSTITUTE('Sales_RAW(BEFORE)'!AB333,"st",""),"q",""),"Q",""),"uarter","")</f>
        <v>4</v>
      </c>
      <c r="AE323" s="3" t="str">
        <f>TEXT(IFERROR(DATEVALUE('Sales_RAW(BEFORE)'!AC333 &amp; " 1"), IFERROR(DATE(2025, 'Sales_RAW(BEFORE)'!AC333, 1), 'Sales_RAW(BEFORE)'!AC333)), "mmmm")</f>
        <v>October</v>
      </c>
      <c r="AF323" s="3">
        <f>_xlfn.LET(
  _xlpm.raw, TRIM(SUBSTITUTE('Sales_RAW(BEFORE)'!AD333, "'", "")),
  _xlpm.num, IFERROR(VALUE(_xlpm.raw), 0),
  IF(_xlpm.num &lt; 100, 2000 + _xlpm.num, _xlpm.num)
)</f>
        <v>2025</v>
      </c>
      <c r="AG323" s="3" t="str">
        <f>PROPER('Sales_RAW(BEFORE)'!AE333)</f>
        <v>Net 60</v>
      </c>
      <c r="AH323" s="3" cm="1">
        <f t="array" ref="AH323">_xlfn.LET(
  _xlpm.val, LOWER(TRIM('Sales_RAW(BEFORE)'!AF333)),
  _xlfn.IFS(
    OR(_xlpm.val="", _xlpm.val="null", _xlpm.val="N/A", _xlpm.val="-", _xlpm.val="#N/A"), 0,
    ISNUMBER('Sales_RAW(BEFORE)'!AF333), 'Sales_RAW(BEFORE)'!AF333,
    TRUE, IFERROR(_xlfn.NUMBERVALUE(_xlpm.val), 0)
  )
)</f>
        <v>41</v>
      </c>
      <c r="AI323" s="5">
        <f>IF(IFERROR(VALUE(SUBSTITUTE(SUBSTITUTE(TRIM('Sales_RAW(BEFORE)'!AG333), "%", ""), ",", ".")), 0) &gt; 1, IFERROR(VALUE(SUBSTITUTE(SUBSTITUTE(TRIM('Sales_RAW(BEFORE)'!AG333), "%", ""), ",", ".")), 0) / 100, IFERROR(VALUE(SUBSTITUTE(SUBSTITUTE(TRIM('Sales_RAW(BEFORE)'!AG333), "%", ""), ",", ".")), 0))</f>
        <v>0.08</v>
      </c>
      <c r="AJ323" s="6">
        <f t="shared" si="26"/>
        <v>175.49279999999999</v>
      </c>
      <c r="AK323" s="6">
        <f t="shared" si="27"/>
        <v>2369.1527999999998</v>
      </c>
      <c r="AL323" s="6">
        <f>IFERROR(VALUE(SUBSTITUTE(SUBSTITUTE(SUBSTITUTE('Sales_RAW(BEFORE)'!AJ333,"$",""),"USD",""),",",".")),0)</f>
        <v>24.61</v>
      </c>
      <c r="AM323" s="3" t="str">
        <f>SUBSTITUTE(SUBSTITUTE(PROPER('Sales_RAW(BEFORE)'!AK333), "Fed Ex", "FedEx"),"Fedex","FedEx")</f>
        <v>Ups</v>
      </c>
      <c r="AN323" s="3" t="s">
        <v>4303</v>
      </c>
      <c r="AO323" s="3" t="str">
        <f>SUBSTITUTE('Sales_RAW(BEFORE)'!AM333,"kg","")</f>
        <v xml:space="preserve">9.8 </v>
      </c>
      <c r="AP323" s="3" t="str">
        <f>_xlfn.LET(
  _xlpm.raw, UPPER(TRIM('Sales_RAW(BEFORE)'!AN333)),
  _xlpm.clean, RIGHT(_xlpm.raw, 1),
  IF(OR(_xlpm.raw="", _xlpm.raw="null"), "N/A", _xlpm.clean)
)</f>
        <v>A</v>
      </c>
      <c r="AQ323" s="3">
        <v>390</v>
      </c>
      <c r="AR323" s="3" cm="1">
        <f t="array" ref="AR323">_xlfn.LET(
  _xlpm.raw, LOWER(TRIM('Sales_RAW(BEFORE)'!AP333)),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323" s="3"/>
      <c r="AT323" s="3"/>
      <c r="AU323" s="3"/>
      <c r="AV323" s="8">
        <f>IF(IFERROR(VALUE(SUBSTITUTE(SUBSTITUTE(TRIM('Sales_RAW(BEFORE)'!AT333), "%", ""), ",", ".")), 0) &gt; 1, IFERROR(VALUE(SUBSTITUTE(SUBSTITUTE(TRIM('Sales_RAW(BEFORE)'!AT333), "%", ""), ",", ".")), 0) / 100, IFERROR(VALUE(SUBSTITUTE(SUBSTITUTE(TRIM('Sales_RAW(BEFORE)'!AT333), "%", ""), ",", ".")), 0))</f>
        <v>0.15</v>
      </c>
      <c r="AW323" s="6">
        <f>BA323*(_xlfn.XLOOKUP(N323,Employees!$A$2:$A$26,Employees!$E$2:$E$26,2))</f>
        <v>56.859667199999997</v>
      </c>
      <c r="AX323" s="3" t="str">
        <f>PROPER('Sales_RAW(BEFORE)'!AV333)</f>
        <v>Emily Taylor</v>
      </c>
      <c r="AY323" s="3" t="str">
        <f t="shared" si="28"/>
        <v>Emily Taylor</v>
      </c>
      <c r="AZ323" s="3"/>
      <c r="BA323" s="24">
        <f>AK323*(1-(_xlfn.XLOOKUP(G323, Exchange_Rates!$B$8:$F$8, Exchange_Rates!$B$9:$F$9, 0)+J323))</f>
        <v>1895.32224</v>
      </c>
      <c r="BB323" s="7" cm="1">
        <f t="array" ref="BB323">_xlfn.LET(
  _xlpm.raw_dt, SUBSTITUTE(TRIM(C323), ".", "/"),
  _xlpm.dt, IFERROR(DATEVALUE(_xlpm.raw_dt), C323),
  _xlpm.p_code, TRIM(E323),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46322</v>
      </c>
      <c r="BC323" s="25">
        <f t="shared" si="29"/>
        <v>284.29833600000001</v>
      </c>
    </row>
    <row r="324" spans="1:55" ht="15.75" thickBot="1" x14ac:dyDescent="0.3">
      <c r="A324" s="3" t="s">
        <v>5063</v>
      </c>
      <c r="B324" s="10">
        <v>45682</v>
      </c>
      <c r="C324" s="4">
        <v>45749</v>
      </c>
      <c r="D324" s="3" t="str">
        <f>"P-" &amp; TEXT(VALUE(SUBSTITUTE(SUBSTITUTE(SUBSTITUTE(UPPER(TRIM('Sales_RAW(BEFORE)'!D334)), "P", ""), "-", ""), "_", "")),"000")</f>
        <v>P-014</v>
      </c>
      <c r="E324" s="3" t="str">
        <f>VLOOKUP(D324,Product_List!$A$2:$B$61,2,FALSE)</f>
        <v>License Max 14</v>
      </c>
      <c r="F324" s="3" t="str">
        <f>_xlfn.XLOOKUP(E324,Product_List!$B$2:$B$61,Product_List!$E$2:$E$61,2)</f>
        <v>OfficeHub</v>
      </c>
      <c r="G324" s="3" t="str">
        <f>VLOOKUP(E324,Product_List!$B$2:$C$61,2,FALSE)</f>
        <v>Software</v>
      </c>
      <c r="H324" s="3" t="str">
        <f>SUBSTITUTE(SUBSTITUTE('Sales_RAW(BEFORE)'!G334,"kom",""),".","")</f>
        <v>15</v>
      </c>
      <c r="I324" s="6">
        <f>VLOOKUP(E324,Product_List!$B$2:$D$61,3,FALSE)</f>
        <v>1166.96</v>
      </c>
      <c r="J324" s="5">
        <f>IF(IFERROR(VALUE(SUBSTITUTE(SUBSTITUTE(TRIM('Sales_RAW(BEFORE)'!I333), "%", ""), ",", ".")), 0) &gt; 1, IFERROR(VALUE(SUBSTITUTE(SUBSTITUTE(TRIM('Sales_RAW(BEFORE)'!I333), "%", ""), ",", ".")), 0) / 100, IFERROR(VALUE(SUBSTITUTE(SUBSTITUTE(TRIM('Sales_RAW(BEFORE)'!I333), "%", ""), ",", ".")), 0))</f>
        <v>0.1</v>
      </c>
      <c r="K324" s="6">
        <f>(H324*I324)/(HLOOKUP(AE324,Exchange_Rates!$B$1:$M$2,2,FALSE))</f>
        <v>18923.675675675677</v>
      </c>
      <c r="L324" s="6" t="str" cm="1">
        <f t="array" ref="L324">_xlfn.LET(
  _xlpm.valuta, UPPER(TRIM('Sales_RAW(BEFORE)'!K334)),
  _xlfn.IFS(
    _xlpm.valuta = "", "",
    OR(_xlpm.valuta = "USD", _xlpm.valuta = "$"), "$",
    OR(_xlpm.valuta = "EUR", _xlpm.valuta = "€"), "€",
    TRUE, _xlpm.valuta
  )
)</f>
        <v>€</v>
      </c>
      <c r="M324" s="3" t="str">
        <f>"E" &amp; TEXT(VALUE(SUBSTITUTE(SUBSTITUTE(SUBSTITUTE(UPPER(TRIM('Sales_RAW(BEFORE)'!L334)), "EMP", ""), "E", ""), "-", "")),"000")</f>
        <v>E020</v>
      </c>
      <c r="N324" s="3" t="str">
        <f>_xlfn.XLOOKUP(M324,Employees!$D$2:$D$26,Employees!$A$2:$A$26)</f>
        <v>Robert Taylor</v>
      </c>
      <c r="O324" s="3" t="str">
        <f>_xlfn.XLOOKUP(N324,Employees!$A$2:$A$26,Employees!$C$2:$C$26,2)</f>
        <v>Retail</v>
      </c>
      <c r="P324" s="3" t="str">
        <f>PROPER('Sales_RAW(BEFORE)'!N334)</f>
        <v>South</v>
      </c>
      <c r="Q324" s="3" t="str">
        <f>VLOOKUP(N324,Employees!$A$2:$B$26,2,FALSE)</f>
        <v>New York</v>
      </c>
      <c r="R324" s="3" t="str">
        <f>PROPER('Sales_RAW(BEFORE)'!P334)</f>
        <v xml:space="preserve"> Acme Inc   </v>
      </c>
      <c r="S324" s="3" t="str">
        <f>SUBSTITUTE(SUBSTITUTE('Sales_RAW(BEFORE)'!Q334,"EIN",""),":","")</f>
        <v>733528382</v>
      </c>
      <c r="T324" s="3" t="s">
        <v>1722</v>
      </c>
      <c r="U324" s="3" t="s">
        <v>5070</v>
      </c>
      <c r="V324" s="3" t="s">
        <v>5071</v>
      </c>
      <c r="W324" s="3" t="s">
        <v>5072</v>
      </c>
      <c r="X324" s="3" t="s">
        <v>173</v>
      </c>
      <c r="Y324" s="3" t="str">
        <f>PROPER('Sales_RAW(BEFORE)'!W334)</f>
        <v>Wire Transfer</v>
      </c>
      <c r="Z324" s="3" t="str">
        <f>PROPER('Sales_RAW(BEFORE)'!X334)</f>
        <v>Processing</v>
      </c>
      <c r="AA324" s="3" t="str" cm="1">
        <f t="array" ref="AA324">_xlfn.LET(
  _xlpm.val, TRIM(LOWER('Sales_RAW(BEFORE)'!Y334)),
  _xlfn.IFS(
    OR(_xlpm.val="yes", _xlpm.val="paid"), "Paid",
    OR(_xlpm.val="no", _xlpm.val="unpaid"), "Unpaid",
    OR(_xlpm.val="partial", _xlpm.val="partial paid"), "Partial",
    _xlpm.val="", "",
    TRUE, 'Sales_RAW(BEFORE)'!AY334
  )
)</f>
        <v>Partial</v>
      </c>
      <c r="AB324" s="3" t="s">
        <v>5073</v>
      </c>
      <c r="AC324" s="3" t="str">
        <f>PROPER('Sales_RAW(BEFORE)'!AA334)</f>
        <v>Online</v>
      </c>
      <c r="AD324" s="3" t="str">
        <f>SUBSTITUTE(SUBSTITUTE(SUBSTITUTE(SUBSTITUTE('Sales_RAW(BEFORE)'!AB334,"st",""),"q",""),"Q",""),"uarter","")</f>
        <v>2</v>
      </c>
      <c r="AE324" s="3" t="str">
        <f>TEXT(IFERROR(DATEVALUE('Sales_RAW(BEFORE)'!AC334 &amp; " 1"), IFERROR(DATE(2025, 'Sales_RAW(BEFORE)'!AC334, 1), 'Sales_RAW(BEFORE)'!AC334)), "mmmm")</f>
        <v>January</v>
      </c>
      <c r="AF324" s="3">
        <f>_xlfn.LET(
  _xlpm.raw, TRIM(SUBSTITUTE('Sales_RAW(BEFORE)'!AD334, "'", "")),
  _xlpm.num, IFERROR(VALUE(_xlpm.raw), 0),
  IF(_xlpm.num &lt; 100, 2000 + _xlpm.num, _xlpm.num)
)</f>
        <v>2025</v>
      </c>
      <c r="AG324" s="3" t="str">
        <f>PROPER('Sales_RAW(BEFORE)'!AE334)</f>
        <v>Net 30</v>
      </c>
      <c r="AH324" s="3" cm="1">
        <f t="array" ref="AH324">_xlfn.LET(
  _xlpm.val, LOWER(TRIM('Sales_RAW(BEFORE)'!AF334)),
  _xlfn.IFS(
    OR(_xlpm.val="", _xlpm.val="null", _xlpm.val="N/A", _xlpm.val="-", _xlpm.val="#N/A"), 0,
    ISNUMBER('Sales_RAW(BEFORE)'!AF334), 'Sales_RAW(BEFORE)'!AF334,
    TRUE, IFERROR(_xlfn.NUMBERVALUE(_xlpm.val), 0)
  )
)</f>
        <v>80</v>
      </c>
      <c r="AI324" s="5">
        <f>IF(IFERROR(VALUE(SUBSTITUTE(SUBSTITUTE(TRIM('Sales_RAW(BEFORE)'!AG334), "%", ""), ",", ".")), 0) &gt; 1, IFERROR(VALUE(SUBSTITUTE(SUBSTITUTE(TRIM('Sales_RAW(BEFORE)'!AG334), "%", ""), ",", ".")), 0) / 100, IFERROR(VALUE(SUBSTITUTE(SUBSTITUTE(TRIM('Sales_RAW(BEFORE)'!AG334), "%", ""), ",", ".")), 0))</f>
        <v>0.08</v>
      </c>
      <c r="AJ324" s="6">
        <f t="shared" si="26"/>
        <v>1513.8940540540541</v>
      </c>
      <c r="AK324" s="6">
        <f t="shared" si="27"/>
        <v>20437.56972972973</v>
      </c>
      <c r="AL324" s="6">
        <f>IFERROR(VALUE(SUBSTITUTE(SUBSTITUTE(SUBSTITUTE('Sales_RAW(BEFORE)'!AJ334,"$",""),"USD",""),",",".")),0)</f>
        <v>3.47</v>
      </c>
      <c r="AM324" s="3" t="str">
        <f>SUBSTITUTE(SUBSTITUTE(PROPER('Sales_RAW(BEFORE)'!AK334), "Fed Ex", "FedEx"),"Fedex","FedEx")</f>
        <v>Usps</v>
      </c>
      <c r="AN324" s="3" t="s">
        <v>5075</v>
      </c>
      <c r="AO324" s="3" t="str">
        <f>SUBSTITUTE('Sales_RAW(BEFORE)'!AM334,"kg","")</f>
        <v xml:space="preserve">21.0 </v>
      </c>
      <c r="AP324" s="3" t="str">
        <f>_xlfn.LET(
  _xlpm.raw, UPPER(TRIM('Sales_RAW(BEFORE)'!AN334)),
  _xlpm.clean, RIGHT(_xlpm.raw, 1),
  IF(OR(_xlpm.raw="", _xlpm.raw="null"), "N/A", _xlpm.clean)
)</f>
        <v>C</v>
      </c>
      <c r="AQ324" s="3">
        <v>93</v>
      </c>
      <c r="AR324" s="3" cm="1">
        <f t="array" ref="AR324">_xlfn.LET(
  _xlpm.raw, LOWER(TRIM('Sales_RAW(BEFORE)'!AP334)),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324" s="3"/>
      <c r="AT324" s="3"/>
      <c r="AU324" s="3"/>
      <c r="AV324" s="8">
        <f>IF(IFERROR(VALUE(SUBSTITUTE(SUBSTITUTE(TRIM('Sales_RAW(BEFORE)'!AT334), "%", ""), ",", ".")), 0) &gt; 1, IFERROR(VALUE(SUBSTITUTE(SUBSTITUTE(TRIM('Sales_RAW(BEFORE)'!AT334), "%", ""), ",", ".")), 0) / 100, IFERROR(VALUE(SUBSTITUTE(SUBSTITUTE(TRIM('Sales_RAW(BEFORE)'!AT334), "%", ""), ",", ".")), 0))</f>
        <v>0.18</v>
      </c>
      <c r="AW324" s="6">
        <f>BA324*(_xlfn.XLOOKUP(N324,Employees!$A$2:$A$26,Employees!$E$2:$E$26,2))</f>
        <v>459.84531891891891</v>
      </c>
      <c r="AX324" s="3" t="str">
        <f>PROPER('Sales_RAW(BEFORE)'!AV334)</f>
        <v xml:space="preserve"> Sarah Johnson </v>
      </c>
      <c r="AY324" s="3" t="str">
        <f t="shared" si="28"/>
        <v xml:space="preserve"> Sarah Johnson </v>
      </c>
      <c r="AZ324" s="3"/>
      <c r="BA324" s="24">
        <f>AK324*(1-(_xlfn.XLOOKUP(G324, Exchange_Rates!$B$8:$F$8, Exchange_Rates!$B$9:$F$9, 0)+J324))</f>
        <v>15328.177297297298</v>
      </c>
      <c r="BB324" s="7" cm="1">
        <f t="array" ref="BB324">_xlfn.LET(
  _xlpm.raw_dt, SUBSTITUTE(TRIM(C324), ".", "/"),
  _xlpm.dt, IFERROR(DATEVALUE(_xlpm.raw_dt), C324),
  _xlpm.p_code, TRIM(E324),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46845</v>
      </c>
      <c r="BC324" s="25">
        <f t="shared" si="29"/>
        <v>2759.0719135135137</v>
      </c>
    </row>
    <row r="325" spans="1:55" ht="15.75" thickBot="1" x14ac:dyDescent="0.3">
      <c r="A325" s="3" t="s">
        <v>5078</v>
      </c>
      <c r="B325" s="10">
        <v>46224</v>
      </c>
      <c r="C325" s="4">
        <v>46229</v>
      </c>
      <c r="D325" s="3" t="str">
        <f>"P-" &amp; TEXT(VALUE(SUBSTITUTE(SUBSTITUTE(SUBSTITUTE(UPPER(TRIM('Sales_RAW(BEFORE)'!D335)), "P", ""), "-", ""), "_", "")),"000")</f>
        <v>P-006</v>
      </c>
      <c r="E325" s="3" t="str">
        <f>VLOOKUP(D325,Product_List!$A$2:$B$61,2,FALSE)</f>
        <v>Monitor X 6</v>
      </c>
      <c r="F325" s="3" t="str">
        <f>_xlfn.XLOOKUP(E325,Product_List!$B$2:$B$61,Product_List!$E$2:$E$61,2)</f>
        <v>TechSupply Co</v>
      </c>
      <c r="G325" s="3" t="str">
        <f>VLOOKUP(E325,Product_List!$B$2:$C$61,2,FALSE)</f>
        <v>Equipment</v>
      </c>
      <c r="H325" s="3" t="str">
        <f>SUBSTITUTE(SUBSTITUTE('Sales_RAW(BEFORE)'!G335,"kom",""),".","")</f>
        <v>33</v>
      </c>
      <c r="I325" s="6">
        <f>VLOOKUP(E325,Product_List!$B$2:$D$61,3,FALSE)</f>
        <v>1421.82</v>
      </c>
      <c r="J325" s="5">
        <f>IF(IFERROR(VALUE(SUBSTITUTE(SUBSTITUTE(TRIM('Sales_RAW(BEFORE)'!I334), "%", ""), ",", ".")), 0) &gt; 1, IFERROR(VALUE(SUBSTITUTE(SUBSTITUTE(TRIM('Sales_RAW(BEFORE)'!I334), "%", ""), ",", ".")), 0) / 100, IFERROR(VALUE(SUBSTITUTE(SUBSTITUTE(TRIM('Sales_RAW(BEFORE)'!I334), "%", ""), ",", ".")), 0))</f>
        <v>0.1</v>
      </c>
      <c r="K325" s="6">
        <f>(H325*I325)/(HLOOKUP(AE325,Exchange_Rates!$B$1:$M$2,2,FALSE))</f>
        <v>50235.610278372587</v>
      </c>
      <c r="L325" s="6" t="str" cm="1">
        <f t="array" ref="L325">_xlfn.LET(
  _xlpm.valuta, UPPER(TRIM('Sales_RAW(BEFORE)'!K335)),
  _xlfn.IFS(
    _xlpm.valuta = "", "",
    OR(_xlpm.valuta = "USD", _xlpm.valuta = "$"), "$",
    OR(_xlpm.valuta = "EUR", _xlpm.valuta = "€"), "€",
    TRUE, _xlpm.valuta
  )
)</f>
        <v>€</v>
      </c>
      <c r="M325" s="3" t="str">
        <f>"E" &amp; TEXT(VALUE(SUBSTITUTE(SUBSTITUTE(SUBSTITUTE(UPPER(TRIM('Sales_RAW(BEFORE)'!L335)), "EMP", ""), "E", ""), "-", "")),"000")</f>
        <v>E003</v>
      </c>
      <c r="N325" s="3" t="str">
        <f>_xlfn.XLOOKUP(M325,Employees!$D$2:$D$26,Employees!$A$2:$A$26)</f>
        <v>Laura Miller</v>
      </c>
      <c r="O325" s="3" t="str">
        <f>_xlfn.XLOOKUP(N325,Employees!$A$2:$A$26,Employees!$C$2:$C$26,2)</f>
        <v>Sales</v>
      </c>
      <c r="P325" s="3" t="str">
        <f>PROPER('Sales_RAW(BEFORE)'!N335)</f>
        <v>North</v>
      </c>
      <c r="Q325" s="3" t="str">
        <f>VLOOKUP(N325,Employees!$A$2:$B$26,2,FALSE)</f>
        <v>Miami</v>
      </c>
      <c r="R325" s="3" t="str">
        <f>PROPER('Sales_RAW(BEFORE)'!P335)</f>
        <v xml:space="preserve">Stark Inc.   </v>
      </c>
      <c r="S325" s="3" t="str">
        <f>SUBSTITUTE(SUBSTITUTE('Sales_RAW(BEFORE)'!Q335,"EIN",""),":","")</f>
        <v xml:space="preserve"> 847586024</v>
      </c>
      <c r="T325" s="3" t="s">
        <v>665</v>
      </c>
      <c r="U325" s="3" t="s">
        <v>5085</v>
      </c>
      <c r="V325" s="3" t="s">
        <v>5086</v>
      </c>
      <c r="W325" s="3" t="s">
        <v>5087</v>
      </c>
      <c r="X325" s="3" t="s">
        <v>173</v>
      </c>
      <c r="Y325" s="3" t="str">
        <f>PROPER('Sales_RAW(BEFORE)'!W335)</f>
        <v>Wire Transfer</v>
      </c>
      <c r="Z325" s="3" t="str">
        <f>PROPER('Sales_RAW(BEFORE)'!X335)</f>
        <v>Pending</v>
      </c>
      <c r="AA325" s="3" t="str" cm="1">
        <f t="array" ref="AA325">_xlfn.LET(
  _xlpm.val, TRIM(LOWER('Sales_RAW(BEFORE)'!Y335)),
  _xlfn.IFS(
    OR(_xlpm.val="yes", _xlpm.val="paid"), "Paid",
    OR(_xlpm.val="no", _xlpm.val="unpaid"), "Unpaid",
    OR(_xlpm.val="partial", _xlpm.val="partial paid"), "Partial",
    _xlpm.val="", "",
    TRUE, 'Sales_RAW(BEFORE)'!AY335
  )
)</f>
        <v>Unpaid</v>
      </c>
      <c r="AB325" s="3" t="s">
        <v>5088</v>
      </c>
      <c r="AC325" s="3" t="str">
        <f>PROPER('Sales_RAW(BEFORE)'!AA335)</f>
        <v>Web</v>
      </c>
      <c r="AD325" s="3" t="str">
        <f>SUBSTITUTE(SUBSTITUTE(SUBSTITUTE(SUBSTITUTE('Sales_RAW(BEFORE)'!AB335,"st",""),"q",""),"Q",""),"uarter","")</f>
        <v>1</v>
      </c>
      <c r="AE325" s="3" t="str">
        <f>TEXT(IFERROR(DATEVALUE('Sales_RAW(BEFORE)'!AC335 &amp; " 1"), IFERROR(DATE(2025, 'Sales_RAW(BEFORE)'!AC335, 1), 'Sales_RAW(BEFORE)'!AC335)), "mmmm")</f>
        <v>July</v>
      </c>
      <c r="AF325" s="3">
        <f>_xlfn.LET(
  _xlpm.raw, TRIM(SUBSTITUTE('Sales_RAW(BEFORE)'!AD335, "'", "")),
  _xlpm.num, IFERROR(VALUE(_xlpm.raw), 0),
  IF(_xlpm.num &lt; 100, 2000 + _xlpm.num, _xlpm.num)
)</f>
        <v>2026</v>
      </c>
      <c r="AG325" s="3" t="str">
        <f>PROPER('Sales_RAW(BEFORE)'!AE335)</f>
        <v>Immediate</v>
      </c>
      <c r="AH325" s="3" cm="1">
        <f t="array" ref="AH325">_xlfn.LET(
  _xlpm.val, LOWER(TRIM('Sales_RAW(BEFORE)'!AF335)),
  _xlfn.IFS(
    OR(_xlpm.val="", _xlpm.val="null", _xlpm.val="N/A", _xlpm.val="-", _xlpm.val="#N/A"), 0,
    ISNUMBER('Sales_RAW(BEFORE)'!AF335), 'Sales_RAW(BEFORE)'!AF335,
    TRUE, IFERROR(_xlfn.NUMBERVALUE(_xlpm.val), 0)
  )
)</f>
        <v>58</v>
      </c>
      <c r="AI325" s="5">
        <f>IF(IFERROR(VALUE(SUBSTITUTE(SUBSTITUTE(TRIM('Sales_RAW(BEFORE)'!AG335), "%", ""), ",", ".")), 0) &gt; 1, IFERROR(VALUE(SUBSTITUTE(SUBSTITUTE(TRIM('Sales_RAW(BEFORE)'!AG335), "%", ""), ",", ".")), 0) / 100, IFERROR(VALUE(SUBSTITUTE(SUBSTITUTE(TRIM('Sales_RAW(BEFORE)'!AG335), "%", ""), ",", ".")), 0))</f>
        <v>0.08</v>
      </c>
      <c r="AJ325" s="6">
        <f t="shared" si="26"/>
        <v>4018.848822269807</v>
      </c>
      <c r="AK325" s="6">
        <f t="shared" si="27"/>
        <v>54254.459100642394</v>
      </c>
      <c r="AL325" s="6">
        <f>IFERROR(VALUE(SUBSTITUTE(SUBSTITUTE(SUBSTITUTE('Sales_RAW(BEFORE)'!AJ335,"$",""),"USD",""),",",".")),0)</f>
        <v>8.74</v>
      </c>
      <c r="AM325" s="3" t="str">
        <f>SUBSTITUTE(SUBSTITUTE(PROPER('Sales_RAW(BEFORE)'!AK335), "Fed Ex", "FedEx"),"Fedex","FedEx")</f>
        <v>FedEx</v>
      </c>
      <c r="AN325" s="3" t="s">
        <v>5090</v>
      </c>
      <c r="AO325" s="3" t="str">
        <f>SUBSTITUTE('Sales_RAW(BEFORE)'!AM335,"kg","")</f>
        <v>14.51</v>
      </c>
      <c r="AP325" s="3" t="str">
        <f>_xlfn.LET(
  _xlpm.raw, UPPER(TRIM('Sales_RAW(BEFORE)'!AN335)),
  _xlpm.clean, RIGHT(_xlpm.raw, 1),
  IF(OR(_xlpm.raw="", _xlpm.raw="null"), "N/A", _xlpm.clean)
)</f>
        <v>C</v>
      </c>
      <c r="AQ325" s="3">
        <v>262</v>
      </c>
      <c r="AR325" s="3" cm="1">
        <f t="array" ref="AR325">_xlfn.LET(
  _xlpm.raw, LOWER(TRIM('Sales_RAW(BEFORE)'!AP335)),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325" s="3"/>
      <c r="AT325" s="3"/>
      <c r="AU325" s="3"/>
      <c r="AV325" s="8">
        <f>IF(IFERROR(VALUE(SUBSTITUTE(SUBSTITUTE(TRIM('Sales_RAW(BEFORE)'!AT335), "%", ""), ",", ".")), 0) &gt; 1, IFERROR(VALUE(SUBSTITUTE(SUBSTITUTE(TRIM('Sales_RAW(BEFORE)'!AT335), "%", ""), ",", ".")), 0) / 100, IFERROR(VALUE(SUBSTITUTE(SUBSTITUTE(TRIM('Sales_RAW(BEFORE)'!AT335), "%", ""), ",", ".")), 0))</f>
        <v>0.18</v>
      </c>
      <c r="AW325" s="6">
        <f>BA325*(_xlfn.XLOOKUP(N325,Employees!$A$2:$A$26,Employees!$E$2:$E$26,2))</f>
        <v>2170.1783640256958</v>
      </c>
      <c r="AX325" s="3" t="str">
        <f>PROPER('Sales_RAW(BEFORE)'!AV335)</f>
        <v>John Johnson</v>
      </c>
      <c r="AY325" s="3" t="str">
        <f t="shared" si="28"/>
        <v>John Johnson</v>
      </c>
      <c r="AZ325" s="3"/>
      <c r="BA325" s="24">
        <f>AK325*(1-(_xlfn.XLOOKUP(G325, Exchange_Rates!$B$8:$F$8, Exchange_Rates!$B$9:$F$9, 0)+J325))</f>
        <v>43403.567280513918</v>
      </c>
      <c r="BB325" s="7" cm="1">
        <f t="array" ref="BB325">_xlfn.LET(
  _xlpm.raw_dt, SUBSTITUTE(TRIM(C325), ".", "/"),
  _xlpm.dt, IFERROR(DATEVALUE(_xlpm.raw_dt), C325),
  _xlpm.p_code, TRIM(E325),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46594</v>
      </c>
      <c r="BC325" s="25">
        <f t="shared" si="29"/>
        <v>7812.6421104925048</v>
      </c>
    </row>
    <row r="326" spans="1:55" ht="15.75" thickBot="1" x14ac:dyDescent="0.3">
      <c r="A326" s="3" t="s">
        <v>5092</v>
      </c>
      <c r="B326" s="10">
        <v>45800</v>
      </c>
      <c r="C326" s="4">
        <v>45801</v>
      </c>
      <c r="D326" s="3" t="str">
        <f>"P-" &amp; TEXT(VALUE(SUBSTITUTE(SUBSTITUTE(SUBSTITUTE(UPPER(TRIM('Sales_RAW(BEFORE)'!D336)), "P", ""), "-", ""), "_", "")),"000")</f>
        <v>P-045</v>
      </c>
      <c r="E326" s="3" t="str">
        <f>VLOOKUP(D326,Product_List!$A$2:$B$61,2,FALSE)</f>
        <v>Keyboard Max 45</v>
      </c>
      <c r="F326" s="3" t="str">
        <f>_xlfn.XLOOKUP(E326,Product_List!$B$2:$B$61,Product_List!$E$2:$E$61,2)</f>
        <v>TechSupply Co</v>
      </c>
      <c r="G326" s="3" t="str">
        <f>VLOOKUP(E326,Product_List!$B$2:$C$61,2,FALSE)</f>
        <v>Software</v>
      </c>
      <c r="H326" s="3" t="str">
        <f>SUBSTITUTE(SUBSTITUTE('Sales_RAW(BEFORE)'!G336,"kom",""),".","")</f>
        <v xml:space="preserve">34 </v>
      </c>
      <c r="I326" s="6">
        <f>VLOOKUP(E326,Product_List!$B$2:$D$61,3,FALSE)</f>
        <v>227.08</v>
      </c>
      <c r="J326" s="5">
        <f>IF(IFERROR(VALUE(SUBSTITUTE(SUBSTITUTE(TRIM('Sales_RAW(BEFORE)'!I335), "%", ""), ",", ".")), 0) &gt; 1, IFERROR(VALUE(SUBSTITUTE(SUBSTITUTE(TRIM('Sales_RAW(BEFORE)'!I335), "%", ""), ",", ".")), 0) / 100, IFERROR(VALUE(SUBSTITUTE(SUBSTITUTE(TRIM('Sales_RAW(BEFORE)'!I335), "%", ""), ",", ".")), 0))</f>
        <v>0</v>
      </c>
      <c r="K326" s="6">
        <f t="shared" si="25"/>
        <v>7720.72</v>
      </c>
      <c r="L326" s="6" t="str" cm="1">
        <f t="array" ref="L326">_xlfn.LET(
  _xlpm.valuta, UPPER(TRIM('Sales_RAW(BEFORE)'!K336)),
  _xlfn.IFS(
    _xlpm.valuta = "", "",
    OR(_xlpm.valuta = "USD", _xlpm.valuta = "$"), "$",
    OR(_xlpm.valuta = "EUR", _xlpm.valuta = "€"), "€",
    TRUE, _xlpm.valuta
  )
)</f>
        <v>$</v>
      </c>
      <c r="M326" s="3" t="str">
        <f>"E" &amp; TEXT(VALUE(SUBSTITUTE(SUBSTITUTE(SUBSTITUTE(UPPER(TRIM('Sales_RAW(BEFORE)'!L336)), "EMP", ""), "E", ""), "-", "")),"000")</f>
        <v>E003</v>
      </c>
      <c r="N326" s="3" t="str">
        <f>_xlfn.XLOOKUP(M326,Employees!$D$2:$D$26,Employees!$A$2:$A$26)</f>
        <v>Laura Miller</v>
      </c>
      <c r="O326" s="3" t="str">
        <f>_xlfn.XLOOKUP(N326,Employees!$A$2:$A$26,Employees!$C$2:$C$26,2)</f>
        <v>Sales</v>
      </c>
      <c r="P326" s="3" t="str">
        <f>PROPER('Sales_RAW(BEFORE)'!N336)</f>
        <v>South</v>
      </c>
      <c r="Q326" s="3" t="str">
        <f>VLOOKUP(N326,Employees!$A$2:$B$26,2,FALSE)</f>
        <v>Miami</v>
      </c>
      <c r="R326" s="3" t="str">
        <f>PROPER('Sales_RAW(BEFORE)'!P336)</f>
        <v xml:space="preserve">Umbrella Llc  </v>
      </c>
      <c r="S326" s="3" t="str">
        <f>SUBSTITUTE(SUBSTITUTE('Sales_RAW(BEFORE)'!Q336,"EIN",""),":","")</f>
        <v>315804885</v>
      </c>
      <c r="T326" s="3" t="s">
        <v>1450</v>
      </c>
      <c r="U326" s="3" t="s">
        <v>5097</v>
      </c>
      <c r="V326" s="3" t="s">
        <v>5098</v>
      </c>
      <c r="W326" s="3" t="s">
        <v>5099</v>
      </c>
      <c r="X326" s="3" t="s">
        <v>173</v>
      </c>
      <c r="Y326" s="3" t="str">
        <f>PROPER('Sales_RAW(BEFORE)'!W336)</f>
        <v>Wire</v>
      </c>
      <c r="Z326" s="3" t="str">
        <f>PROPER('Sales_RAW(BEFORE)'!X336)</f>
        <v>Delivered</v>
      </c>
      <c r="AA326" s="3" t="str" cm="1">
        <f t="array" ref="AA326">_xlfn.LET(
  _xlpm.val, TRIM(LOWER('Sales_RAW(BEFORE)'!Y336)),
  _xlfn.IFS(
    OR(_xlpm.val="yes", _xlpm.val="paid"), "Paid",
    OR(_xlpm.val="no", _xlpm.val="unpaid"), "Unpaid",
    OR(_xlpm.val="partial", _xlpm.val="partial paid"), "Partial",
    _xlpm.val="", "",
    TRUE, 'Sales_RAW(BEFORE)'!AY336
  )
)</f>
        <v>Unpaid</v>
      </c>
      <c r="AB326" s="3" t="s">
        <v>5100</v>
      </c>
      <c r="AC326" s="3" t="str">
        <f>PROPER('Sales_RAW(BEFORE)'!AA336)</f>
        <v>Online</v>
      </c>
      <c r="AD326" s="3" t="str">
        <f>SUBSTITUTE(SUBSTITUTE(SUBSTITUTE(SUBSTITUTE('Sales_RAW(BEFORE)'!AB336,"st",""),"q",""),"Q",""),"uarter","")</f>
        <v>4</v>
      </c>
      <c r="AE326" s="3" t="str">
        <f>TEXT(IFERROR(DATEVALUE('Sales_RAW(BEFORE)'!AC336 &amp; " 1"), IFERROR(DATE(2025, 'Sales_RAW(BEFORE)'!AC336, 1), 'Sales_RAW(BEFORE)'!AC336)), "mmmm")</f>
        <v>May</v>
      </c>
      <c r="AF326" s="3">
        <f>_xlfn.LET(
  _xlpm.raw, TRIM(SUBSTITUTE('Sales_RAW(BEFORE)'!AD336, "'", "")),
  _xlpm.num, IFERROR(VALUE(_xlpm.raw), 0),
  IF(_xlpm.num &lt; 100, 2000 + _xlpm.num, _xlpm.num)
)</f>
        <v>2025</v>
      </c>
      <c r="AG326" s="3" t="str">
        <f>PROPER('Sales_RAW(BEFORE)'!AE336)</f>
        <v>Net 30</v>
      </c>
      <c r="AH326" s="3" cm="1">
        <f t="array" ref="AH326">_xlfn.LET(
  _xlpm.val, LOWER(TRIM('Sales_RAW(BEFORE)'!AF336)),
  _xlfn.IFS(
    OR(_xlpm.val="", _xlpm.val="null", _xlpm.val="N/A", _xlpm.val="-", _xlpm.val="#N/A"), 0,
    ISNUMBER('Sales_RAW(BEFORE)'!AF336), 'Sales_RAW(BEFORE)'!AF336,
    TRUE, IFERROR(_xlfn.NUMBERVALUE(_xlpm.val), 0)
  )
)</f>
        <v>76</v>
      </c>
      <c r="AI326" s="5">
        <f>IF(IFERROR(VALUE(SUBSTITUTE(SUBSTITUTE(TRIM('Sales_RAW(BEFORE)'!AG336), "%", ""), ",", ".")), 0) &gt; 1, IFERROR(VALUE(SUBSTITUTE(SUBSTITUTE(TRIM('Sales_RAW(BEFORE)'!AG336), "%", ""), ",", ".")), 0) / 100, IFERROR(VALUE(SUBSTITUTE(SUBSTITUTE(TRIM('Sales_RAW(BEFORE)'!AG336), "%", ""), ",", ".")), 0))</f>
        <v>0.08</v>
      </c>
      <c r="AJ326" s="6">
        <f t="shared" si="26"/>
        <v>617.6576</v>
      </c>
      <c r="AK326" s="6">
        <f t="shared" si="27"/>
        <v>8338.3775999999998</v>
      </c>
      <c r="AL326" s="6">
        <f>IFERROR(VALUE(SUBSTITUTE(SUBSTITUTE(SUBSTITUTE('Sales_RAW(BEFORE)'!AJ336,"$",""),"USD",""),",",".")),0)</f>
        <v>35.450000000000003</v>
      </c>
      <c r="AM326" s="3" t="str">
        <f>SUBSTITUTE(SUBSTITUTE(PROPER('Sales_RAW(BEFORE)'!AK336), "Fed Ex", "FedEx"),"Fedex","FedEx")</f>
        <v>Dhl</v>
      </c>
      <c r="AN326" s="3" t="s">
        <v>5102</v>
      </c>
      <c r="AO326" s="3" t="str">
        <f>SUBSTITUTE('Sales_RAW(BEFORE)'!AM336,"kg","")</f>
        <v>11</v>
      </c>
      <c r="AP326" s="3" t="str">
        <f>_xlfn.LET(
  _xlpm.raw, UPPER(TRIM('Sales_RAW(BEFORE)'!AN336)),
  _xlpm.clean, RIGHT(_xlpm.raw, 1),
  IF(OR(_xlpm.raw="", _xlpm.raw="null"), "N/A", _xlpm.clean)
)</f>
        <v>C</v>
      </c>
      <c r="AQ326" s="3">
        <v>334</v>
      </c>
      <c r="AR326" s="3" cm="1">
        <f t="array" ref="AR326">_xlfn.LET(
  _xlpm.raw, LOWER(TRIM('Sales_RAW(BEFORE)'!AP336)),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326" s="3"/>
      <c r="AT326" s="3"/>
      <c r="AU326" s="3"/>
      <c r="AV326" s="8">
        <f>IF(IFERROR(VALUE(SUBSTITUTE(SUBSTITUTE(TRIM('Sales_RAW(BEFORE)'!AT336), "%", ""), ",", ".")), 0) &gt; 1, IFERROR(VALUE(SUBSTITUTE(SUBSTITUTE(TRIM('Sales_RAW(BEFORE)'!AT336), "%", ""), ",", ".")), 0) / 100, IFERROR(VALUE(SUBSTITUTE(SUBSTITUTE(TRIM('Sales_RAW(BEFORE)'!AT336), "%", ""), ",", ".")), 0))</f>
        <v>0.25</v>
      </c>
      <c r="AW326" s="6">
        <f>BA326*(_xlfn.XLOOKUP(N326,Employees!$A$2:$A$26,Employees!$E$2:$E$26,2))</f>
        <v>354.38104799999996</v>
      </c>
      <c r="AX326" s="3" t="str">
        <f>PROPER('Sales_RAW(BEFORE)'!AV336)</f>
        <v xml:space="preserve"> Olivia Taylor</v>
      </c>
      <c r="AY326" s="3" t="str">
        <f t="shared" si="28"/>
        <v xml:space="preserve"> Olivia Taylor</v>
      </c>
      <c r="AZ326" s="3"/>
      <c r="BA326" s="24">
        <f>AK326*(1-(_xlfn.XLOOKUP(G326, Exchange_Rates!$B$8:$F$8, Exchange_Rates!$B$9:$F$9, 0)+J326))</f>
        <v>7087.6209599999993</v>
      </c>
      <c r="BB326" s="7" cm="1">
        <f t="array" ref="BB326">_xlfn.LET(
  _xlpm.raw_dt, SUBSTITUTE(TRIM(C326), ".", "/"),
  _xlpm.dt, IFERROR(DATEVALUE(_xlpm.raw_dt), C326),
  _xlpm.p_code, TRIM(E326),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46897</v>
      </c>
      <c r="BC326" s="25">
        <f t="shared" si="29"/>
        <v>1771.9052399999998</v>
      </c>
    </row>
    <row r="327" spans="1:55" ht="15.75" thickBot="1" x14ac:dyDescent="0.3">
      <c r="A327" s="3" t="s">
        <v>1680</v>
      </c>
      <c r="B327" s="10">
        <v>46176</v>
      </c>
      <c r="C327" s="4">
        <v>46240</v>
      </c>
      <c r="D327" s="3" t="str">
        <f>"P-" &amp; TEXT(VALUE(SUBSTITUTE(SUBSTITUTE(SUBSTITUTE(UPPER(TRIM('Sales_RAW(BEFORE)'!D337)), "P", ""), "-", ""), "_", "")),"000")</f>
        <v>P-038</v>
      </c>
      <c r="E327" s="3" t="str">
        <f>VLOOKUP(D327,Product_List!$A$2:$B$61,2,FALSE)</f>
        <v>Cable Max 38</v>
      </c>
      <c r="F327" s="3" t="str">
        <f>_xlfn.XLOOKUP(E327,Product_List!$B$2:$B$61,Product_List!$E$2:$E$61,2)</f>
        <v>TechSupply Co</v>
      </c>
      <c r="G327" s="3" t="str">
        <f>VLOOKUP(E327,Product_List!$B$2:$C$61,2,FALSE)</f>
        <v>Electronics</v>
      </c>
      <c r="H327" s="3" t="str">
        <f>SUBSTITUTE(SUBSTITUTE('Sales_RAW(BEFORE)'!G337,"kom",""),".","")</f>
        <v xml:space="preserve">3 </v>
      </c>
      <c r="I327" s="6">
        <f>VLOOKUP(E327,Product_List!$B$2:$D$61,3,FALSE)</f>
        <v>687.68</v>
      </c>
      <c r="J327" s="5">
        <f>IF(IFERROR(VALUE(SUBSTITUTE(SUBSTITUTE(TRIM('Sales_RAW(BEFORE)'!I336), "%", ""), ",", ".")), 0) &gt; 1, IFERROR(VALUE(SUBSTITUTE(SUBSTITUTE(TRIM('Sales_RAW(BEFORE)'!I336), "%", ""), ",", ".")), 0) / 100, IFERROR(VALUE(SUBSTITUTE(SUBSTITUTE(TRIM('Sales_RAW(BEFORE)'!I336), "%", ""), ",", ".")), 0))</f>
        <v>0.05</v>
      </c>
      <c r="K327" s="6">
        <f t="shared" si="25"/>
        <v>2063.04</v>
      </c>
      <c r="L327" s="6" t="str" cm="1">
        <f t="array" ref="L327">_xlfn.LET(
  _xlpm.valuta, UPPER(TRIM('Sales_RAW(BEFORE)'!K337)),
  _xlfn.IFS(
    _xlpm.valuta = "", "",
    OR(_xlpm.valuta = "USD", _xlpm.valuta = "$"), "$",
    OR(_xlpm.valuta = "EUR", _xlpm.valuta = "€"), "€",
    TRUE, _xlpm.valuta
  )
)</f>
        <v>$</v>
      </c>
      <c r="M327" s="3" t="str">
        <f>"E" &amp; TEXT(VALUE(SUBSTITUTE(SUBSTITUTE(SUBSTITUTE(UPPER(TRIM('Sales_RAW(BEFORE)'!L337)), "EMP", ""), "E", ""), "-", "")),"000")</f>
        <v>E006</v>
      </c>
      <c r="N327" s="3" t="str">
        <f>_xlfn.XLOOKUP(M327,Employees!$D$2:$D$26,Employees!$A$2:$A$26)</f>
        <v>Emily Davis</v>
      </c>
      <c r="O327" s="3" t="str">
        <f>_xlfn.XLOOKUP(N327,Employees!$A$2:$A$26,Employees!$C$2:$C$26,2)</f>
        <v>Retail</v>
      </c>
      <c r="P327" s="3" t="str">
        <f>PROPER('Sales_RAW(BEFORE)'!N337)</f>
        <v>East</v>
      </c>
      <c r="Q327" s="3" t="str">
        <f>VLOOKUP(N327,Employees!$A$2:$B$26,2,FALSE)</f>
        <v>Houston</v>
      </c>
      <c r="R327" s="3" t="str">
        <f>PROPER('Sales_RAW(BEFORE)'!P337)</f>
        <v>Acme Llc</v>
      </c>
      <c r="S327" s="3" t="str">
        <f>SUBSTITUTE(SUBSTITUTE('Sales_RAW(BEFORE)'!Q337,"EIN",""),":","")</f>
        <v xml:space="preserve"> 224975322</v>
      </c>
      <c r="T327" s="3" t="s">
        <v>484</v>
      </c>
      <c r="U327" s="3" t="s">
        <v>1689</v>
      </c>
      <c r="V327" s="3" t="s">
        <v>1690</v>
      </c>
      <c r="W327" s="3" t="s">
        <v>1691</v>
      </c>
      <c r="X327" s="3" t="s">
        <v>173</v>
      </c>
      <c r="Y327" s="3" t="str">
        <f>PROPER('Sales_RAW(BEFORE)'!W337)</f>
        <v>Wire Transfer</v>
      </c>
      <c r="Z327" s="3" t="str">
        <f>PROPER('Sales_RAW(BEFORE)'!X337)</f>
        <v>Pending</v>
      </c>
      <c r="AA327" s="3" t="str" cm="1">
        <f t="array" ref="AA327">_xlfn.LET(
  _xlpm.val, TRIM(LOWER('Sales_RAW(BEFORE)'!Y337)),
  _xlfn.IFS(
    OR(_xlpm.val="yes", _xlpm.val="paid"), "Paid",
    OR(_xlpm.val="no", _xlpm.val="unpaid"), "Unpaid",
    OR(_xlpm.val="partial", _xlpm.val="partial paid"), "Partial",
    _xlpm.val="", "",
    TRUE, 'Sales_RAW(BEFORE)'!AY337
  )
)</f>
        <v>Partial</v>
      </c>
      <c r="AB327" s="3" t="s">
        <v>1692</v>
      </c>
      <c r="AC327" s="3" t="str">
        <f>PROPER('Sales_RAW(BEFORE)'!AA337)</f>
        <v>Store</v>
      </c>
      <c r="AD327" s="3" t="str">
        <f>SUBSTITUTE(SUBSTITUTE(SUBSTITUTE(SUBSTITUTE('Sales_RAW(BEFORE)'!AB337,"st",""),"q",""),"Q",""),"uarter","")</f>
        <v>1</v>
      </c>
      <c r="AE327" s="3" t="str">
        <f>TEXT(IFERROR(DATEVALUE('Sales_RAW(BEFORE)'!AC337 &amp; " 1"), IFERROR(DATE(2025, 'Sales_RAW(BEFORE)'!AC337, 1), 'Sales_RAW(BEFORE)'!AC337)), "mmmm")</f>
        <v>June</v>
      </c>
      <c r="AF327" s="3">
        <f>_xlfn.LET(
  _xlpm.raw, TRIM(SUBSTITUTE('Sales_RAW(BEFORE)'!AD337, "'", "")),
  _xlpm.num, IFERROR(VALUE(_xlpm.raw), 0),
  IF(_xlpm.num &lt; 100, 2000 + _xlpm.num, _xlpm.num)
)</f>
        <v>2026</v>
      </c>
      <c r="AG327" s="3" t="str">
        <f>PROPER('Sales_RAW(BEFORE)'!AE337)</f>
        <v>15</v>
      </c>
      <c r="AH327" s="3" cm="1">
        <f t="array" ref="AH327">_xlfn.LET(
  _xlpm.val, LOWER(TRIM('Sales_RAW(BEFORE)'!AF337)),
  _xlfn.IFS(
    OR(_xlpm.val="", _xlpm.val="null", _xlpm.val="N/A", _xlpm.val="-", _xlpm.val="#N/A"), 0,
    ISNUMBER('Sales_RAW(BEFORE)'!AF337), 'Sales_RAW(BEFORE)'!AF337,
    TRUE, IFERROR(_xlfn.NUMBERVALUE(_xlpm.val), 0)
  )
)</f>
        <v>87</v>
      </c>
      <c r="AI327" s="5">
        <f>IF(IFERROR(VALUE(SUBSTITUTE(SUBSTITUTE(TRIM('Sales_RAW(BEFORE)'!AG337), "%", ""), ",", ".")), 0) &gt; 1, IFERROR(VALUE(SUBSTITUTE(SUBSTITUTE(TRIM('Sales_RAW(BEFORE)'!AG337), "%", ""), ",", ".")), 0) / 100, IFERROR(VALUE(SUBSTITUTE(SUBSTITUTE(TRIM('Sales_RAW(BEFORE)'!AG337), "%", ""), ",", ".")), 0))</f>
        <v>0.08</v>
      </c>
      <c r="AJ327" s="6">
        <f t="shared" si="26"/>
        <v>165.04320000000001</v>
      </c>
      <c r="AK327" s="6">
        <f t="shared" si="27"/>
        <v>2228.0832</v>
      </c>
      <c r="AL327" s="6">
        <f>IFERROR(VALUE(SUBSTITUTE(SUBSTITUTE(SUBSTITUTE('Sales_RAW(BEFORE)'!AJ337,"$",""),"USD",""),",",".")),0)</f>
        <v>24.6</v>
      </c>
      <c r="AM327" s="3" t="str">
        <f>SUBSTITUTE(SUBSTITUTE(PROPER('Sales_RAW(BEFORE)'!AK337), "Fed Ex", "FedEx"),"Fedex","FedEx")</f>
        <v>Dhl</v>
      </c>
      <c r="AN327" s="3" t="s">
        <v>1693</v>
      </c>
      <c r="AO327" s="3" t="str">
        <f>SUBSTITUTE('Sales_RAW(BEFORE)'!AM337,"kg","")</f>
        <v>3,97</v>
      </c>
      <c r="AP327" s="3" t="str">
        <f>_xlfn.LET(
  _xlpm.raw, UPPER(TRIM('Sales_RAW(BEFORE)'!AN337)),
  _xlpm.clean, RIGHT(_xlpm.raw, 1),
  IF(OR(_xlpm.raw="", _xlpm.raw="null"), "N/A", _xlpm.clean)
)</f>
        <v>B</v>
      </c>
      <c r="AQ327" s="3">
        <v>374</v>
      </c>
      <c r="AR327" s="3" cm="1">
        <f t="array" ref="AR327">_xlfn.LET(
  _xlpm.raw, LOWER(TRIM('Sales_RAW(BEFORE)'!AP337)),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327" s="3"/>
      <c r="AT327" s="3"/>
      <c r="AU327" s="3"/>
      <c r="AV327" s="8">
        <f>IF(IFERROR(VALUE(SUBSTITUTE(SUBSTITUTE(TRIM('Sales_RAW(BEFORE)'!AT337), "%", ""), ",", ".")), 0) &gt; 1, IFERROR(VALUE(SUBSTITUTE(SUBSTITUTE(TRIM('Sales_RAW(BEFORE)'!AT337), "%", ""), ",", ".")), 0) / 100, IFERROR(VALUE(SUBSTITUTE(SUBSTITUTE(TRIM('Sales_RAW(BEFORE)'!AT337), "%", ""), ",", ".")), 0))</f>
        <v>0.18</v>
      </c>
      <c r="AW327" s="6">
        <f>BA327*(_xlfn.XLOOKUP(N327,Employees!$A$2:$A$26,Employees!$E$2:$E$26,2))</f>
        <v>94.693535999999995</v>
      </c>
      <c r="AX327" s="3" t="str">
        <f>PROPER('Sales_RAW(BEFORE)'!AV337)</f>
        <v xml:space="preserve">John Williams   </v>
      </c>
      <c r="AY327" s="3" t="str">
        <f t="shared" si="28"/>
        <v xml:space="preserve">John Williams   </v>
      </c>
      <c r="AZ327" s="3"/>
      <c r="BA327" s="24">
        <f>AK327*(1-(_xlfn.XLOOKUP(G327, Exchange_Rates!$B$8:$F$8, Exchange_Rates!$B$9:$F$9, 0)+J327))</f>
        <v>1893.8707199999999</v>
      </c>
      <c r="BB327" s="7" cm="1">
        <f t="array" ref="BB327">_xlfn.LET(
  _xlpm.raw_dt, SUBSTITUTE(TRIM(C327), ".", "/"),
  _xlpm.dt, IFERROR(DATEVALUE(_xlpm.raw_dt), C327),
  _xlpm.p_code, TRIM(E327),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46971</v>
      </c>
      <c r="BC327" s="25">
        <f t="shared" si="29"/>
        <v>340.89672959999996</v>
      </c>
    </row>
    <row r="328" spans="1:55" ht="15.75" thickBot="1" x14ac:dyDescent="0.3">
      <c r="A328" s="3" t="s">
        <v>5105</v>
      </c>
      <c r="B328" s="10">
        <v>46176</v>
      </c>
      <c r="C328" s="4">
        <v>46271</v>
      </c>
      <c r="D328" s="3" t="str">
        <f>"P-" &amp; TEXT(VALUE(SUBSTITUTE(SUBSTITUTE(SUBSTITUTE(UPPER(TRIM('Sales_RAW(BEFORE)'!D338)), "P", ""), "-", ""), "_", "")),"000")</f>
        <v>P-023</v>
      </c>
      <c r="E328" s="3" t="str">
        <f>VLOOKUP(D328,Product_List!$A$2:$B$61,2,FALSE)</f>
        <v>Headphones Plus 23</v>
      </c>
      <c r="F328" s="3" t="str">
        <f>_xlfn.XLOOKUP(E328,Product_List!$B$2:$B$61,Product_List!$E$2:$E$61,2)</f>
        <v>BestParts</v>
      </c>
      <c r="G328" s="3" t="str">
        <f>VLOOKUP(E328,Product_List!$B$2:$C$61,2,FALSE)</f>
        <v>Electronics</v>
      </c>
      <c r="H328" s="3" t="str">
        <f>SUBSTITUTE(SUBSTITUTE('Sales_RAW(BEFORE)'!G338,"kom",""),".","")</f>
        <v xml:space="preserve">9 </v>
      </c>
      <c r="I328" s="6">
        <f>VLOOKUP(E328,Product_List!$B$2:$D$61,3,FALSE)</f>
        <v>1260.75</v>
      </c>
      <c r="J328" s="5">
        <f>IF(IFERROR(VALUE(SUBSTITUTE(SUBSTITUTE(TRIM('Sales_RAW(BEFORE)'!I338), "%", ""), ",", ".")), 0) &gt; 1, IFERROR(VALUE(SUBSTITUTE(SUBSTITUTE(TRIM('Sales_RAW(BEFORE)'!I338), "%", ""), ",", ".")), 0) / 100, IFERROR(VALUE(SUBSTITUTE(SUBSTITUTE(TRIM('Sales_RAW(BEFORE)'!I338), "%", ""), ",", ".")), 0))</f>
        <v>0.05</v>
      </c>
      <c r="K328" s="6">
        <f t="shared" si="25"/>
        <v>11346.75</v>
      </c>
      <c r="L328" s="6" t="str" cm="1">
        <f t="array" ref="L328">_xlfn.LET(
  _xlpm.valuta, UPPER(TRIM('Sales_RAW(BEFORE)'!K338)),
  _xlfn.IFS(
    _xlpm.valuta = "", "",
    OR(_xlpm.valuta = "USD", _xlpm.valuta = "$"), "$",
    OR(_xlpm.valuta = "EUR", _xlpm.valuta = "€"), "€",
    TRUE, _xlpm.valuta
  )
)</f>
        <v>$</v>
      </c>
      <c r="M328" s="3" t="str">
        <f>"E" &amp; TEXT(VALUE(SUBSTITUTE(SUBSTITUTE(SUBSTITUTE(UPPER(TRIM('Sales_RAW(BEFORE)'!L338)), "EMP", ""), "E", ""), "-", "")),"000")</f>
        <v>E020</v>
      </c>
      <c r="N328" s="3" t="str">
        <f>_xlfn.XLOOKUP(M328,Employees!$D$2:$D$26,Employees!$A$2:$A$26)</f>
        <v>Robert Taylor</v>
      </c>
      <c r="O328" s="3" t="str">
        <f>_xlfn.XLOOKUP(N328,Employees!$A$2:$A$26,Employees!$C$2:$C$26,2)</f>
        <v>Retail</v>
      </c>
      <c r="P328" s="3" t="str">
        <f>PROPER('Sales_RAW(BEFORE)'!N338)</f>
        <v>West</v>
      </c>
      <c r="Q328" s="3" t="str">
        <f>VLOOKUP(N328,Employees!$A$2:$B$26,2,FALSE)</f>
        <v>New York</v>
      </c>
      <c r="R328" s="3" t="str">
        <f>PROPER('Sales_RAW(BEFORE)'!P338)</f>
        <v>Initech Inc.</v>
      </c>
      <c r="S328" s="3" t="str">
        <f>SUBSTITUTE(SUBSTITUTE('Sales_RAW(BEFORE)'!Q338,"EIN",""),":","")</f>
        <v>168987698</v>
      </c>
      <c r="T328" s="3" t="s">
        <v>702</v>
      </c>
      <c r="U328" s="3" t="s">
        <v>5112</v>
      </c>
      <c r="V328" s="3" t="s">
        <v>5113</v>
      </c>
      <c r="W328" s="3" t="s">
        <v>5114</v>
      </c>
      <c r="X328" s="3" t="s">
        <v>173</v>
      </c>
      <c r="Y328" s="3" t="str">
        <f>PROPER('Sales_RAW(BEFORE)'!W338)</f>
        <v>Credit Card</v>
      </c>
      <c r="Z328" s="3" t="str">
        <f>PROPER('Sales_RAW(BEFORE)'!X338)</f>
        <v>Pending</v>
      </c>
      <c r="AA328" s="3" t="str" cm="1">
        <f t="array" ref="AA328">_xlfn.LET(
  _xlpm.val, TRIM(LOWER('Sales_RAW(BEFORE)'!Y338)),
  _xlfn.IFS(
    OR(_xlpm.val="yes", _xlpm.val="paid"), "Paid",
    OR(_xlpm.val="no", _xlpm.val="unpaid"), "Unpaid",
    OR(_xlpm.val="partial", _xlpm.val="partial paid"), "Partial",
    _xlpm.val="", "",
    TRUE, 'Sales_RAW(BEFORE)'!AY338
  )
)</f>
        <v>Paid</v>
      </c>
      <c r="AB328" s="3" t="s">
        <v>5115</v>
      </c>
      <c r="AC328" s="3" t="str">
        <f>PROPER('Sales_RAW(BEFORE)'!AA338)</f>
        <v>Online</v>
      </c>
      <c r="AD328" s="3" t="str">
        <f>SUBSTITUTE(SUBSTITUTE(SUBSTITUTE(SUBSTITUTE('Sales_RAW(BEFORE)'!AB338,"st",""),"q",""),"Q",""),"uarter","")</f>
        <v>4</v>
      </c>
      <c r="AE328" s="3" t="str">
        <f>TEXT(IFERROR(DATEVALUE('Sales_RAW(BEFORE)'!AC338 &amp; " 1"), IFERROR(DATE(2025, 'Sales_RAW(BEFORE)'!AC338, 1), 'Sales_RAW(BEFORE)'!AC338)), "mmmm")</f>
        <v>June</v>
      </c>
      <c r="AF328" s="3">
        <f>_xlfn.LET(
  _xlpm.raw, TRIM(SUBSTITUTE('Sales_RAW(BEFORE)'!AD338, "'", "")),
  _xlpm.num, IFERROR(VALUE(_xlpm.raw), 0),
  IF(_xlpm.num &lt; 100, 2000 + _xlpm.num, _xlpm.num)
)</f>
        <v>2026</v>
      </c>
      <c r="AG328" s="3" t="str">
        <f>PROPER('Sales_RAW(BEFORE)'!AE338)</f>
        <v>15</v>
      </c>
      <c r="AH328" s="3" cm="1">
        <f t="array" ref="AH328">_xlfn.LET(
  _xlpm.val, LOWER(TRIM('Sales_RAW(BEFORE)'!AF338)),
  _xlfn.IFS(
    OR(_xlpm.val="", _xlpm.val="null", _xlpm.val="N/A", _xlpm.val="-", _xlpm.val="#N/A"), 0,
    ISNUMBER('Sales_RAW(BEFORE)'!AF338), 'Sales_RAW(BEFORE)'!AF338,
    TRUE, IFERROR(_xlfn.NUMBERVALUE(_xlpm.val), 0)
  )
)</f>
        <v>80</v>
      </c>
      <c r="AI328" s="5">
        <f>IF(IFERROR(VALUE(SUBSTITUTE(SUBSTITUTE(TRIM('Sales_RAW(BEFORE)'!AG338), "%", ""), ",", ".")), 0) &gt; 1, IFERROR(VALUE(SUBSTITUTE(SUBSTITUTE(TRIM('Sales_RAW(BEFORE)'!AG338), "%", ""), ",", ".")), 0) / 100, IFERROR(VALUE(SUBSTITUTE(SUBSTITUTE(TRIM('Sales_RAW(BEFORE)'!AG338), "%", ""), ",", ".")), 0))</f>
        <v>0.08</v>
      </c>
      <c r="AJ328" s="6">
        <f t="shared" si="26"/>
        <v>907.74</v>
      </c>
      <c r="AK328" s="6">
        <f t="shared" si="27"/>
        <v>12254.49</v>
      </c>
      <c r="AL328" s="6">
        <f>IFERROR(VALUE(SUBSTITUTE(SUBSTITUTE(SUBSTITUTE('Sales_RAW(BEFORE)'!AJ338,"$",""),"USD",""),",",".")),0)</f>
        <v>7.09</v>
      </c>
      <c r="AM328" s="3" t="str">
        <f>SUBSTITUTE(SUBSTITUTE(PROPER('Sales_RAW(BEFORE)'!AK338), "Fed Ex", "FedEx"),"Fedex","FedEx")</f>
        <v>Usps</v>
      </c>
      <c r="AN328" s="3" t="s">
        <v>5117</v>
      </c>
      <c r="AO328" s="3" t="str">
        <f>SUBSTITUTE('Sales_RAW(BEFORE)'!AM338,"kg","")</f>
        <v>1.23</v>
      </c>
      <c r="AP328" s="3" t="str">
        <f>_xlfn.LET(
  _xlpm.raw, UPPER(TRIM('Sales_RAW(BEFORE)'!AN338)),
  _xlpm.clean, RIGHT(_xlpm.raw, 1),
  IF(OR(_xlpm.raw="", _xlpm.raw="null"), "N/A", _xlpm.clean)
)</f>
        <v>A</v>
      </c>
      <c r="AQ328" s="3">
        <v>303</v>
      </c>
      <c r="AR328" s="3" cm="1">
        <f t="array" ref="AR328">_xlfn.LET(
  _xlpm.raw, LOWER(TRIM('Sales_RAW(BEFORE)'!AP338)),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328" s="3"/>
      <c r="AT328" s="3"/>
      <c r="AU328" s="3"/>
      <c r="AV328" s="8">
        <f>IF(IFERROR(VALUE(SUBSTITUTE(SUBSTITUTE(TRIM('Sales_RAW(BEFORE)'!AT338), "%", ""), ",", ".")), 0) &gt; 1, IFERROR(VALUE(SUBSTITUTE(SUBSTITUTE(TRIM('Sales_RAW(BEFORE)'!AT338), "%", ""), ",", ".")), 0) / 100, IFERROR(VALUE(SUBSTITUTE(SUBSTITUTE(TRIM('Sales_RAW(BEFORE)'!AT338), "%", ""), ",", ".")), 0))</f>
        <v>0.15</v>
      </c>
      <c r="AW328" s="6">
        <f>BA328*(_xlfn.XLOOKUP(N328,Employees!$A$2:$A$26,Employees!$E$2:$E$26,2))</f>
        <v>312.48949499999998</v>
      </c>
      <c r="AX328" s="3" t="str">
        <f>PROPER('Sales_RAW(BEFORE)'!AV338)</f>
        <v xml:space="preserve">Jessica Brown  </v>
      </c>
      <c r="AY328" s="3" t="str">
        <f t="shared" si="28"/>
        <v xml:space="preserve">Jessica Brown  </v>
      </c>
      <c r="AZ328" s="3"/>
      <c r="BA328" s="24">
        <f>AK328*(1-(_xlfn.XLOOKUP(G328, Exchange_Rates!$B$8:$F$8, Exchange_Rates!$B$9:$F$9, 0)+J328))</f>
        <v>10416.316499999999</v>
      </c>
      <c r="BB328" s="7" cm="1">
        <f t="array" ref="BB328">_xlfn.LET(
  _xlpm.raw_dt, SUBSTITUTE(TRIM(C328), ".", "/"),
  _xlpm.dt, IFERROR(DATEVALUE(_xlpm.raw_dt), C328),
  _xlpm.p_code, TRIM(E328),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47002</v>
      </c>
      <c r="BC328" s="25">
        <f t="shared" si="29"/>
        <v>1562.4474749999997</v>
      </c>
    </row>
    <row r="329" spans="1:55" ht="15.75" thickBot="1" x14ac:dyDescent="0.3">
      <c r="A329" s="3" t="s">
        <v>5119</v>
      </c>
      <c r="B329" s="10">
        <v>45827</v>
      </c>
      <c r="C329" s="4">
        <f>DATE(2025,6,29)</f>
        <v>45837</v>
      </c>
      <c r="D329" s="3" t="str">
        <f>"P-" &amp; TEXT(VALUE(SUBSTITUTE(SUBSTITUTE(SUBSTITUTE(UPPER(TRIM('Sales_RAW(BEFORE)'!D339)), "P", ""), "-", ""), "_", "")),"000")</f>
        <v>P-009</v>
      </c>
      <c r="E329" s="3" t="str">
        <f>VLOOKUP(D329,Product_List!$A$2:$B$61,2,FALSE)</f>
        <v>Chair Plus 9</v>
      </c>
      <c r="F329" s="3" t="str">
        <f>_xlfn.XLOOKUP(E329,Product_List!$B$2:$B$61,Product_List!$E$2:$E$61,2)</f>
        <v>BestParts</v>
      </c>
      <c r="G329" s="3" t="str">
        <f>VLOOKUP(E329,Product_List!$B$2:$C$61,2,FALSE)</f>
        <v>Office</v>
      </c>
      <c r="H329" s="3" t="str">
        <f>SUBSTITUTE(SUBSTITUTE('Sales_RAW(BEFORE)'!G339,"kom",""),".","")</f>
        <v>29</v>
      </c>
      <c r="I329" s="6">
        <f>VLOOKUP(E329,Product_List!$B$2:$D$61,3,FALSE)</f>
        <v>813.33</v>
      </c>
      <c r="J329" s="5">
        <f>IF(IFERROR(VALUE(SUBSTITUTE(SUBSTITUTE(TRIM('Sales_RAW(BEFORE)'!I339), "%", ""), ",", ".")), 0) &gt; 1, IFERROR(VALUE(SUBSTITUTE(SUBSTITUTE(TRIM('Sales_RAW(BEFORE)'!I339), "%", ""), ",", ".")), 0) / 100, IFERROR(VALUE(SUBSTITUTE(SUBSTITUTE(TRIM('Sales_RAW(BEFORE)'!I339), "%", ""), ",", ".")), 0))</f>
        <v>0.1</v>
      </c>
      <c r="K329" s="6">
        <f t="shared" si="25"/>
        <v>23586.57</v>
      </c>
      <c r="L329" s="6" t="str" cm="1">
        <f t="array" ref="L329">_xlfn.LET(
  _xlpm.valuta, UPPER(TRIM('Sales_RAW(BEFORE)'!K339)),
  _xlfn.IFS(
    _xlpm.valuta = "", "",
    OR(_xlpm.valuta = "USD", _xlpm.valuta = "$"), "$",
    OR(_xlpm.valuta = "EUR", _xlpm.valuta = "€"), "€",
    TRUE, _xlpm.valuta
  )
)</f>
        <v>$</v>
      </c>
      <c r="M329" s="3" t="str">
        <f>"E" &amp; TEXT(VALUE(SUBSTITUTE(SUBSTITUTE(SUBSTITUTE(UPPER(TRIM('Sales_RAW(BEFORE)'!L339)), "EMP", ""), "E", ""), "-", "")),"000")</f>
        <v>E020</v>
      </c>
      <c r="N329" s="3" t="str">
        <f>_xlfn.XLOOKUP(M329,Employees!$D$2:$D$26,Employees!$A$2:$A$26)</f>
        <v>Robert Taylor</v>
      </c>
      <c r="O329" s="3" t="str">
        <f>_xlfn.XLOOKUP(N329,Employees!$A$2:$A$26,Employees!$C$2:$C$26,2)</f>
        <v>Retail</v>
      </c>
      <c r="P329" s="3" t="str">
        <f>PROPER('Sales_RAW(BEFORE)'!N339)</f>
        <v>South</v>
      </c>
      <c r="Q329" s="3" t="str">
        <f>VLOOKUP(N329,Employees!$A$2:$B$26,2,FALSE)</f>
        <v>New York</v>
      </c>
      <c r="R329" s="3" t="str">
        <f>PROPER('Sales_RAW(BEFORE)'!P339)</f>
        <v>Stark Ltd.</v>
      </c>
      <c r="S329" s="3" t="str">
        <f>SUBSTITUTE(SUBSTITUTE('Sales_RAW(BEFORE)'!Q339,"EIN",""),":","")</f>
        <v>621026622</v>
      </c>
      <c r="T329" s="3" t="s">
        <v>564</v>
      </c>
      <c r="U329" s="3" t="s">
        <v>5124</v>
      </c>
      <c r="V329" s="3" t="s">
        <v>5125</v>
      </c>
      <c r="W329" s="3" t="s">
        <v>5126</v>
      </c>
      <c r="X329" s="3" t="s">
        <v>173</v>
      </c>
      <c r="Y329" s="3" t="str">
        <f>PROPER('Sales_RAW(BEFORE)'!W339)</f>
        <v>Credit Card</v>
      </c>
      <c r="Z329" s="3" t="str">
        <f>PROPER('Sales_RAW(BEFORE)'!X339)</f>
        <v>Delivered</v>
      </c>
      <c r="AA329" s="3" t="str" cm="1">
        <f t="array" ref="AA329">_xlfn.LET(
  _xlpm.val, TRIM(LOWER('Sales_RAW(BEFORE)'!Y339)),
  _xlfn.IFS(
    OR(_xlpm.val="yes", _xlpm.val="paid"), "Paid",
    OR(_xlpm.val="no", _xlpm.val="unpaid"), "Unpaid",
    OR(_xlpm.val="partial", _xlpm.val="partial paid"), "Partial",
    _xlpm.val="", "",
    TRUE, 'Sales_RAW(BEFORE)'!AY339
  )
)</f>
        <v>Paid</v>
      </c>
      <c r="AB329" s="3" t="s">
        <v>5127</v>
      </c>
      <c r="AC329" s="3" t="str">
        <f>PROPER('Sales_RAW(BEFORE)'!AA339)</f>
        <v>Online</v>
      </c>
      <c r="AD329" s="3" t="str">
        <f>SUBSTITUTE(SUBSTITUTE(SUBSTITUTE(SUBSTITUTE('Sales_RAW(BEFORE)'!AB339,"st",""),"q",""),"Q",""),"uarter","")</f>
        <v>2</v>
      </c>
      <c r="AE329" s="3" t="str">
        <f>TEXT(IFERROR(DATEVALUE('Sales_RAW(BEFORE)'!AC339 &amp; " 1"), IFERROR(DATE(2025, 'Sales_RAW(BEFORE)'!AC339, 1), 'Sales_RAW(BEFORE)'!AC339)), "mmmm")</f>
        <v>June</v>
      </c>
      <c r="AF329" s="3">
        <f>_xlfn.LET(
  _xlpm.raw, TRIM(SUBSTITUTE('Sales_RAW(BEFORE)'!AD339, "'", "")),
  _xlpm.num, IFERROR(VALUE(_xlpm.raw), 0),
  IF(_xlpm.num &lt; 100, 2000 + _xlpm.num, _xlpm.num)
)</f>
        <v>2025</v>
      </c>
      <c r="AG329" s="3" t="str">
        <f>PROPER('Sales_RAW(BEFORE)'!AE339)</f>
        <v>Net 30</v>
      </c>
      <c r="AH329" s="3" cm="1">
        <f t="array" ref="AH329">_xlfn.LET(
  _xlpm.val, LOWER(TRIM('Sales_RAW(BEFORE)'!AF339)),
  _xlfn.IFS(
    OR(_xlpm.val="", _xlpm.val="null", _xlpm.val="N/A", _xlpm.val="-", _xlpm.val="#N/A"), 0,
    ISNUMBER('Sales_RAW(BEFORE)'!AF339), 'Sales_RAW(BEFORE)'!AF339,
    TRUE, IFERROR(_xlfn.NUMBERVALUE(_xlpm.val), 0)
  )
)</f>
        <v>79</v>
      </c>
      <c r="AI329" s="5">
        <f>IF(IFERROR(VALUE(SUBSTITUTE(SUBSTITUTE(TRIM('Sales_RAW(BEFORE)'!AG339), "%", ""), ",", ".")), 0) &gt; 1, IFERROR(VALUE(SUBSTITUTE(SUBSTITUTE(TRIM('Sales_RAW(BEFORE)'!AG339), "%", ""), ",", ".")), 0) / 100, IFERROR(VALUE(SUBSTITUTE(SUBSTITUTE(TRIM('Sales_RAW(BEFORE)'!AG339), "%", ""), ",", ".")), 0))</f>
        <v>0.08</v>
      </c>
      <c r="AJ329" s="6">
        <f t="shared" si="26"/>
        <v>1886.9256</v>
      </c>
      <c r="AK329" s="6">
        <f t="shared" si="27"/>
        <v>25473.495599999998</v>
      </c>
      <c r="AL329" s="6">
        <f>IFERROR(VALUE(SUBSTITUTE(SUBSTITUTE(SUBSTITUTE('Sales_RAW(BEFORE)'!AJ339,"$",""),"USD",""),",",".")),0)</f>
        <v>40.79</v>
      </c>
      <c r="AM329" s="3" t="str">
        <f>SUBSTITUTE(SUBSTITUTE(PROPER('Sales_RAW(BEFORE)'!AK339), "Fed Ex", "FedEx"),"Fedex","FedEx")</f>
        <v>Ups</v>
      </c>
      <c r="AN329" s="3" t="s">
        <v>5129</v>
      </c>
      <c r="AO329" s="3" t="str">
        <f>SUBSTITUTE('Sales_RAW(BEFORE)'!AM339,"kg","")</f>
        <v>7.27</v>
      </c>
      <c r="AP329" s="3" t="str">
        <f>_xlfn.LET(
  _xlpm.raw, UPPER(TRIM('Sales_RAW(BEFORE)'!AN339)),
  _xlpm.clean, RIGHT(_xlpm.raw, 1),
  IF(OR(_xlpm.raw="", _xlpm.raw="null"), "N/A", _xlpm.clean)
)</f>
        <v>C</v>
      </c>
      <c r="AQ329" s="3">
        <v>109</v>
      </c>
      <c r="AR329" s="3" cm="1">
        <f t="array" ref="AR329">_xlfn.LET(
  _xlpm.raw, LOWER(TRIM('Sales_RAW(BEFORE)'!AP339)),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329" s="3"/>
      <c r="AT329" s="3"/>
      <c r="AU329" s="3"/>
      <c r="AV329" s="8">
        <f>IF(IFERROR(VALUE(SUBSTITUTE(SUBSTITUTE(TRIM('Sales_RAW(BEFORE)'!AT339), "%", ""), ",", ".")), 0) &gt; 1, IFERROR(VALUE(SUBSTITUTE(SUBSTITUTE(TRIM('Sales_RAW(BEFORE)'!AT339), "%", ""), ",", ".")), 0) / 100, IFERROR(VALUE(SUBSTITUTE(SUBSTITUTE(TRIM('Sales_RAW(BEFORE)'!AT339), "%", ""), ",", ".")), 0))</f>
        <v>0.3</v>
      </c>
      <c r="AW329" s="6">
        <f>BA329*(_xlfn.XLOOKUP(N329,Employees!$A$2:$A$26,Employees!$E$2:$E$26,2))</f>
        <v>611.36389440000005</v>
      </c>
      <c r="AX329" s="3" t="str">
        <f>PROPER('Sales_RAW(BEFORE)'!AV339)</f>
        <v>Emily Jones</v>
      </c>
      <c r="AY329" s="3" t="str">
        <f t="shared" si="28"/>
        <v>Emily Jones</v>
      </c>
      <c r="AZ329" s="3"/>
      <c r="BA329" s="24">
        <f>AK329*(1-(_xlfn.XLOOKUP(G329, Exchange_Rates!$B$8:$F$8, Exchange_Rates!$B$9:$F$9, 0)+J329))</f>
        <v>20378.796480000001</v>
      </c>
      <c r="BB329" s="7" cm="1">
        <f t="array" ref="BB329">_xlfn.LET(
  _xlpm.raw_dt, SUBSTITUTE(TRIM(C329), ".", "/"),
  _xlpm.dt, IFERROR(DATEVALUE(_xlpm.raw_dt), C329),
  _xlpm.p_code, TRIM(E329),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46933</v>
      </c>
      <c r="BC329" s="25">
        <f t="shared" si="29"/>
        <v>6113.6389440000003</v>
      </c>
    </row>
    <row r="330" spans="1:55" ht="15.75" thickBot="1" x14ac:dyDescent="0.3">
      <c r="A330" s="3" t="s">
        <v>5132</v>
      </c>
      <c r="B330" s="10">
        <f>DATE(2026,2,11)</f>
        <v>46064</v>
      </c>
      <c r="C330" s="4">
        <v>46074</v>
      </c>
      <c r="D330" s="3" t="str">
        <f>"P-" &amp; TEXT(VALUE(SUBSTITUTE(SUBSTITUTE(SUBSTITUTE(UPPER(TRIM('Sales_RAW(BEFORE)'!D340)), "P", ""), "-", ""), "_", "")),"000")</f>
        <v>P-055</v>
      </c>
      <c r="E330" s="3" t="str">
        <f>VLOOKUP(D330,Product_List!$A$2:$B$61,2,FALSE)</f>
        <v>Cable Basic 55</v>
      </c>
      <c r="F330" s="3" t="str">
        <f>_xlfn.XLOOKUP(E330,Product_List!$B$2:$B$61,Product_List!$E$2:$E$61,2)</f>
        <v>BestParts</v>
      </c>
      <c r="G330" s="3" t="str">
        <f>VLOOKUP(E330,Product_List!$B$2:$C$61,2,FALSE)</f>
        <v>Office</v>
      </c>
      <c r="H330" s="3" t="str">
        <f>SUBSTITUTE(SUBSTITUTE('Sales_RAW(BEFORE)'!G340,"kom",""),".","")</f>
        <v xml:space="preserve">36 </v>
      </c>
      <c r="I330" s="6">
        <f>VLOOKUP(E330,Product_List!$B$2:$D$61,3,FALSE)</f>
        <v>921.78</v>
      </c>
      <c r="J330" s="5">
        <f>IF(IFERROR(VALUE(SUBSTITUTE(SUBSTITUTE(TRIM('Sales_RAW(BEFORE)'!I340), "%", ""), ",", ".")), 0) &gt; 1, IFERROR(VALUE(SUBSTITUTE(SUBSTITUTE(TRIM('Sales_RAW(BEFORE)'!I340), "%", ""), ",", ".")), 0) / 100, IFERROR(VALUE(SUBSTITUTE(SUBSTITUTE(TRIM('Sales_RAW(BEFORE)'!I340), "%", ""), ",", ".")), 0))</f>
        <v>0.1</v>
      </c>
      <c r="K330" s="6">
        <f t="shared" si="25"/>
        <v>33184.080000000002</v>
      </c>
      <c r="L330" s="6" t="str" cm="1">
        <f t="array" ref="L330">_xlfn.LET(
  _xlpm.valuta, UPPER(TRIM('Sales_RAW(BEFORE)'!K340)),
  _xlfn.IFS(
    _xlpm.valuta = "", "",
    OR(_xlpm.valuta = "USD", _xlpm.valuta = "$"), "$",
    OR(_xlpm.valuta = "EUR", _xlpm.valuta = "€"), "€",
    TRUE, _xlpm.valuta
  )
)</f>
        <v>$</v>
      </c>
      <c r="M330" s="3" t="str">
        <f>"E" &amp; TEXT(VALUE(SUBSTITUTE(SUBSTITUTE(SUBSTITUTE(UPPER(TRIM('Sales_RAW(BEFORE)'!L340)), "EMP", ""), "E", ""), "-", "")),"000")</f>
        <v>E007</v>
      </c>
      <c r="N330" s="3" t="str">
        <f>_xlfn.XLOOKUP(M330,Employees!$D$2:$D$26,Employees!$A$2:$A$26)</f>
        <v>Emma Johnson</v>
      </c>
      <c r="O330" s="3" t="str">
        <f>_xlfn.XLOOKUP(N330,Employees!$A$2:$A$26,Employees!$C$2:$C$26,2)</f>
        <v>Wholesale</v>
      </c>
      <c r="P330" s="3" t="str">
        <f>PROPER('Sales_RAW(BEFORE)'!N340)</f>
        <v>North</v>
      </c>
      <c r="Q330" s="3" t="str">
        <f>VLOOKUP(N330,Employees!$A$2:$B$26,2,FALSE)</f>
        <v>Seattle</v>
      </c>
      <c r="R330" s="3" t="str">
        <f>PROPER('Sales_RAW(BEFORE)'!P340)</f>
        <v>Globex Ltd.</v>
      </c>
      <c r="S330" s="3" t="str">
        <f>SUBSTITUTE(SUBSTITUTE('Sales_RAW(BEFORE)'!Q340,"EIN",""),":","")</f>
        <v>384045979</v>
      </c>
      <c r="T330" s="3" t="s">
        <v>464</v>
      </c>
      <c r="U330" s="3" t="s">
        <v>5138</v>
      </c>
      <c r="V330" s="3" t="s">
        <v>5139</v>
      </c>
      <c r="W330" s="3" t="s">
        <v>5140</v>
      </c>
      <c r="X330" s="3" t="s">
        <v>173</v>
      </c>
      <c r="Y330" s="3" t="str">
        <f>PROPER('Sales_RAW(BEFORE)'!W340)</f>
        <v>Cash</v>
      </c>
      <c r="Z330" s="3" t="str">
        <f>PROPER('Sales_RAW(BEFORE)'!X340)</f>
        <v>Delivered</v>
      </c>
      <c r="AA330" s="3" t="str" cm="1">
        <f t="array" ref="AA330">_xlfn.LET(
  _xlpm.val, TRIM(LOWER('Sales_RAW(BEFORE)'!Y340)),
  _xlfn.IFS(
    OR(_xlpm.val="yes", _xlpm.val="paid"), "Paid",
    OR(_xlpm.val="no", _xlpm.val="unpaid"), "Unpaid",
    OR(_xlpm.val="partial", _xlpm.val="partial paid"), "Partial",
    _xlpm.val="", "",
    TRUE, 'Sales_RAW(BEFORE)'!AY340
  )
)</f>
        <v>Paid</v>
      </c>
      <c r="AB330" s="3" t="s">
        <v>5141</v>
      </c>
      <c r="AC330" s="3" t="str">
        <f>PROPER('Sales_RAW(BEFORE)'!AA340)</f>
        <v>Store</v>
      </c>
      <c r="AD330" s="3" t="str">
        <f>SUBSTITUTE(SUBSTITUTE(SUBSTITUTE(SUBSTITUTE('Sales_RAW(BEFORE)'!AB340,"st",""),"q",""),"Q",""),"uarter","")</f>
        <v>1</v>
      </c>
      <c r="AE330" s="3" t="str">
        <f>TEXT(IFERROR(DATEVALUE('Sales_RAW(BEFORE)'!AC340 &amp; " 1"), IFERROR(DATE(2025, 'Sales_RAW(BEFORE)'!AC340, 1), 'Sales_RAW(BEFORE)'!AC340)), "mmmm")</f>
        <v>February</v>
      </c>
      <c r="AF330" s="3">
        <f>_xlfn.LET(
  _xlpm.raw, TRIM(SUBSTITUTE('Sales_RAW(BEFORE)'!AD340, "'", "")),
  _xlpm.num, IFERROR(VALUE(_xlpm.raw), 0),
  IF(_xlpm.num &lt; 100, 2000 + _xlpm.num, _xlpm.num)
)</f>
        <v>2026</v>
      </c>
      <c r="AG330" s="3" t="str">
        <f>PROPER('Sales_RAW(BEFORE)'!AE340)</f>
        <v>Immediate</v>
      </c>
      <c r="AH330" s="3" cm="1">
        <f t="array" ref="AH330">_xlfn.LET(
  _xlpm.val, LOWER(TRIM('Sales_RAW(BEFORE)'!AF340)),
  _xlfn.IFS(
    OR(_xlpm.val="", _xlpm.val="null", _xlpm.val="N/A", _xlpm.val="-", _xlpm.val="#N/A"), 0,
    ISNUMBER('Sales_RAW(BEFORE)'!AF340), 'Sales_RAW(BEFORE)'!AF340,
    TRUE, IFERROR(_xlfn.NUMBERVALUE(_xlpm.val), 0)
  )
)</f>
        <v>0</v>
      </c>
      <c r="AI330" s="5">
        <f>IF(IFERROR(VALUE(SUBSTITUTE(SUBSTITUTE(TRIM('Sales_RAW(BEFORE)'!AG340), "%", ""), ",", ".")), 0) &gt; 1, IFERROR(VALUE(SUBSTITUTE(SUBSTITUTE(TRIM('Sales_RAW(BEFORE)'!AG340), "%", ""), ",", ".")), 0) / 100, IFERROR(VALUE(SUBSTITUTE(SUBSTITUTE(TRIM('Sales_RAW(BEFORE)'!AG340), "%", ""), ",", ".")), 0))</f>
        <v>0.08</v>
      </c>
      <c r="AJ330" s="6">
        <f t="shared" si="26"/>
        <v>2654.7264</v>
      </c>
      <c r="AK330" s="6">
        <f t="shared" si="27"/>
        <v>35838.806400000001</v>
      </c>
      <c r="AL330" s="6">
        <f>IFERROR(VALUE(SUBSTITUTE(SUBSTITUTE(SUBSTITUTE('Sales_RAW(BEFORE)'!AJ340,"$",""),"USD",""),",",".")),0)</f>
        <v>17.89</v>
      </c>
      <c r="AM330" s="3" t="str">
        <f>SUBSTITUTE(SUBSTITUTE(PROPER('Sales_RAW(BEFORE)'!AK340), "Fed Ex", "FedEx"),"Fedex","FedEx")</f>
        <v>Usps</v>
      </c>
      <c r="AN330" s="3" t="s">
        <v>5142</v>
      </c>
      <c r="AO330" s="3" t="str">
        <f>SUBSTITUTE('Sales_RAW(BEFORE)'!AM340,"kg","")</f>
        <v xml:space="preserve">26.9 </v>
      </c>
      <c r="AP330" s="3" t="str">
        <f>_xlfn.LET(
  _xlpm.raw, UPPER(TRIM('Sales_RAW(BEFORE)'!AN340)),
  _xlpm.clean, RIGHT(_xlpm.raw, 1),
  IF(OR(_xlpm.raw="", _xlpm.raw="null"), "N/A", _xlpm.clean)
)</f>
        <v>C</v>
      </c>
      <c r="AQ330" s="3">
        <v>60</v>
      </c>
      <c r="AR330" s="3" cm="1">
        <f t="array" ref="AR330">_xlfn.LET(
  _xlpm.raw, LOWER(TRIM('Sales_RAW(BEFORE)'!AP340)),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3</v>
      </c>
      <c r="AS330" s="3"/>
      <c r="AT330" s="3"/>
      <c r="AU330" s="3"/>
      <c r="AV330" s="8">
        <f>IF(IFERROR(VALUE(SUBSTITUTE(SUBSTITUTE(TRIM('Sales_RAW(BEFORE)'!AT340), "%", ""), ",", ".")), 0) &gt; 1, IFERROR(VALUE(SUBSTITUTE(SUBSTITUTE(TRIM('Sales_RAW(BEFORE)'!AT340), "%", ""), ",", ".")), 0) / 100, IFERROR(VALUE(SUBSTITUTE(SUBSTITUTE(TRIM('Sales_RAW(BEFORE)'!AT340), "%", ""), ",", ".")), 0))</f>
        <v>0.18</v>
      </c>
      <c r="AW330" s="6">
        <f>BA330*(_xlfn.XLOOKUP(N330,Employees!$A$2:$A$26,Employees!$E$2:$E$26,2))</f>
        <v>860.13135360000001</v>
      </c>
      <c r="AX330" s="3" t="str">
        <f>PROPER('Sales_RAW(BEFORE)'!AV340)</f>
        <v>Sophia Davis</v>
      </c>
      <c r="AY330" s="3" t="str">
        <f t="shared" si="28"/>
        <v>Sophia Davis</v>
      </c>
      <c r="AZ330" s="3"/>
      <c r="BA330" s="24">
        <f>AK330*(1-(_xlfn.XLOOKUP(G330, Exchange_Rates!$B$8:$F$8, Exchange_Rates!$B$9:$F$9, 0)+J330))</f>
        <v>28671.045120000002</v>
      </c>
      <c r="BB330" s="7" cm="1">
        <f t="array" ref="BB330">_xlfn.LET(
  _xlpm.raw_dt, SUBSTITUTE(TRIM(C330), ".", "/"),
  _xlpm.dt, IFERROR(DATEVALUE(_xlpm.raw_dt), C330),
  _xlpm.p_code, TRIM(E330),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46804</v>
      </c>
      <c r="BC330" s="25">
        <f t="shared" si="29"/>
        <v>5160.7881216000005</v>
      </c>
    </row>
    <row r="331" spans="1:55" ht="15.75" thickBot="1" x14ac:dyDescent="0.3">
      <c r="A331" s="3" t="s">
        <v>5144</v>
      </c>
      <c r="B331" s="10">
        <v>46176</v>
      </c>
      <c r="C331" s="4">
        <v>46179</v>
      </c>
      <c r="D331" s="3" t="str">
        <f>"P-" &amp; TEXT(VALUE(SUBSTITUTE(SUBSTITUTE(SUBSTITUTE(UPPER(TRIM('Sales_RAW(BEFORE)'!D341)), "P", ""), "-", ""), "_", "")),"000")</f>
        <v>P-053</v>
      </c>
      <c r="E331" s="3" t="str">
        <f>VLOOKUP(D331,Product_List!$A$2:$B$61,2,FALSE)</f>
        <v>Monitor Basic 53</v>
      </c>
      <c r="F331" s="3" t="str">
        <f>_xlfn.XLOOKUP(E331,Product_List!$B$2:$B$61,Product_List!$E$2:$E$61,2)</f>
        <v>Global Distrib</v>
      </c>
      <c r="G331" s="3" t="str">
        <f>VLOOKUP(E331,Product_List!$B$2:$C$61,2,FALSE)</f>
        <v>Equipment</v>
      </c>
      <c r="H331" s="3" t="str">
        <f>SUBSTITUTE(SUBSTITUTE('Sales_RAW(BEFORE)'!G341,"kom",""),".","")</f>
        <v xml:space="preserve">40 </v>
      </c>
      <c r="I331" s="6">
        <f>VLOOKUP(E331,Product_List!$B$2:$D$61,3,FALSE)</f>
        <v>553.22</v>
      </c>
      <c r="J331" s="5">
        <f>IF(IFERROR(VALUE(SUBSTITUTE(SUBSTITUTE(TRIM('Sales_RAW(BEFORE)'!I341), "%", ""), ",", ".")), 0) &gt; 1, IFERROR(VALUE(SUBSTITUTE(SUBSTITUTE(TRIM('Sales_RAW(BEFORE)'!I341), "%", ""), ",", ".")), 0) / 100, IFERROR(VALUE(SUBSTITUTE(SUBSTITUTE(TRIM('Sales_RAW(BEFORE)'!I341), "%", ""), ",", ".")), 0))</f>
        <v>0.1</v>
      </c>
      <c r="K331" s="6">
        <f t="shared" si="25"/>
        <v>22128.800000000003</v>
      </c>
      <c r="L331" s="6" t="str" cm="1">
        <f t="array" ref="L331">_xlfn.LET(
  _xlpm.valuta, UPPER(TRIM('Sales_RAW(BEFORE)'!K341)),
  _xlfn.IFS(
    _xlpm.valuta = "", "",
    OR(_xlpm.valuta = "USD", _xlpm.valuta = "$"), "$",
    OR(_xlpm.valuta = "EUR", _xlpm.valuta = "€"), "€",
    TRUE, _xlpm.valuta
  )
)</f>
        <v>$</v>
      </c>
      <c r="M331" s="3" t="str">
        <f>"E" &amp; TEXT(VALUE(SUBSTITUTE(SUBSTITUTE(SUBSTITUTE(UPPER(TRIM('Sales_RAW(BEFORE)'!L341)), "EMP", ""), "E", ""), "-", "")),"000")</f>
        <v>E008</v>
      </c>
      <c r="N331" s="3" t="str">
        <f>_xlfn.XLOOKUP(M331,Employees!$D$2:$D$26,Employees!$A$2:$A$26)</f>
        <v>Michael Williams</v>
      </c>
      <c r="O331" s="3" t="str">
        <f>_xlfn.XLOOKUP(N331,Employees!$A$2:$A$26,Employees!$C$2:$C$26,2)</f>
        <v>Wholesale</v>
      </c>
      <c r="P331" s="3" t="str">
        <f>PROPER('Sales_RAW(BEFORE)'!N341)</f>
        <v>West</v>
      </c>
      <c r="Q331" s="3" t="str">
        <f>VLOOKUP(N331,Employees!$A$2:$B$26,2,FALSE)</f>
        <v>New York</v>
      </c>
      <c r="R331" s="3" t="str">
        <f>PROPER('Sales_RAW(BEFORE)'!P341)</f>
        <v xml:space="preserve">Initech Inc </v>
      </c>
      <c r="S331" s="3" t="str">
        <f>SUBSTITUTE(SUBSTITUTE('Sales_RAW(BEFORE)'!Q341,"EIN",""),":","")</f>
        <v>203070226</v>
      </c>
      <c r="T331" s="3" t="s">
        <v>400</v>
      </c>
      <c r="U331" s="3" t="s">
        <v>5152</v>
      </c>
      <c r="V331" s="3" t="s">
        <v>5153</v>
      </c>
      <c r="W331" s="3" t="s">
        <v>5154</v>
      </c>
      <c r="X331" s="3" t="s">
        <v>173</v>
      </c>
      <c r="Y331" s="3" t="str">
        <f>PROPER('Sales_RAW(BEFORE)'!W341)</f>
        <v>Wire Transfer</v>
      </c>
      <c r="Z331" s="3" t="str">
        <f>PROPER('Sales_RAW(BEFORE)'!X341)</f>
        <v>Delivered</v>
      </c>
      <c r="AA331" s="3" t="str" cm="1">
        <f t="array" ref="AA331">_xlfn.LET(
  _xlpm.val, TRIM(LOWER('Sales_RAW(BEFORE)'!Y341)),
  _xlfn.IFS(
    OR(_xlpm.val="yes", _xlpm.val="paid"), "Paid",
    OR(_xlpm.val="no", _xlpm.val="unpaid"), "Unpaid",
    OR(_xlpm.val="partial", _xlpm.val="partial paid"), "Partial",
    _xlpm.val="", "",
    TRUE, 'Sales_RAW(BEFORE)'!AY341
  )
)</f>
        <v>Unpaid</v>
      </c>
      <c r="AB331" s="3" t="s">
        <v>5155</v>
      </c>
      <c r="AC331" s="3" t="str">
        <f>PROPER('Sales_RAW(BEFORE)'!AA341)</f>
        <v>Online</v>
      </c>
      <c r="AD331" s="3" t="str">
        <f>SUBSTITUTE(SUBSTITUTE(SUBSTITUTE(SUBSTITUTE('Sales_RAW(BEFORE)'!AB341,"st",""),"q",""),"Q",""),"uarter","")</f>
        <v>1</v>
      </c>
      <c r="AE331" s="3" t="str">
        <f>TEXT(IFERROR(DATEVALUE('Sales_RAW(BEFORE)'!AC341 &amp; " 1"), IFERROR(DATE(2025, 'Sales_RAW(BEFORE)'!AC341, 1), 'Sales_RAW(BEFORE)'!AC341)), "mmmm")</f>
        <v>June</v>
      </c>
      <c r="AF331" s="3">
        <f>_xlfn.LET(
  _xlpm.raw, TRIM(SUBSTITUTE('Sales_RAW(BEFORE)'!AD341, "'", "")),
  _xlpm.num, IFERROR(VALUE(_xlpm.raw), 0),
  IF(_xlpm.num &lt; 100, 2000 + _xlpm.num, _xlpm.num)
)</f>
        <v>2026</v>
      </c>
      <c r="AG331" s="3" t="str">
        <f>PROPER('Sales_RAW(BEFORE)'!AE341)</f>
        <v>Immediate</v>
      </c>
      <c r="AH331" s="3" cm="1">
        <f t="array" ref="AH331">_xlfn.LET(
  _xlpm.val, LOWER(TRIM('Sales_RAW(BEFORE)'!AF341)),
  _xlfn.IFS(
    OR(_xlpm.val="", _xlpm.val="null", _xlpm.val="N/A", _xlpm.val="-", _xlpm.val="#N/A"), 0,
    ISNUMBER('Sales_RAW(BEFORE)'!AF341), 'Sales_RAW(BEFORE)'!AF341,
    TRUE, IFERROR(_xlfn.NUMBERVALUE(_xlpm.val), 0)
  )
)</f>
        <v>79</v>
      </c>
      <c r="AI331" s="5">
        <f>IF(IFERROR(VALUE(SUBSTITUTE(SUBSTITUTE(TRIM('Sales_RAW(BEFORE)'!AG341), "%", ""), ",", ".")), 0) &gt; 1, IFERROR(VALUE(SUBSTITUTE(SUBSTITUTE(TRIM('Sales_RAW(BEFORE)'!AG341), "%", ""), ",", ".")), 0) / 100, IFERROR(VALUE(SUBSTITUTE(SUBSTITUTE(TRIM('Sales_RAW(BEFORE)'!AG341), "%", ""), ",", ".")), 0))</f>
        <v>0.08</v>
      </c>
      <c r="AJ331" s="6">
        <f t="shared" si="26"/>
        <v>1770.3040000000003</v>
      </c>
      <c r="AK331" s="6">
        <f t="shared" si="27"/>
        <v>23899.104000000003</v>
      </c>
      <c r="AL331" s="6">
        <f>IFERROR(VALUE(SUBSTITUTE(SUBSTITUTE(SUBSTITUTE('Sales_RAW(BEFORE)'!AJ341,"$",""),"USD",""),",",".")),0)</f>
        <v>29.57</v>
      </c>
      <c r="AM331" s="3" t="str">
        <f>SUBSTITUTE(SUBSTITUTE(PROPER('Sales_RAW(BEFORE)'!AK341), "Fed Ex", "FedEx"),"Fedex","FedEx")</f>
        <v>Ups</v>
      </c>
      <c r="AN331" s="3" t="s">
        <v>5157</v>
      </c>
      <c r="AO331" s="3" t="str">
        <f>SUBSTITUTE('Sales_RAW(BEFORE)'!AM341,"kg","")</f>
        <v>2.92</v>
      </c>
      <c r="AP331" s="3" t="str">
        <f>_xlfn.LET(
  _xlpm.raw, UPPER(TRIM('Sales_RAW(BEFORE)'!AN341)),
  _xlpm.clean, RIGHT(_xlpm.raw, 1),
  IF(OR(_xlpm.raw="", _xlpm.raw="null"), "N/A", _xlpm.clean)
)</f>
        <v>A</v>
      </c>
      <c r="AQ331" s="3">
        <v>153</v>
      </c>
      <c r="AR331" s="3" cm="1">
        <f t="array" ref="AR331">_xlfn.LET(
  _xlpm.raw, LOWER(TRIM('Sales_RAW(BEFORE)'!AP341)),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331" s="3"/>
      <c r="AT331" s="3"/>
      <c r="AU331" s="3"/>
      <c r="AV331" s="8">
        <f>IF(IFERROR(VALUE(SUBSTITUTE(SUBSTITUTE(TRIM('Sales_RAW(BEFORE)'!AT341), "%", ""), ",", ".")), 0) &gt; 1, IFERROR(VALUE(SUBSTITUTE(SUBSTITUTE(TRIM('Sales_RAW(BEFORE)'!AT341), "%", ""), ",", ".")), 0) / 100, IFERROR(VALUE(SUBSTITUTE(SUBSTITUTE(TRIM('Sales_RAW(BEFORE)'!AT341), "%", ""), ",", ".")), 0))</f>
        <v>0.25</v>
      </c>
      <c r="AW331" s="6">
        <f>BA331*(_xlfn.XLOOKUP(N331,Employees!$A$2:$A$26,Employees!$E$2:$E$26,2))</f>
        <v>955.96416000000011</v>
      </c>
      <c r="AX331" s="3" t="str">
        <f>PROPER('Sales_RAW(BEFORE)'!AV341)</f>
        <v>David Brown</v>
      </c>
      <c r="AY331" s="3" t="str">
        <f t="shared" si="28"/>
        <v>David Brown</v>
      </c>
      <c r="AZ331" s="3"/>
      <c r="BA331" s="24">
        <f>AK331*(1-(_xlfn.XLOOKUP(G331, Exchange_Rates!$B$8:$F$8, Exchange_Rates!$B$9:$F$9, 0)+J331))</f>
        <v>19119.283200000002</v>
      </c>
      <c r="BB331" s="7" cm="1">
        <f t="array" ref="BB331">_xlfn.LET(
  _xlpm.raw_dt, SUBSTITUTE(TRIM(C331), ".", "/"),
  _xlpm.dt, IFERROR(DATEVALUE(_xlpm.raw_dt), C331),
  _xlpm.p_code, TRIM(E331),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46910</v>
      </c>
      <c r="BC331" s="25">
        <f t="shared" si="29"/>
        <v>4779.8208000000004</v>
      </c>
    </row>
    <row r="332" spans="1:55" ht="15.75" thickBot="1" x14ac:dyDescent="0.3">
      <c r="A332" s="3" t="s">
        <v>5160</v>
      </c>
      <c r="B332" s="10">
        <f>DATE(2025,3,12)</f>
        <v>45728</v>
      </c>
      <c r="C332" s="4">
        <v>45740</v>
      </c>
      <c r="D332" s="3" t="str">
        <f>"P-" &amp; TEXT(VALUE(SUBSTITUTE(SUBSTITUTE(SUBSTITUTE(UPPER(TRIM('Sales_RAW(BEFORE)'!D342)), "P", ""), "-", ""), "_", "")),"000")</f>
        <v>P-019</v>
      </c>
      <c r="E332" s="3" t="str">
        <f>VLOOKUP(D332,Product_List!$A$2:$B$61,2,FALSE)</f>
        <v>Monitor Max 19</v>
      </c>
      <c r="F332" s="3" t="str">
        <f>_xlfn.XLOOKUP(E332,Product_List!$B$2:$B$61,Product_List!$E$2:$E$61,2)</f>
        <v>BestParts</v>
      </c>
      <c r="G332" s="3" t="str">
        <f>VLOOKUP(E332,Product_List!$B$2:$C$61,2,FALSE)</f>
        <v>Software</v>
      </c>
      <c r="H332" s="3" t="str">
        <f>SUBSTITUTE(SUBSTITUTE('Sales_RAW(BEFORE)'!G342,"kom",""),".","")</f>
        <v>12</v>
      </c>
      <c r="I332" s="6">
        <f>VLOOKUP(E332,Product_List!$B$2:$D$61,3,FALSE)</f>
        <v>251.62</v>
      </c>
      <c r="J332" s="5">
        <f>IF(IFERROR(VALUE(SUBSTITUTE(SUBSTITUTE(TRIM('Sales_RAW(BEFORE)'!I342), "%", ""), ",", ".")), 0) &gt; 1, IFERROR(VALUE(SUBSTITUTE(SUBSTITUTE(TRIM('Sales_RAW(BEFORE)'!I342), "%", ""), ",", ".")), 0) / 100, IFERROR(VALUE(SUBSTITUTE(SUBSTITUTE(TRIM('Sales_RAW(BEFORE)'!I342), "%", ""), ",", ".")), 0))</f>
        <v>0.1</v>
      </c>
      <c r="K332" s="6">
        <f t="shared" si="25"/>
        <v>3019.44</v>
      </c>
      <c r="L332" s="6" t="str" cm="1">
        <f t="array" ref="L332">_xlfn.LET(
  _xlpm.valuta, UPPER(TRIM('Sales_RAW(BEFORE)'!K342)),
  _xlfn.IFS(
    _xlpm.valuta = "", "",
    OR(_xlpm.valuta = "USD", _xlpm.valuta = "$"), "$",
    OR(_xlpm.valuta = "EUR", _xlpm.valuta = "€"), "€",
    TRUE, _xlpm.valuta
  )
)</f>
        <v>$</v>
      </c>
      <c r="M332" s="3" t="str">
        <f>"E" &amp; TEXT(VALUE(SUBSTITUTE(SUBSTITUTE(SUBSTITUTE(UPPER(TRIM('Sales_RAW(BEFORE)'!L342)), "EMP", ""), "E", ""), "-", "")),"000")</f>
        <v>E017</v>
      </c>
      <c r="N332" s="3" t="str">
        <f>_xlfn.XLOOKUP(M332,Employees!$D$2:$D$26,Employees!$A$2:$A$26)</f>
        <v>Robert Davis</v>
      </c>
      <c r="O332" s="3" t="str">
        <f>_xlfn.XLOOKUP(N332,Employees!$A$2:$A$26,Employees!$C$2:$C$26,2)</f>
        <v>Wholesale</v>
      </c>
      <c r="P332" s="3" t="str">
        <f>PROPER('Sales_RAW(BEFORE)'!N342)</f>
        <v>West</v>
      </c>
      <c r="Q332" s="3" t="str">
        <f>VLOOKUP(N332,Employees!$A$2:$B$26,2,FALSE)</f>
        <v>Miami</v>
      </c>
      <c r="R332" s="3" t="str">
        <f>PROPER('Sales_RAW(BEFORE)'!P342)</f>
        <v>Stark Inc.</v>
      </c>
      <c r="S332" s="3" t="str">
        <f>SUBSTITUTE(SUBSTITUTE('Sales_RAW(BEFORE)'!Q342,"EIN",""),":","")</f>
        <v>347225419</v>
      </c>
      <c r="T332" s="3" t="s">
        <v>1232</v>
      </c>
      <c r="U332" s="3" t="s">
        <v>5166</v>
      </c>
      <c r="V332" s="3" t="s">
        <v>5167</v>
      </c>
      <c r="W332" s="3" t="s">
        <v>5168</v>
      </c>
      <c r="X332" s="3" t="s">
        <v>173</v>
      </c>
      <c r="Y332" s="3" t="str">
        <f>PROPER('Sales_RAW(BEFORE)'!W342)</f>
        <v>Paypal</v>
      </c>
      <c r="Z332" s="3" t="str">
        <f>PROPER('Sales_RAW(BEFORE)'!X342)</f>
        <v>Processing</v>
      </c>
      <c r="AA332" s="3" t="str" cm="1">
        <f t="array" ref="AA332">_xlfn.LET(
  _xlpm.val, TRIM(LOWER('Sales_RAW(BEFORE)'!Y342)),
  _xlfn.IFS(
    OR(_xlpm.val="yes", _xlpm.val="paid"), "Paid",
    OR(_xlpm.val="no", _xlpm.val="unpaid"), "Unpaid",
    OR(_xlpm.val="partial", _xlpm.val="partial paid"), "Partial",
    _xlpm.val="", "",
    TRUE, 'Sales_RAW(BEFORE)'!AY342
  )
)</f>
        <v>Paid</v>
      </c>
      <c r="AB332" s="3" t="s">
        <v>5169</v>
      </c>
      <c r="AC332" s="3" t="str">
        <f>PROPER('Sales_RAW(BEFORE)'!AA342)</f>
        <v>Web</v>
      </c>
      <c r="AD332" s="3" t="str">
        <f>SUBSTITUTE(SUBSTITUTE(SUBSTITUTE(SUBSTITUTE('Sales_RAW(BEFORE)'!AB342,"st",""),"q",""),"Q",""),"uarter","")</f>
        <v xml:space="preserve">1 </v>
      </c>
      <c r="AE332" s="3" t="str">
        <f>TEXT(IFERROR(DATEVALUE('Sales_RAW(BEFORE)'!AC342 &amp; " 1"), IFERROR(DATE(2025, 'Sales_RAW(BEFORE)'!AC342, 1), 'Sales_RAW(BEFORE)'!AC342)), "mmmm")</f>
        <v>March</v>
      </c>
      <c r="AF332" s="3">
        <f>_xlfn.LET(
  _xlpm.raw, TRIM(SUBSTITUTE('Sales_RAW(BEFORE)'!AD342, "'", "")),
  _xlpm.num, IFERROR(VALUE(_xlpm.raw), 0),
  IF(_xlpm.num &lt; 100, 2000 + _xlpm.num, _xlpm.num)
)</f>
        <v>2025</v>
      </c>
      <c r="AG332" s="3" t="str">
        <f>PROPER('Sales_RAW(BEFORE)'!AE342)</f>
        <v>Net 60</v>
      </c>
      <c r="AH332" s="3" cm="1">
        <f t="array" ref="AH332">_xlfn.LET(
  _xlpm.val, LOWER(TRIM('Sales_RAW(BEFORE)'!AF342)),
  _xlfn.IFS(
    OR(_xlpm.val="", _xlpm.val="null", _xlpm.val="N/A", _xlpm.val="-", _xlpm.val="#N/A"), 0,
    ISNUMBER('Sales_RAW(BEFORE)'!AF342), 'Sales_RAW(BEFORE)'!AF342,
    TRUE, IFERROR(_xlfn.NUMBERVALUE(_xlpm.val), 0)
  )
)</f>
        <v>9</v>
      </c>
      <c r="AI332" s="5">
        <f>IF(IFERROR(VALUE(SUBSTITUTE(SUBSTITUTE(TRIM('Sales_RAW(BEFORE)'!AG342), "%", ""), ",", ".")), 0) &gt; 1, IFERROR(VALUE(SUBSTITUTE(SUBSTITUTE(TRIM('Sales_RAW(BEFORE)'!AG342), "%", ""), ",", ".")), 0) / 100, IFERROR(VALUE(SUBSTITUTE(SUBSTITUTE(TRIM('Sales_RAW(BEFORE)'!AG342), "%", ""), ",", ".")), 0))</f>
        <v>0.08</v>
      </c>
      <c r="AJ332" s="6">
        <f t="shared" si="26"/>
        <v>241.55520000000001</v>
      </c>
      <c r="AK332" s="6">
        <f t="shared" si="27"/>
        <v>3260.9952000000003</v>
      </c>
      <c r="AL332" s="6">
        <f>IFERROR(VALUE(SUBSTITUTE(SUBSTITUTE(SUBSTITUTE('Sales_RAW(BEFORE)'!AJ342,"$",""),"USD",""),",",".")),0)</f>
        <v>42.64</v>
      </c>
      <c r="AM332" s="3" t="str">
        <f>SUBSTITUTE(SUBSTITUTE(PROPER('Sales_RAW(BEFORE)'!AK342), "Fed Ex", "FedEx"),"Fedex","FedEx")</f>
        <v>Dhl</v>
      </c>
      <c r="AN332" s="3" t="s">
        <v>5170</v>
      </c>
      <c r="AO332" s="3" t="str">
        <f>SUBSTITUTE('Sales_RAW(BEFORE)'!AM342,"kg","")</f>
        <v>6,82</v>
      </c>
      <c r="AP332" s="3" t="str">
        <f>_xlfn.LET(
  _xlpm.raw, UPPER(TRIM('Sales_RAW(BEFORE)'!AN342)),
  _xlpm.clean, RIGHT(_xlpm.raw, 1),
  IF(OR(_xlpm.raw="", _xlpm.raw="null"), "N/A", _xlpm.clean)
)</f>
        <v>A</v>
      </c>
      <c r="AQ332" s="3">
        <v>117</v>
      </c>
      <c r="AR332" s="3" cm="1">
        <f t="array" ref="AR332">_xlfn.LET(
  _xlpm.raw, LOWER(TRIM('Sales_RAW(BEFORE)'!AP342)),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332" s="3"/>
      <c r="AT332" s="3"/>
      <c r="AU332" s="3"/>
      <c r="AV332" s="8">
        <f>IF(IFERROR(VALUE(SUBSTITUTE(SUBSTITUTE(TRIM('Sales_RAW(BEFORE)'!AT342), "%", ""), ",", ".")), 0) &gt; 1, IFERROR(VALUE(SUBSTITUTE(SUBSTITUTE(TRIM('Sales_RAW(BEFORE)'!AT342), "%", ""), ",", ".")), 0) / 100, IFERROR(VALUE(SUBSTITUTE(SUBSTITUTE(TRIM('Sales_RAW(BEFORE)'!AT342), "%", ""), ",", ".")), 0))</f>
        <v>0.25</v>
      </c>
      <c r="AW332" s="6">
        <f>BA332*(_xlfn.XLOOKUP(N332,Employees!$A$2:$A$26,Employees!$E$2:$E$26,2))</f>
        <v>73.372391999999991</v>
      </c>
      <c r="AX332" s="3" t="str">
        <f>PROPER('Sales_RAW(BEFORE)'!AV342)</f>
        <v xml:space="preserve"> Daniel Jones </v>
      </c>
      <c r="AY332" s="3" t="str">
        <f t="shared" si="28"/>
        <v xml:space="preserve"> Daniel Jones </v>
      </c>
      <c r="AZ332" s="3"/>
      <c r="BA332" s="24">
        <f>AK332*(1-(_xlfn.XLOOKUP(G332, Exchange_Rates!$B$8:$F$8, Exchange_Rates!$B$9:$F$9, 0)+J332))</f>
        <v>2445.7464</v>
      </c>
      <c r="BB332" s="7" cm="1">
        <f t="array" ref="BB332">_xlfn.LET(
  _xlpm.raw_dt, SUBSTITUTE(TRIM(C332), ".", "/"),
  _xlpm.dt, IFERROR(DATEVALUE(_xlpm.raw_dt), C332),
  _xlpm.p_code, TRIM(E332),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46470</v>
      </c>
      <c r="BC332" s="25">
        <f t="shared" si="29"/>
        <v>611.4366</v>
      </c>
    </row>
    <row r="333" spans="1:55" ht="15.75" thickBot="1" x14ac:dyDescent="0.3">
      <c r="A333" s="3" t="s">
        <v>1241</v>
      </c>
      <c r="B333" s="10">
        <v>45696</v>
      </c>
      <c r="C333" s="4">
        <v>45963</v>
      </c>
      <c r="D333" s="3" t="str">
        <f>"P-" &amp; TEXT(VALUE(SUBSTITUTE(SUBSTITUTE(SUBSTITUTE(UPPER(TRIM('Sales_RAW(BEFORE)'!D343)), "P", ""), "-", ""), "_", "")),"000")</f>
        <v>P-006</v>
      </c>
      <c r="E333" s="3" t="str">
        <f>VLOOKUP(D333,Product_List!$A$2:$B$61,2,FALSE)</f>
        <v>Monitor X 6</v>
      </c>
      <c r="F333" s="3" t="str">
        <f>_xlfn.XLOOKUP(E333,Product_List!$B$2:$B$61,Product_List!$E$2:$E$61,2)</f>
        <v>TechSupply Co</v>
      </c>
      <c r="G333" s="3" t="str">
        <f>VLOOKUP(E333,Product_List!$B$2:$C$61,2,FALSE)</f>
        <v>Equipment</v>
      </c>
      <c r="H333" s="3" t="str">
        <f>SUBSTITUTE(SUBSTITUTE('Sales_RAW(BEFORE)'!G343,"kom",""),".","")</f>
        <v xml:space="preserve">14 </v>
      </c>
      <c r="I333" s="6">
        <f>VLOOKUP(E333,Product_List!$B$2:$D$61,3,FALSE)</f>
        <v>1421.82</v>
      </c>
      <c r="J333" s="5">
        <f>IF(IFERROR(VALUE(SUBSTITUTE(SUBSTITUTE(TRIM('Sales_RAW(BEFORE)'!I343), "%", ""), ",", ".")), 0) &gt; 1, IFERROR(VALUE(SUBSTITUTE(SUBSTITUTE(TRIM('Sales_RAW(BEFORE)'!I343), "%", ""), ",", ".")), 0) / 100, IFERROR(VALUE(SUBSTITUTE(SUBSTITUTE(TRIM('Sales_RAW(BEFORE)'!I343), "%", ""), ",", ".")), 0))</f>
        <v>0.1</v>
      </c>
      <c r="K333" s="6">
        <f t="shared" si="25"/>
        <v>19905.48</v>
      </c>
      <c r="L333" s="6" t="str" cm="1">
        <f t="array" ref="L333">_xlfn.LET(
  _xlpm.valuta, UPPER(TRIM('Sales_RAW(BEFORE)'!K343)),
  _xlfn.IFS(
    _xlpm.valuta = "", "",
    OR(_xlpm.valuta = "USD", _xlpm.valuta = "$"), "$",
    OR(_xlpm.valuta = "EUR", _xlpm.valuta = "€"), "€",
    TRUE, _xlpm.valuta
  )
)</f>
        <v>$</v>
      </c>
      <c r="M333" s="3" t="str">
        <f>"E" &amp; TEXT(VALUE(SUBSTITUTE(SUBSTITUTE(SUBSTITUTE(UPPER(TRIM('Sales_RAW(BEFORE)'!L343)), "EMP", ""), "E", ""), "-", "")),"000")</f>
        <v>E015</v>
      </c>
      <c r="N333" s="3" t="str">
        <f>_xlfn.XLOOKUP(M333,Employees!$D$2:$D$26,Employees!$A$2:$A$26)</f>
        <v>Sarah Jones</v>
      </c>
      <c r="O333" s="3" t="str">
        <f>_xlfn.XLOOKUP(N333,Employees!$A$2:$A$26,Employees!$C$2:$C$26,2)</f>
        <v>Wholesale</v>
      </c>
      <c r="P333" s="3" t="str">
        <f>PROPER('Sales_RAW(BEFORE)'!N343)</f>
        <v>West</v>
      </c>
      <c r="Q333" s="3" t="str">
        <f>VLOOKUP(N333,Employees!$A$2:$B$26,2,FALSE)</f>
        <v>Boston</v>
      </c>
      <c r="R333" s="3" t="str">
        <f>PROPER('Sales_RAW(BEFORE)'!P343)</f>
        <v>Initech Llc</v>
      </c>
      <c r="S333" s="3" t="str">
        <f>SUBSTITUTE(SUBSTITUTE('Sales_RAW(BEFORE)'!Q343,"EIN",""),":","")</f>
        <v>891637245</v>
      </c>
      <c r="T333" s="3" t="s">
        <v>1251</v>
      </c>
      <c r="U333" s="3" t="s">
        <v>1252</v>
      </c>
      <c r="V333" s="3" t="s">
        <v>1253</v>
      </c>
      <c r="W333" s="3" t="s">
        <v>1254</v>
      </c>
      <c r="X333" s="3" t="s">
        <v>173</v>
      </c>
      <c r="Y333" s="3" t="str">
        <f>PROPER('Sales_RAW(BEFORE)'!W343)</f>
        <v>Credit Card</v>
      </c>
      <c r="Z333" s="3" t="str">
        <f>PROPER('Sales_RAW(BEFORE)'!X343)</f>
        <v>Delivered</v>
      </c>
      <c r="AA333" s="3" t="str" cm="1">
        <f t="array" ref="AA333">_xlfn.LET(
  _xlpm.val, TRIM(LOWER('Sales_RAW(BEFORE)'!Y343)),
  _xlfn.IFS(
    OR(_xlpm.val="yes", _xlpm.val="paid"), "Paid",
    OR(_xlpm.val="no", _xlpm.val="unpaid"), "Unpaid",
    OR(_xlpm.val="partial", _xlpm.val="partial paid"), "Partial",
    _xlpm.val="", "",
    TRUE, 'Sales_RAW(BEFORE)'!AY343
  )
)</f>
        <v>Paid</v>
      </c>
      <c r="AB333" s="3" t="s">
        <v>1255</v>
      </c>
      <c r="AC333" s="3" t="str">
        <f>PROPER('Sales_RAW(BEFORE)'!AA343)</f>
        <v>Online</v>
      </c>
      <c r="AD333" s="3" t="str">
        <f>SUBSTITUTE(SUBSTITUTE(SUBSTITUTE(SUBSTITUTE('Sales_RAW(BEFORE)'!AB343,"st",""),"q",""),"Q",""),"uarter","")</f>
        <v>2</v>
      </c>
      <c r="AE333" s="3" t="str">
        <f>TEXT(IFERROR(DATEVALUE('Sales_RAW(BEFORE)'!AC343 &amp; " 1"), IFERROR(DATE(2025, 'Sales_RAW(BEFORE)'!AC343, 1), 'Sales_RAW(BEFORE)'!AC343)), "mmmm")</f>
        <v>February</v>
      </c>
      <c r="AF333" s="3">
        <f>_xlfn.LET(
  _xlpm.raw, TRIM(SUBSTITUTE('Sales_RAW(BEFORE)'!AD343, "'", "")),
  _xlpm.num, IFERROR(VALUE(_xlpm.raw), 0),
  IF(_xlpm.num &lt; 100, 2000 + _xlpm.num, _xlpm.num)
)</f>
        <v>2025</v>
      </c>
      <c r="AG333" s="3" t="str">
        <f>PROPER('Sales_RAW(BEFORE)'!AE343)</f>
        <v>Net 30</v>
      </c>
      <c r="AH333" s="3" cm="1">
        <f t="array" ref="AH333">_xlfn.LET(
  _xlpm.val, LOWER(TRIM('Sales_RAW(BEFORE)'!AF343)),
  _xlfn.IFS(
    OR(_xlpm.val="", _xlpm.val="null", _xlpm.val="N/A", _xlpm.val="-", _xlpm.val="#N/A"), 0,
    ISNUMBER('Sales_RAW(BEFORE)'!AF343), 'Sales_RAW(BEFORE)'!AF343,
    TRUE, IFERROR(_xlfn.NUMBERVALUE(_xlpm.val), 0)
  )
)</f>
        <v>60</v>
      </c>
      <c r="AI333" s="5">
        <f>IF(IFERROR(VALUE(SUBSTITUTE(SUBSTITUTE(TRIM('Sales_RAW(BEFORE)'!AG343), "%", ""), ",", ".")), 0) &gt; 1, IFERROR(VALUE(SUBSTITUTE(SUBSTITUTE(TRIM('Sales_RAW(BEFORE)'!AG343), "%", ""), ",", ".")), 0) / 100, IFERROR(VALUE(SUBSTITUTE(SUBSTITUTE(TRIM('Sales_RAW(BEFORE)'!AG343), "%", ""), ",", ".")), 0))</f>
        <v>0.08</v>
      </c>
      <c r="AJ333" s="6">
        <f t="shared" si="26"/>
        <v>1592.4384</v>
      </c>
      <c r="AK333" s="6">
        <f t="shared" si="27"/>
        <v>21497.918399999999</v>
      </c>
      <c r="AL333" s="6">
        <f>IFERROR(VALUE(SUBSTITUTE(SUBSTITUTE(SUBSTITUTE('Sales_RAW(BEFORE)'!AJ343,"$",""),"USD",""),",",".")),0)</f>
        <v>13.63</v>
      </c>
      <c r="AM333" s="3" t="str">
        <f>SUBSTITUTE(SUBSTITUTE(PROPER('Sales_RAW(BEFORE)'!AK343), "Fed Ex", "FedEx"),"Fedex","FedEx")</f>
        <v>Usps</v>
      </c>
      <c r="AN333" s="3" t="s">
        <v>1257</v>
      </c>
      <c r="AO333" s="3" t="str">
        <f>SUBSTITUTE('Sales_RAW(BEFORE)'!AM343,"kg","")</f>
        <v xml:space="preserve">18.1 </v>
      </c>
      <c r="AP333" s="3" t="str">
        <f>_xlfn.LET(
  _xlpm.raw, UPPER(TRIM('Sales_RAW(BEFORE)'!AN343)),
  _xlpm.clean, RIGHT(_xlpm.raw, 1),
  IF(OR(_xlpm.raw="", _xlpm.raw="null"), "N/A", _xlpm.clean)
)</f>
        <v>B</v>
      </c>
      <c r="AQ333" s="3">
        <v>443</v>
      </c>
      <c r="AR333" s="3" cm="1">
        <f t="array" ref="AR333">_xlfn.LET(
  _xlpm.raw, LOWER(TRIM('Sales_RAW(BEFORE)'!AP343)),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1</v>
      </c>
      <c r="AS333" s="3"/>
      <c r="AT333" s="3"/>
      <c r="AU333" s="3"/>
      <c r="AV333" s="8">
        <f>IF(IFERROR(VALUE(SUBSTITUTE(SUBSTITUTE(TRIM('Sales_RAW(BEFORE)'!AT343), "%", ""), ",", ".")), 0) &gt; 1, IFERROR(VALUE(SUBSTITUTE(SUBSTITUTE(TRIM('Sales_RAW(BEFORE)'!AT343), "%", ""), ",", ".")), 0) / 100, IFERROR(VALUE(SUBSTITUTE(SUBSTITUTE(TRIM('Sales_RAW(BEFORE)'!AT343), "%", ""), ",", ".")), 0))</f>
        <v>0.15</v>
      </c>
      <c r="AW333" s="6">
        <f>BA333*(_xlfn.XLOOKUP(N333,Employees!$A$2:$A$26,Employees!$E$2:$E$26,2))</f>
        <v>515.95004159999996</v>
      </c>
      <c r="AX333" s="3" t="str">
        <f>PROPER('Sales_RAW(BEFORE)'!AV343)</f>
        <v xml:space="preserve">Robert Anderson   </v>
      </c>
      <c r="AY333" s="3" t="str">
        <f t="shared" si="28"/>
        <v xml:space="preserve">Robert Anderson   </v>
      </c>
      <c r="AZ333" s="3"/>
      <c r="BA333" s="24">
        <f>AK333*(1-(_xlfn.XLOOKUP(G333, Exchange_Rates!$B$8:$F$8, Exchange_Rates!$B$9:$F$9, 0)+J333))</f>
        <v>17198.334719999999</v>
      </c>
      <c r="BB333" s="7" cm="1">
        <f t="array" ref="BB333">_xlfn.LET(
  _xlpm.raw_dt, SUBSTITUTE(TRIM(C333), ".", "/"),
  _xlpm.dt, IFERROR(DATEVALUE(_xlpm.raw_dt), C333),
  _xlpm.p_code, TRIM(E333),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46328</v>
      </c>
      <c r="BC333" s="25">
        <f t="shared" si="29"/>
        <v>2579.7502079999999</v>
      </c>
    </row>
    <row r="334" spans="1:55" ht="15.75" thickBot="1" x14ac:dyDescent="0.3">
      <c r="A334" s="3" t="s">
        <v>3331</v>
      </c>
      <c r="B334" s="10">
        <v>46148</v>
      </c>
      <c r="C334" s="4">
        <v>46300</v>
      </c>
      <c r="D334" s="3" t="str">
        <f>"P-" &amp; TEXT(VALUE(SUBSTITUTE(SUBSTITUTE(SUBSTITUTE(UPPER(TRIM('Sales_RAW(BEFORE)'!D344)), "P", ""), "-", ""), "_", "")),"000")</f>
        <v>P-028</v>
      </c>
      <c r="E334" s="3" t="str">
        <f>VLOOKUP(D334,Product_List!$A$2:$B$61,2,FALSE)</f>
        <v>Laptop X 28</v>
      </c>
      <c r="F334" s="3" t="str">
        <f>_xlfn.XLOOKUP(E334,Product_List!$B$2:$B$61,Product_List!$E$2:$E$61,2)</f>
        <v>BestParts</v>
      </c>
      <c r="G334" s="3" t="str">
        <f>VLOOKUP(E334,Product_List!$B$2:$C$61,2,FALSE)</f>
        <v>Furniture</v>
      </c>
      <c r="H334" s="3" t="str">
        <f>SUBSTITUTE(SUBSTITUTE('Sales_RAW(BEFORE)'!G344,"kom",""),".","")</f>
        <v xml:space="preserve">6 </v>
      </c>
      <c r="I334" s="6">
        <f>VLOOKUP(E334,Product_List!$B$2:$D$61,3,FALSE)</f>
        <v>198.36</v>
      </c>
      <c r="J334" s="5">
        <f>IF(IFERROR(VALUE(SUBSTITUTE(SUBSTITUTE(TRIM('Sales_RAW(BEFORE)'!I344), "%", ""), ",", ".")), 0) &gt; 1, IFERROR(VALUE(SUBSTITUTE(SUBSTITUTE(TRIM('Sales_RAW(BEFORE)'!I344), "%", ""), ",", ".")), 0) / 100, IFERROR(VALUE(SUBSTITUTE(SUBSTITUTE(TRIM('Sales_RAW(BEFORE)'!I344), "%", ""), ",", ".")), 0))</f>
        <v>0.1</v>
      </c>
      <c r="K334" s="6">
        <f t="shared" si="25"/>
        <v>1190.1600000000001</v>
      </c>
      <c r="L334" s="6" t="str" cm="1">
        <f t="array" ref="L334">_xlfn.LET(
  _xlpm.valuta, UPPER(TRIM('Sales_RAW(BEFORE)'!K344)),
  _xlfn.IFS(
    _xlpm.valuta = "", "",
    OR(_xlpm.valuta = "USD", _xlpm.valuta = "$"), "$",
    OR(_xlpm.valuta = "EUR", _xlpm.valuta = "€"), "€",
    TRUE, _xlpm.valuta
  )
)</f>
        <v>$</v>
      </c>
      <c r="M334" s="3" t="str">
        <f>"E" &amp; TEXT(VALUE(SUBSTITUTE(SUBSTITUTE(SUBSTITUTE(UPPER(TRIM('Sales_RAW(BEFORE)'!L344)), "EMP", ""), "E", ""), "-", "")),"000")</f>
        <v>E003</v>
      </c>
      <c r="N334" s="3" t="str">
        <f>_xlfn.XLOOKUP(M334,Employees!$D$2:$D$26,Employees!$A$2:$A$26)</f>
        <v>Laura Miller</v>
      </c>
      <c r="O334" s="3" t="str">
        <f>_xlfn.XLOOKUP(N334,Employees!$A$2:$A$26,Employees!$C$2:$C$26,2)</f>
        <v>Sales</v>
      </c>
      <c r="P334" s="3" t="str">
        <f>PROPER('Sales_RAW(BEFORE)'!N344)</f>
        <v>West</v>
      </c>
      <c r="Q334" s="3" t="str">
        <f>VLOOKUP(N334,Employees!$A$2:$B$26,2,FALSE)</f>
        <v>Miami</v>
      </c>
      <c r="R334" s="3" t="str">
        <f>PROPER('Sales_RAW(BEFORE)'!P344)</f>
        <v>Acme Ltd.</v>
      </c>
      <c r="S334" s="3" t="str">
        <f>SUBSTITUTE(SUBSTITUTE('Sales_RAW(BEFORE)'!Q344,"EIN",""),":","")</f>
        <v>694704798</v>
      </c>
      <c r="T334" s="3" t="s">
        <v>564</v>
      </c>
      <c r="U334" s="3" t="s">
        <v>3337</v>
      </c>
      <c r="V334" s="3" t="s">
        <v>3338</v>
      </c>
      <c r="W334" s="3" t="s">
        <v>3339</v>
      </c>
      <c r="X334" s="3" t="s">
        <v>173</v>
      </c>
      <c r="Y334" s="3" t="str">
        <f>PROPER('Sales_RAW(BEFORE)'!W344)</f>
        <v>Credit Card</v>
      </c>
      <c r="Z334" s="3" t="str">
        <f>PROPER('Sales_RAW(BEFORE)'!X344)</f>
        <v>Delivered</v>
      </c>
      <c r="AA334" s="3" t="str" cm="1">
        <f t="array" ref="AA334">_xlfn.LET(
  _xlpm.val, TRIM(LOWER('Sales_RAW(BEFORE)'!Y344)),
  _xlfn.IFS(
    OR(_xlpm.val="yes", _xlpm.val="paid"), "Paid",
    OR(_xlpm.val="no", _xlpm.val="unpaid"), "Unpaid",
    OR(_xlpm.val="partial", _xlpm.val="partial paid"), "Partial",
    _xlpm.val="", "",
    TRUE, 'Sales_RAW(BEFORE)'!AY344
  )
)</f>
        <v>Paid</v>
      </c>
      <c r="AB334" s="3" t="s">
        <v>3340</v>
      </c>
      <c r="AC334" s="3" t="str">
        <f>PROPER('Sales_RAW(BEFORE)'!AA344)</f>
        <v>Phone</v>
      </c>
      <c r="AD334" s="3" t="str">
        <f>SUBSTITUTE(SUBSTITUTE(SUBSTITUTE(SUBSTITUTE('Sales_RAW(BEFORE)'!AB344,"st",""),"q",""),"Q",""),"uarter","")</f>
        <v>4</v>
      </c>
      <c r="AE334" s="3" t="str">
        <f>TEXT(IFERROR(DATEVALUE('Sales_RAW(BEFORE)'!AC344 &amp; " 1"), IFERROR(DATE(2025, 'Sales_RAW(BEFORE)'!AC344, 1), 'Sales_RAW(BEFORE)'!AC344)), "mmmm")</f>
        <v>May</v>
      </c>
      <c r="AF334" s="3">
        <f>_xlfn.LET(
  _xlpm.raw, TRIM(SUBSTITUTE('Sales_RAW(BEFORE)'!AD344, "'", "")),
  _xlpm.num, IFERROR(VALUE(_xlpm.raw), 0),
  IF(_xlpm.num &lt; 100, 2000 + _xlpm.num, _xlpm.num)
)</f>
        <v>2026</v>
      </c>
      <c r="AG334" s="3" t="str">
        <f>PROPER('Sales_RAW(BEFORE)'!AE344)</f>
        <v>Net 30</v>
      </c>
      <c r="AH334" s="3" cm="1">
        <f t="array" ref="AH334">_xlfn.LET(
  _xlpm.val, LOWER(TRIM('Sales_RAW(BEFORE)'!AF344)),
  _xlfn.IFS(
    OR(_xlpm.val="", _xlpm.val="null", _xlpm.val="N/A", _xlpm.val="-", _xlpm.val="#N/A"), 0,
    ISNUMBER('Sales_RAW(BEFORE)'!AF344), 'Sales_RAW(BEFORE)'!AF344,
    TRUE, IFERROR(_xlfn.NUMBERVALUE(_xlpm.val), 0)
  )
)</f>
        <v>62</v>
      </c>
      <c r="AI334" s="5">
        <f>IF(IFERROR(VALUE(SUBSTITUTE(SUBSTITUTE(TRIM('Sales_RAW(BEFORE)'!AG344), "%", ""), ",", ".")), 0) &gt; 1, IFERROR(VALUE(SUBSTITUTE(SUBSTITUTE(TRIM('Sales_RAW(BEFORE)'!AG344), "%", ""), ",", ".")), 0) / 100, IFERROR(VALUE(SUBSTITUTE(SUBSTITUTE(TRIM('Sales_RAW(BEFORE)'!AG344), "%", ""), ",", ".")), 0))</f>
        <v>0.08</v>
      </c>
      <c r="AJ334" s="6">
        <f t="shared" si="26"/>
        <v>95.212800000000001</v>
      </c>
      <c r="AK334" s="6">
        <f t="shared" si="27"/>
        <v>1285.3728000000001</v>
      </c>
      <c r="AL334" s="6">
        <f>IFERROR(VALUE(SUBSTITUTE(SUBSTITUTE(SUBSTITUTE('Sales_RAW(BEFORE)'!AJ344,"$",""),"USD",""),",",".")),0)</f>
        <v>25.49</v>
      </c>
      <c r="AM334" s="3" t="str">
        <f>SUBSTITUTE(SUBSTITUTE(PROPER('Sales_RAW(BEFORE)'!AK344), "Fed Ex", "FedEx"),"Fedex","FedEx")</f>
        <v>Dhl</v>
      </c>
      <c r="AN334" s="3" t="s">
        <v>3342</v>
      </c>
      <c r="AO334" s="3" t="str">
        <f>SUBSTITUTE('Sales_RAW(BEFORE)'!AM344,"kg","")</f>
        <v>20,15</v>
      </c>
      <c r="AP334" s="3" t="str">
        <f>_xlfn.LET(
  _xlpm.raw, UPPER(TRIM('Sales_RAW(BEFORE)'!AN344)),
  _xlpm.clean, RIGHT(_xlpm.raw, 1),
  IF(OR(_xlpm.raw="", _xlpm.raw="null"), "N/A", _xlpm.clean)
)</f>
        <v>B</v>
      </c>
      <c r="AQ334" s="3">
        <v>427</v>
      </c>
      <c r="AR334" s="3" cm="1">
        <f t="array" ref="AR334">_xlfn.LET(
  _xlpm.raw, LOWER(TRIM('Sales_RAW(BEFORE)'!AP344)),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334" s="3"/>
      <c r="AT334" s="3"/>
      <c r="AU334" s="3"/>
      <c r="AV334" s="8">
        <f>IF(IFERROR(VALUE(SUBSTITUTE(SUBSTITUTE(TRIM('Sales_RAW(BEFORE)'!AT344), "%", ""), ",", ".")), 0) &gt; 1, IFERROR(VALUE(SUBSTITUTE(SUBSTITUTE(TRIM('Sales_RAW(BEFORE)'!AT344), "%", ""), ",", ".")), 0) / 100, IFERROR(VALUE(SUBSTITUTE(SUBSTITUTE(TRIM('Sales_RAW(BEFORE)'!AT344), "%", ""), ",", ".")), 0))</f>
        <v>0.25</v>
      </c>
      <c r="AW334" s="6">
        <f>BA334*(_xlfn.XLOOKUP(N334,Employees!$A$2:$A$26,Employees!$E$2:$E$26,2))</f>
        <v>51.414912000000008</v>
      </c>
      <c r="AX334" s="3" t="str">
        <f>PROPER('Sales_RAW(BEFORE)'!AV344)</f>
        <v>Emily Johnson</v>
      </c>
      <c r="AY334" s="3" t="str">
        <f t="shared" si="28"/>
        <v>Emily Johnson</v>
      </c>
      <c r="AZ334" s="3"/>
      <c r="BA334" s="24">
        <f>AK334*(1-(_xlfn.XLOOKUP(G334, Exchange_Rates!$B$8:$F$8, Exchange_Rates!$B$9:$F$9, 0)+J334))</f>
        <v>1028.2982400000001</v>
      </c>
      <c r="BB334" s="7" cm="1">
        <f t="array" ref="BB334">_xlfn.LET(
  _xlpm.raw_dt, SUBSTITUTE(TRIM(C334), ".", "/"),
  _xlpm.dt, IFERROR(DATEVALUE(_xlpm.raw_dt), C334),
  _xlpm.p_code, TRIM(E334),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47396</v>
      </c>
      <c r="BC334" s="25">
        <f t="shared" si="29"/>
        <v>257.07456000000002</v>
      </c>
    </row>
    <row r="335" spans="1:55" ht="15.75" thickBot="1" x14ac:dyDescent="0.3">
      <c r="A335" s="3" t="s">
        <v>5174</v>
      </c>
      <c r="B335" s="10">
        <v>45711</v>
      </c>
      <c r="C335" s="4">
        <f>DATE(2025,2,24)</f>
        <v>45712</v>
      </c>
      <c r="D335" s="3" t="str">
        <f>"P-" &amp; TEXT(VALUE(SUBSTITUTE(SUBSTITUTE(SUBSTITUTE(UPPER(TRIM('Sales_RAW(BEFORE)'!D345)), "P", ""), "-", ""), "_", "")),"000")</f>
        <v>P-025</v>
      </c>
      <c r="E335" s="3" t="str">
        <f>VLOOKUP(D335,Product_List!$A$2:$B$61,2,FALSE)</f>
        <v>Chair Max 25</v>
      </c>
      <c r="F335" s="3" t="str">
        <f>_xlfn.XLOOKUP(E335,Product_List!$B$2:$B$61,Product_List!$E$2:$E$61,2)</f>
        <v>TechSupply Co</v>
      </c>
      <c r="G335" s="3" t="str">
        <f>VLOOKUP(E335,Product_List!$B$2:$C$61,2,FALSE)</f>
        <v>Software</v>
      </c>
      <c r="H335" s="3" t="str">
        <f>SUBSTITUTE(SUBSTITUTE('Sales_RAW(BEFORE)'!G345,"kom",""),".","")</f>
        <v xml:space="preserve">16 </v>
      </c>
      <c r="I335" s="6">
        <f>VLOOKUP(E335,Product_List!$B$2:$D$61,3,FALSE)</f>
        <v>430.47</v>
      </c>
      <c r="J335" s="5">
        <f>IF(IFERROR(VALUE(SUBSTITUTE(SUBSTITUTE(TRIM('Sales_RAW(BEFORE)'!I345), "%", ""), ",", ".")), 0) &gt; 1, IFERROR(VALUE(SUBSTITUTE(SUBSTITUTE(TRIM('Sales_RAW(BEFORE)'!I345), "%", ""), ",", ".")), 0) / 100, IFERROR(VALUE(SUBSTITUTE(SUBSTITUTE(TRIM('Sales_RAW(BEFORE)'!I345), "%", ""), ",", ".")), 0))</f>
        <v>0.1</v>
      </c>
      <c r="K335" s="6">
        <f t="shared" si="25"/>
        <v>6887.52</v>
      </c>
      <c r="L335" s="6" t="str" cm="1">
        <f t="array" ref="L335">_xlfn.LET(
  _xlpm.valuta, UPPER(TRIM('Sales_RAW(BEFORE)'!K345)),
  _xlfn.IFS(
    _xlpm.valuta = "", "",
    OR(_xlpm.valuta = "USD", _xlpm.valuta = "$"), "$",
    OR(_xlpm.valuta = "EUR", _xlpm.valuta = "€"), "€",
    TRUE, _xlpm.valuta
  )
)</f>
        <v>$</v>
      </c>
      <c r="M335" s="3" t="str">
        <f>"E" &amp; TEXT(VALUE(SUBSTITUTE(SUBSTITUTE(SUBSTITUTE(UPPER(TRIM('Sales_RAW(BEFORE)'!L345)), "EMP", ""), "E", ""), "-", "")),"000")</f>
        <v>E003</v>
      </c>
      <c r="N335" s="3" t="str">
        <f>_xlfn.XLOOKUP(M335,Employees!$D$2:$D$26,Employees!$A$2:$A$26)</f>
        <v>Laura Miller</v>
      </c>
      <c r="O335" s="3" t="str">
        <f>_xlfn.XLOOKUP(N335,Employees!$A$2:$A$26,Employees!$C$2:$C$26,2)</f>
        <v>Sales</v>
      </c>
      <c r="P335" s="3" t="str">
        <f>PROPER('Sales_RAW(BEFORE)'!N345)</f>
        <v>North</v>
      </c>
      <c r="Q335" s="3" t="str">
        <f>VLOOKUP(N335,Employees!$A$2:$B$26,2,FALSE)</f>
        <v>Miami</v>
      </c>
      <c r="R335" s="3" t="str">
        <f>PROPER('Sales_RAW(BEFORE)'!P345)</f>
        <v xml:space="preserve">  Stark Inc</v>
      </c>
      <c r="S335" s="3" t="str">
        <f>SUBSTITUTE(SUBSTITUTE('Sales_RAW(BEFORE)'!Q345,"EIN",""),":","")</f>
        <v>217414786</v>
      </c>
      <c r="T335" s="3" t="s">
        <v>258</v>
      </c>
      <c r="U335" s="3" t="s">
        <v>5181</v>
      </c>
      <c r="V335" s="3" t="s">
        <v>5182</v>
      </c>
      <c r="W335" s="3" t="s">
        <v>5183</v>
      </c>
      <c r="X335" s="3" t="s">
        <v>173</v>
      </c>
      <c r="Y335" s="3" t="str">
        <f>PROPER('Sales_RAW(BEFORE)'!W345)</f>
        <v>Paypal</v>
      </c>
      <c r="Z335" s="3" t="str">
        <f>PROPER('Sales_RAW(BEFORE)'!X345)</f>
        <v>Pending</v>
      </c>
      <c r="AA335" s="3" t="str" cm="1">
        <f t="array" ref="AA335">_xlfn.LET(
  _xlpm.val, TRIM(LOWER('Sales_RAW(BEFORE)'!Y345)),
  _xlfn.IFS(
    OR(_xlpm.val="yes", _xlpm.val="paid"), "Paid",
    OR(_xlpm.val="no", _xlpm.val="unpaid"), "Unpaid",
    OR(_xlpm.val="partial", _xlpm.val="partial paid"), "Partial",
    _xlpm.val="", "",
    TRUE, 'Sales_RAW(BEFORE)'!AY345
  )
)</f>
        <v>Unpaid</v>
      </c>
      <c r="AB335" s="3" t="s">
        <v>5184</v>
      </c>
      <c r="AC335" s="3" t="str">
        <f>PROPER('Sales_RAW(BEFORE)'!AA345)</f>
        <v>Store</v>
      </c>
      <c r="AD335" s="3" t="str">
        <f>SUBSTITUTE(SUBSTITUTE(SUBSTITUTE(SUBSTITUTE('Sales_RAW(BEFORE)'!AB345,"st",""),"q",""),"Q",""),"uarter","")</f>
        <v>3</v>
      </c>
      <c r="AE335" s="3" t="str">
        <f>TEXT(IFERROR(DATEVALUE('Sales_RAW(BEFORE)'!AC345 &amp; " 1"), IFERROR(DATE(2025, 'Sales_RAW(BEFORE)'!AC345, 1), 'Sales_RAW(BEFORE)'!AC345)), "mmmm")</f>
        <v>February</v>
      </c>
      <c r="AF335" s="3">
        <f>_xlfn.LET(
  _xlpm.raw, TRIM(SUBSTITUTE('Sales_RAW(BEFORE)'!AD345, "'", "")),
  _xlpm.num, IFERROR(VALUE(_xlpm.raw), 0),
  IF(_xlpm.num &lt; 100, 2000 + _xlpm.num, _xlpm.num)
)</f>
        <v>2025</v>
      </c>
      <c r="AG335" s="3" t="str">
        <f>PROPER('Sales_RAW(BEFORE)'!AE345)</f>
        <v>15</v>
      </c>
      <c r="AH335" s="3" cm="1">
        <f t="array" ref="AH335">_xlfn.LET(
  _xlpm.val, LOWER(TRIM('Sales_RAW(BEFORE)'!AF345)),
  _xlfn.IFS(
    OR(_xlpm.val="", _xlpm.val="null", _xlpm.val="N/A", _xlpm.val="-", _xlpm.val="#N/A"), 0,
    ISNUMBER('Sales_RAW(BEFORE)'!AF345), 'Sales_RAW(BEFORE)'!AF345,
    TRUE, IFERROR(_xlfn.NUMBERVALUE(_xlpm.val), 0)
  )
)</f>
        <v>65</v>
      </c>
      <c r="AI335" s="5">
        <f>IF(IFERROR(VALUE(SUBSTITUTE(SUBSTITUTE(TRIM('Sales_RAW(BEFORE)'!AG345), "%", ""), ",", ".")), 0) &gt; 1, IFERROR(VALUE(SUBSTITUTE(SUBSTITUTE(TRIM('Sales_RAW(BEFORE)'!AG345), "%", ""), ",", ".")), 0) / 100, IFERROR(VALUE(SUBSTITUTE(SUBSTITUTE(TRIM('Sales_RAW(BEFORE)'!AG345), "%", ""), ",", ".")), 0))</f>
        <v>0.08</v>
      </c>
      <c r="AJ335" s="6">
        <f t="shared" si="26"/>
        <v>551.00160000000005</v>
      </c>
      <c r="AK335" s="6">
        <f t="shared" si="27"/>
        <v>7438.5216</v>
      </c>
      <c r="AL335" s="6">
        <f>IFERROR(VALUE(SUBSTITUTE(SUBSTITUTE(SUBSTITUTE('Sales_RAW(BEFORE)'!AJ345,"$",""),"USD",""),",",".")),0)</f>
        <v>25.55</v>
      </c>
      <c r="AM335" s="3" t="str">
        <f>SUBSTITUTE(SUBSTITUTE(PROPER('Sales_RAW(BEFORE)'!AK345), "Fed Ex", "FedEx"),"Fedex","FedEx")</f>
        <v>FedEx</v>
      </c>
      <c r="AN335" s="3" t="s">
        <v>5186</v>
      </c>
      <c r="AO335" s="3" t="str">
        <f>SUBSTITUTE('Sales_RAW(BEFORE)'!AM345,"kg","")</f>
        <v>22,49</v>
      </c>
      <c r="AP335" s="3" t="str">
        <f>_xlfn.LET(
  _xlpm.raw, UPPER(TRIM('Sales_RAW(BEFORE)'!AN345)),
  _xlpm.clean, RIGHT(_xlpm.raw, 1),
  IF(OR(_xlpm.raw="", _xlpm.raw="null"), "N/A", _xlpm.clean)
)</f>
        <v>B</v>
      </c>
      <c r="AQ335" s="3">
        <v>407</v>
      </c>
      <c r="AR335" s="3" cm="1">
        <f t="array" ref="AR335">_xlfn.LET(
  _xlpm.raw, LOWER(TRIM('Sales_RAW(BEFORE)'!AP345)),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4.5</v>
      </c>
      <c r="AS335" s="3"/>
      <c r="AT335" s="3"/>
      <c r="AU335" s="3"/>
      <c r="AV335" s="8">
        <f>IF(IFERROR(VALUE(SUBSTITUTE(SUBSTITUTE(TRIM('Sales_RAW(BEFORE)'!AT345), "%", ""), ",", ".")), 0) &gt; 1, IFERROR(VALUE(SUBSTITUTE(SUBSTITUTE(TRIM('Sales_RAW(BEFORE)'!AT345), "%", ""), ",", ".")), 0) / 100, IFERROR(VALUE(SUBSTITUTE(SUBSTITUTE(TRIM('Sales_RAW(BEFORE)'!AT345), "%", ""), ",", ".")), 0))</f>
        <v>0.25</v>
      </c>
      <c r="AW335" s="6">
        <f>BA335*(_xlfn.XLOOKUP(N335,Employees!$A$2:$A$26,Employees!$E$2:$E$26,2))</f>
        <v>278.94456000000002</v>
      </c>
      <c r="AX335" s="3" t="str">
        <f>PROPER('Sales_RAW(BEFORE)'!AV345)</f>
        <v>Sophia Taylor</v>
      </c>
      <c r="AY335" s="3" t="str">
        <f t="shared" si="28"/>
        <v>Sophia Taylor</v>
      </c>
      <c r="AZ335" s="3"/>
      <c r="BA335" s="24">
        <f>AK335*(1-(_xlfn.XLOOKUP(G335, Exchange_Rates!$B$8:$F$8, Exchange_Rates!$B$9:$F$9, 0)+J335))</f>
        <v>5578.8912</v>
      </c>
      <c r="BB335" s="7" cm="1">
        <f t="array" ref="BB335">_xlfn.LET(
  _xlpm.raw_dt, SUBSTITUTE(TRIM(C335), ".", "/"),
  _xlpm.dt, IFERROR(DATEVALUE(_xlpm.raw_dt), C335),
  _xlpm.p_code, TRIM(E335),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46077</v>
      </c>
      <c r="BC335" s="25">
        <f t="shared" si="29"/>
        <v>1394.7228</v>
      </c>
    </row>
    <row r="336" spans="1:55" ht="15.75" thickBot="1" x14ac:dyDescent="0.3">
      <c r="A336" s="3" t="s">
        <v>5189</v>
      </c>
      <c r="B336" s="10">
        <v>45836</v>
      </c>
      <c r="C336" s="4">
        <v>45838</v>
      </c>
      <c r="D336" s="3" t="str">
        <f>"P-" &amp; TEXT(VALUE(SUBSTITUTE(SUBSTITUTE(SUBSTITUTE(UPPER(TRIM('Sales_RAW(BEFORE)'!D346)), "P", ""), "-", ""), "_", "")),"000")</f>
        <v>P-025</v>
      </c>
      <c r="E336" s="3" t="str">
        <f>VLOOKUP(D336,Product_List!$A$2:$B$61,2,FALSE)</f>
        <v>Chair Max 25</v>
      </c>
      <c r="F336" s="3" t="str">
        <f>_xlfn.XLOOKUP(E336,Product_List!$B$2:$B$61,Product_List!$E$2:$E$61,2)</f>
        <v>TechSupply Co</v>
      </c>
      <c r="G336" s="3" t="str">
        <f>VLOOKUP(E336,Product_List!$B$2:$C$61,2,FALSE)</f>
        <v>Software</v>
      </c>
      <c r="H336" s="3" t="str">
        <f>SUBSTITUTE(SUBSTITUTE('Sales_RAW(BEFORE)'!G346,"kom",""),".","")</f>
        <v xml:space="preserve">21 </v>
      </c>
      <c r="I336" s="6">
        <f>VLOOKUP(E336,Product_List!$B$2:$D$61,3,FALSE)</f>
        <v>430.47</v>
      </c>
      <c r="J336" s="5">
        <f>IF(IFERROR(VALUE(SUBSTITUTE(SUBSTITUTE(TRIM('Sales_RAW(BEFORE)'!I346), "%", ""), ",", ".")), 0) &gt; 1, IFERROR(VALUE(SUBSTITUTE(SUBSTITUTE(TRIM('Sales_RAW(BEFORE)'!I346), "%", ""), ",", ".")), 0) / 100, IFERROR(VALUE(SUBSTITUTE(SUBSTITUTE(TRIM('Sales_RAW(BEFORE)'!I346), "%", ""), ",", ".")), 0))</f>
        <v>0.1</v>
      </c>
      <c r="K336" s="6">
        <f>(H336*I336)/(HLOOKUP(AE336,Exchange_Rates!$B$1:$M$2,2,FALSE))</f>
        <v>9762.2786177105827</v>
      </c>
      <c r="L336" s="6" t="str" cm="1">
        <f t="array" ref="L336">_xlfn.LET(
  _xlpm.valuta, UPPER(TRIM('Sales_RAW(BEFORE)'!K346)),
  _xlfn.IFS(
    _xlpm.valuta = "", "",
    OR(_xlpm.valuta = "USD", _xlpm.valuta = "$"), "$",
    OR(_xlpm.valuta = "EUR", _xlpm.valuta = "€"), "€",
    TRUE, _xlpm.valuta
  )
)</f>
        <v>€</v>
      </c>
      <c r="M336" s="3" t="str">
        <f>"E" &amp; TEXT(VALUE(SUBSTITUTE(SUBSTITUTE(SUBSTITUTE(UPPER(TRIM('Sales_RAW(BEFORE)'!L346)), "EMP", ""), "E", ""), "-", "")),"000")</f>
        <v>E023</v>
      </c>
      <c r="N336" s="3" t="str">
        <f>_xlfn.XLOOKUP(M336,Employees!$D$2:$D$26,Employees!$A$2:$A$26)</f>
        <v>Laura Anderson</v>
      </c>
      <c r="O336" s="3" t="str">
        <f>_xlfn.XLOOKUP(N336,Employees!$A$2:$A$26,Employees!$C$2:$C$26,2)</f>
        <v>Sales</v>
      </c>
      <c r="P336" s="3" t="str">
        <f>PROPER('Sales_RAW(BEFORE)'!N346)</f>
        <v>West</v>
      </c>
      <c r="Q336" s="3" t="str">
        <f>VLOOKUP(N336,Employees!$A$2:$B$26,2,FALSE)</f>
        <v>Seattle</v>
      </c>
      <c r="R336" s="3" t="str">
        <f>PROPER('Sales_RAW(BEFORE)'!P346)</f>
        <v xml:space="preserve"> Umbrella Inc</v>
      </c>
      <c r="S336" s="3" t="str">
        <f>SUBSTITUTE(SUBSTITUTE('Sales_RAW(BEFORE)'!Q346,"EIN",""),":","")</f>
        <v xml:space="preserve"> 201700433</v>
      </c>
      <c r="T336" s="3" t="s">
        <v>286</v>
      </c>
      <c r="U336" s="3" t="s">
        <v>5195</v>
      </c>
      <c r="V336" s="3" t="s">
        <v>5196</v>
      </c>
      <c r="W336" s="3" t="s">
        <v>5197</v>
      </c>
      <c r="X336" s="3" t="s">
        <v>173</v>
      </c>
      <c r="Y336" s="3" t="str">
        <f>PROPER('Sales_RAW(BEFORE)'!W346)</f>
        <v>Credit Card</v>
      </c>
      <c r="Z336" s="3" t="str">
        <f>PROPER('Sales_RAW(BEFORE)'!X346)</f>
        <v>Processing</v>
      </c>
      <c r="AA336" s="3" t="str" cm="1">
        <f t="array" ref="AA336">_xlfn.LET(
  _xlpm.val, TRIM(LOWER('Sales_RAW(BEFORE)'!Y346)),
  _xlfn.IFS(
    OR(_xlpm.val="yes", _xlpm.val="paid"), "Paid",
    OR(_xlpm.val="no", _xlpm.val="unpaid"), "Unpaid",
    OR(_xlpm.val="partial", _xlpm.val="partial paid"), "Partial",
    _xlpm.val="", "",
    TRUE, 'Sales_RAW(BEFORE)'!AY346
  )
)</f>
        <v>Unpaid</v>
      </c>
      <c r="AB336" s="3" t="s">
        <v>5198</v>
      </c>
      <c r="AC336" s="3" t="str">
        <f>PROPER('Sales_RAW(BEFORE)'!AA346)</f>
        <v>Store</v>
      </c>
      <c r="AD336" s="3" t="str">
        <f>SUBSTITUTE(SUBSTITUTE(SUBSTITUTE(SUBSTITUTE('Sales_RAW(BEFORE)'!AB346,"st",""),"q",""),"Q",""),"uarter","")</f>
        <v>2</v>
      </c>
      <c r="AE336" s="3" t="str">
        <f>TEXT(IFERROR(DATEVALUE('Sales_RAW(BEFORE)'!AC346 &amp; " 1"), IFERROR(DATE(2025, 'Sales_RAW(BEFORE)'!AC346, 1), 'Sales_RAW(BEFORE)'!AC346)), "mmmm")</f>
        <v>June</v>
      </c>
      <c r="AF336" s="3">
        <f>_xlfn.LET(
  _xlpm.raw, TRIM(SUBSTITUTE('Sales_RAW(BEFORE)'!AD346, "'", "")),
  _xlpm.num, IFERROR(VALUE(_xlpm.raw), 0),
  IF(_xlpm.num &lt; 100, 2000 + _xlpm.num, _xlpm.num)
)</f>
        <v>2025</v>
      </c>
      <c r="AG336" s="3" t="str">
        <f>PROPER('Sales_RAW(BEFORE)'!AE346)</f>
        <v>15</v>
      </c>
      <c r="AH336" s="3" cm="1">
        <f t="array" ref="AH336">_xlfn.LET(
  _xlpm.val, LOWER(TRIM('Sales_RAW(BEFORE)'!AF346)),
  _xlfn.IFS(
    OR(_xlpm.val="", _xlpm.val="null", _xlpm.val="N/A", _xlpm.val="-", _xlpm.val="#N/A"), 0,
    ISNUMBER('Sales_RAW(BEFORE)'!AF346), 'Sales_RAW(BEFORE)'!AF346,
    TRUE, IFERROR(_xlfn.NUMBERVALUE(_xlpm.val), 0)
  )
)</f>
        <v>83</v>
      </c>
      <c r="AI336" s="5">
        <f>IF(IFERROR(VALUE(SUBSTITUTE(SUBSTITUTE(TRIM('Sales_RAW(BEFORE)'!AG346), "%", ""), ",", ".")), 0) &gt; 1, IFERROR(VALUE(SUBSTITUTE(SUBSTITUTE(TRIM('Sales_RAW(BEFORE)'!AG346), "%", ""), ",", ".")), 0) / 100, IFERROR(VALUE(SUBSTITUTE(SUBSTITUTE(TRIM('Sales_RAW(BEFORE)'!AG346), "%", ""), ",", ".")), 0))</f>
        <v>0.08</v>
      </c>
      <c r="AJ336" s="6">
        <f t="shared" si="26"/>
        <v>780.98228941684658</v>
      </c>
      <c r="AK336" s="6">
        <f t="shared" si="27"/>
        <v>10543.260907127429</v>
      </c>
      <c r="AL336" s="6">
        <f>IFERROR(VALUE(SUBSTITUTE(SUBSTITUTE(SUBSTITUTE('Sales_RAW(BEFORE)'!AJ346,"$",""),"USD",""),",",".")),0)</f>
        <v>28</v>
      </c>
      <c r="AM336" s="3" t="str">
        <f>SUBSTITUTE(SUBSTITUTE(PROPER('Sales_RAW(BEFORE)'!AK346), "Fed Ex", "FedEx"),"Fedex","FedEx")</f>
        <v>Usps</v>
      </c>
      <c r="AN336" s="3" t="s">
        <v>5199</v>
      </c>
      <c r="AO336" s="3" t="str">
        <f>SUBSTITUTE('Sales_RAW(BEFORE)'!AM346,"kg","")</f>
        <v xml:space="preserve">12.6 </v>
      </c>
      <c r="AP336" s="3" t="str">
        <f>_xlfn.LET(
  _xlpm.raw, UPPER(TRIM('Sales_RAW(BEFORE)'!AN346)),
  _xlpm.clean, RIGHT(_xlpm.raw, 1),
  IF(OR(_xlpm.raw="", _xlpm.raw="null"), "N/A", _xlpm.clean)
)</f>
        <v>A</v>
      </c>
      <c r="AQ336" s="3">
        <v>208</v>
      </c>
      <c r="AR336" s="3" cm="1">
        <f t="array" ref="AR336">_xlfn.LET(
  _xlpm.raw, LOWER(TRIM('Sales_RAW(BEFORE)'!AP346)),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336" s="3"/>
      <c r="AT336" s="3"/>
      <c r="AU336" s="3"/>
      <c r="AV336" s="8">
        <f>IF(IFERROR(VALUE(SUBSTITUTE(SUBSTITUTE(TRIM('Sales_RAW(BEFORE)'!AT346), "%", ""), ",", ".")), 0) &gt; 1, IFERROR(VALUE(SUBSTITUTE(SUBSTITUTE(TRIM('Sales_RAW(BEFORE)'!AT346), "%", ""), ",", ".")), 0) / 100, IFERROR(VALUE(SUBSTITUTE(SUBSTITUTE(TRIM('Sales_RAW(BEFORE)'!AT346), "%", ""), ",", ".")), 0))</f>
        <v>0.18</v>
      </c>
      <c r="AW336" s="6">
        <f>BA336*(_xlfn.XLOOKUP(N336,Employees!$A$2:$A$26,Employees!$E$2:$E$26,2))</f>
        <v>158.14891360691146</v>
      </c>
      <c r="AX336" s="3" t="str">
        <f>PROPER('Sales_RAW(BEFORE)'!AV346)</f>
        <v xml:space="preserve">   Emma Anderson</v>
      </c>
      <c r="AY336" s="3" t="str">
        <f t="shared" si="28"/>
        <v xml:space="preserve">   Emma Anderson</v>
      </c>
      <c r="AZ336" s="3"/>
      <c r="BA336" s="24">
        <f>AK336*(1-(_xlfn.XLOOKUP(G336, Exchange_Rates!$B$8:$F$8, Exchange_Rates!$B$9:$F$9, 0)+J336))</f>
        <v>7907.4456803455723</v>
      </c>
      <c r="BB336" s="7" cm="1">
        <f t="array" ref="BB336">_xlfn.LET(
  _xlpm.raw_dt, SUBSTITUTE(TRIM(C336), ".", "/"),
  _xlpm.dt, IFERROR(DATEVALUE(_xlpm.raw_dt), C336),
  _xlpm.p_code, TRIM(E336),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46203</v>
      </c>
      <c r="BC336" s="25">
        <f t="shared" si="29"/>
        <v>1423.340222462203</v>
      </c>
    </row>
    <row r="337" spans="1:55" ht="15.75" thickBot="1" x14ac:dyDescent="0.3">
      <c r="A337" s="3" t="s">
        <v>966</v>
      </c>
      <c r="B337" s="10">
        <v>46144</v>
      </c>
      <c r="C337" s="4">
        <f>DATE(2026,5,11)</f>
        <v>46153</v>
      </c>
      <c r="D337" s="3" t="str">
        <f>"P-" &amp; TEXT(VALUE(SUBSTITUTE(SUBSTITUTE(SUBSTITUTE(UPPER(TRIM('Sales_RAW(BEFORE)'!D347)), "P", ""), "-", ""), "_", "")),"000")</f>
        <v>P-051</v>
      </c>
      <c r="E337" s="3" t="str">
        <f>VLOOKUP(D337,Product_List!$A$2:$B$61,2,FALSE)</f>
        <v>Cable Basic 51</v>
      </c>
      <c r="F337" s="3" t="str">
        <f>_xlfn.XLOOKUP(E337,Product_List!$B$2:$B$61,Product_List!$E$2:$E$61,2)</f>
        <v>TechSupply Co</v>
      </c>
      <c r="G337" s="3" t="str">
        <f>VLOOKUP(E337,Product_List!$B$2:$C$61,2,FALSE)</f>
        <v>Office</v>
      </c>
      <c r="H337" s="3" t="str">
        <f>SUBSTITUTE(SUBSTITUTE('Sales_RAW(BEFORE)'!G347,"kom",""),".","")</f>
        <v>3</v>
      </c>
      <c r="I337" s="6">
        <f>VLOOKUP(E337,Product_List!$B$2:$D$61,3,FALSE)</f>
        <v>1036.6500000000001</v>
      </c>
      <c r="J337" s="5">
        <f>IF(IFERROR(VALUE(SUBSTITUTE(SUBSTITUTE(TRIM('Sales_RAW(BEFORE)'!I347), "%", ""), ",", ".")), 0) &gt; 1, IFERROR(VALUE(SUBSTITUTE(SUBSTITUTE(TRIM('Sales_RAW(BEFORE)'!I347), "%", ""), ",", ".")), 0) / 100, IFERROR(VALUE(SUBSTITUTE(SUBSTITUTE(TRIM('Sales_RAW(BEFORE)'!I347), "%", ""), ",", ".")), 0))</f>
        <v>0.05</v>
      </c>
      <c r="K337" s="6">
        <f t="shared" si="25"/>
        <v>3109.9500000000003</v>
      </c>
      <c r="L337" s="6" t="str" cm="1">
        <f t="array" ref="L337">_xlfn.LET(
  _xlpm.valuta, UPPER(TRIM('Sales_RAW(BEFORE)'!K347)),
  _xlfn.IFS(
    _xlpm.valuta = "", "",
    OR(_xlpm.valuta = "USD", _xlpm.valuta = "$"), "$",
    OR(_xlpm.valuta = "EUR", _xlpm.valuta = "€"), "€",
    TRUE, _xlpm.valuta
  )
)</f>
        <v>$</v>
      </c>
      <c r="M337" s="3" t="str">
        <f>"E" &amp; TEXT(VALUE(SUBSTITUTE(SUBSTITUTE(SUBSTITUTE(UPPER(TRIM('Sales_RAW(BEFORE)'!L347)), "EMP", ""), "E", ""), "-", "")),"000")</f>
        <v>E008</v>
      </c>
      <c r="N337" s="3" t="str">
        <f>_xlfn.XLOOKUP(M337,Employees!$D$2:$D$26,Employees!$A$2:$A$26)</f>
        <v>Michael Williams</v>
      </c>
      <c r="O337" s="3" t="str">
        <f>_xlfn.XLOOKUP(N337,Employees!$A$2:$A$26,Employees!$C$2:$C$26,2)</f>
        <v>Wholesale</v>
      </c>
      <c r="P337" s="3" t="str">
        <f>PROPER('Sales_RAW(BEFORE)'!N347)</f>
        <v>South</v>
      </c>
      <c r="Q337" s="3" t="str">
        <f>VLOOKUP(N337,Employees!$A$2:$B$26,2,FALSE)</f>
        <v>New York</v>
      </c>
      <c r="R337" s="3" t="str">
        <f>PROPER('Sales_RAW(BEFORE)'!P347)</f>
        <v xml:space="preserve">Globex Llc   </v>
      </c>
      <c r="S337" s="3" t="str">
        <f>SUBSTITUTE(SUBSTITUTE('Sales_RAW(BEFORE)'!Q347,"EIN",""),":","")</f>
        <v xml:space="preserve"> 676954297</v>
      </c>
      <c r="T337" s="3" t="s">
        <v>976</v>
      </c>
      <c r="U337" s="3" t="s">
        <v>977</v>
      </c>
      <c r="V337" s="3" t="s">
        <v>978</v>
      </c>
      <c r="W337" s="3" t="s">
        <v>979</v>
      </c>
      <c r="X337" s="3" t="s">
        <v>173</v>
      </c>
      <c r="Y337" s="3" t="str">
        <f>PROPER('Sales_RAW(BEFORE)'!W347)</f>
        <v>Wire</v>
      </c>
      <c r="Z337" s="3" t="str">
        <f>PROPER('Sales_RAW(BEFORE)'!X347)</f>
        <v>Delivered</v>
      </c>
      <c r="AA337" s="3" t="str" cm="1">
        <f t="array" ref="AA337">_xlfn.LET(
  _xlpm.val, TRIM(LOWER('Sales_RAW(BEFORE)'!Y347)),
  _xlfn.IFS(
    OR(_xlpm.val="yes", _xlpm.val="paid"), "Paid",
    OR(_xlpm.val="no", _xlpm.val="unpaid"), "Unpaid",
    OR(_xlpm.val="partial", _xlpm.val="partial paid"), "Partial",
    _xlpm.val="", "",
    TRUE, 'Sales_RAW(BEFORE)'!AY347
  )
)</f>
        <v>Partial</v>
      </c>
      <c r="AB337" s="3" t="s">
        <v>980</v>
      </c>
      <c r="AC337" s="3" t="str">
        <f>PROPER('Sales_RAW(BEFORE)'!AA347)</f>
        <v>Online</v>
      </c>
      <c r="AD337" s="3" t="str">
        <f>SUBSTITUTE(SUBSTITUTE(SUBSTITUTE(SUBSTITUTE('Sales_RAW(BEFORE)'!AB347,"st",""),"q",""),"Q",""),"uarter","")</f>
        <v>4</v>
      </c>
      <c r="AE337" s="3" t="str">
        <f>TEXT(IFERROR(DATEVALUE('Sales_RAW(BEFORE)'!AC347 &amp; " 1"), IFERROR(DATE(2025, 'Sales_RAW(BEFORE)'!AC347, 1), 'Sales_RAW(BEFORE)'!AC347)), "mmmm")</f>
        <v>May</v>
      </c>
      <c r="AF337" s="3">
        <f>_xlfn.LET(
  _xlpm.raw, TRIM(SUBSTITUTE('Sales_RAW(BEFORE)'!AD347, "'", "")),
  _xlpm.num, IFERROR(VALUE(_xlpm.raw), 0),
  IF(_xlpm.num &lt; 100, 2000 + _xlpm.num, _xlpm.num)
)</f>
        <v>2026</v>
      </c>
      <c r="AG337" s="3" t="str">
        <f>PROPER('Sales_RAW(BEFORE)'!AE347)</f>
        <v>Net 60</v>
      </c>
      <c r="AH337" s="3" cm="1">
        <f t="array" ref="AH337">_xlfn.LET(
  _xlpm.val, LOWER(TRIM('Sales_RAW(BEFORE)'!AF347)),
  _xlfn.IFS(
    OR(_xlpm.val="", _xlpm.val="null", _xlpm.val="N/A", _xlpm.val="-", _xlpm.val="#N/A"), 0,
    ISNUMBER('Sales_RAW(BEFORE)'!AF347), 'Sales_RAW(BEFORE)'!AF347,
    TRUE, IFERROR(_xlfn.NUMBERVALUE(_xlpm.val), 0)
  )
)</f>
        <v>43</v>
      </c>
      <c r="AI337" s="5">
        <f>IF(IFERROR(VALUE(SUBSTITUTE(SUBSTITUTE(TRIM('Sales_RAW(BEFORE)'!AG347), "%", ""), ",", ".")), 0) &gt; 1, IFERROR(VALUE(SUBSTITUTE(SUBSTITUTE(TRIM('Sales_RAW(BEFORE)'!AG347), "%", ""), ",", ".")), 0) / 100, IFERROR(VALUE(SUBSTITUTE(SUBSTITUTE(TRIM('Sales_RAW(BEFORE)'!AG347), "%", ""), ",", ".")), 0))</f>
        <v>0.08</v>
      </c>
      <c r="AJ337" s="6">
        <f t="shared" si="26"/>
        <v>248.79600000000002</v>
      </c>
      <c r="AK337" s="6">
        <f t="shared" si="27"/>
        <v>3358.7460000000001</v>
      </c>
      <c r="AL337" s="6">
        <f>IFERROR(VALUE(SUBSTITUTE(SUBSTITUTE(SUBSTITUTE('Sales_RAW(BEFORE)'!AJ347,"$",""),"USD",""),",",".")),0)</f>
        <v>5.85</v>
      </c>
      <c r="AM337" s="3" t="str">
        <f>SUBSTITUTE(SUBSTITUTE(PROPER('Sales_RAW(BEFORE)'!AK347), "Fed Ex", "FedEx"),"Fedex","FedEx")</f>
        <v>FedEx</v>
      </c>
      <c r="AN337" s="3" t="s">
        <v>982</v>
      </c>
      <c r="AO337" s="3" t="str">
        <f>SUBSTITUTE('Sales_RAW(BEFORE)'!AM347,"kg","")</f>
        <v>16.22</v>
      </c>
      <c r="AP337" s="3" t="str">
        <f>_xlfn.LET(
  _xlpm.raw, UPPER(TRIM('Sales_RAW(BEFORE)'!AN347)),
  _xlpm.clean, RIGHT(_xlpm.raw, 1),
  IF(OR(_xlpm.raw="", _xlpm.raw="null"), "N/A", _xlpm.clean)
)</f>
        <v>B</v>
      </c>
      <c r="AQ337" s="3">
        <v>300</v>
      </c>
      <c r="AR337" s="3" cm="1">
        <f t="array" ref="AR337">_xlfn.LET(
  _xlpm.raw, LOWER(TRIM('Sales_RAW(BEFORE)'!AP347)),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337" s="3"/>
      <c r="AT337" s="3"/>
      <c r="AU337" s="3"/>
      <c r="AV337" s="8">
        <f>IF(IFERROR(VALUE(SUBSTITUTE(SUBSTITUTE(TRIM('Sales_RAW(BEFORE)'!AT347), "%", ""), ",", ".")), 0) &gt; 1, IFERROR(VALUE(SUBSTITUTE(SUBSTITUTE(TRIM('Sales_RAW(BEFORE)'!AT347), "%", ""), ",", ".")), 0) / 100, IFERROR(VALUE(SUBSTITUTE(SUBSTITUTE(TRIM('Sales_RAW(BEFORE)'!AT347), "%", ""), ",", ".")), 0))</f>
        <v>0.3</v>
      </c>
      <c r="AW337" s="6">
        <f>BA337*(_xlfn.XLOOKUP(N337,Employees!$A$2:$A$26,Employees!$E$2:$E$26,2))</f>
        <v>142.74670499999999</v>
      </c>
      <c r="AX337" s="3" t="str">
        <f>PROPER('Sales_RAW(BEFORE)'!AV347)</f>
        <v>Sarah Johnson</v>
      </c>
      <c r="AY337" s="3" t="str">
        <f t="shared" si="28"/>
        <v>Sarah Johnson</v>
      </c>
      <c r="AZ337" s="3"/>
      <c r="BA337" s="24">
        <f>AK337*(1-(_xlfn.XLOOKUP(G337, Exchange_Rates!$B$8:$F$8, Exchange_Rates!$B$9:$F$9, 0)+J337))</f>
        <v>2854.9340999999999</v>
      </c>
      <c r="BB337" s="7" cm="1">
        <f t="array" ref="BB337">_xlfn.LET(
  _xlpm.raw_dt, SUBSTITUTE(TRIM(C337), ".", "/"),
  _xlpm.dt, IFERROR(DATEVALUE(_xlpm.raw_dt), C337),
  _xlpm.p_code, TRIM(E337),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46884</v>
      </c>
      <c r="BC337" s="25">
        <f t="shared" si="29"/>
        <v>856.48023000000001</v>
      </c>
    </row>
    <row r="338" spans="1:55" ht="15.75" thickBot="1" x14ac:dyDescent="0.3">
      <c r="A338" s="3" t="s">
        <v>5202</v>
      </c>
      <c r="B338" s="10">
        <v>45739</v>
      </c>
      <c r="C338" s="4">
        <v>45747</v>
      </c>
      <c r="D338" s="3" t="str">
        <f>"P-" &amp; TEXT(VALUE(SUBSTITUTE(SUBSTITUTE(SUBSTITUTE(UPPER(TRIM('Sales_RAW(BEFORE)'!D348)), "P", ""), "-", ""), "_", "")),"000")</f>
        <v>P-054</v>
      </c>
      <c r="E338" s="3" t="str">
        <f>VLOOKUP(D338,Product_List!$A$2:$B$61,2,FALSE)</f>
        <v>Mouse Basic 54</v>
      </c>
      <c r="F338" s="3" t="str">
        <f>_xlfn.XLOOKUP(E338,Product_List!$B$2:$B$61,Product_List!$E$2:$E$61,2)</f>
        <v>OfficeHub</v>
      </c>
      <c r="G338" s="3" t="str">
        <f>VLOOKUP(E338,Product_List!$B$2:$C$61,2,FALSE)</f>
        <v>Office</v>
      </c>
      <c r="H338" s="3" t="str">
        <f>SUBSTITUTE(SUBSTITUTE('Sales_RAW(BEFORE)'!G348,"kom",""),".","")</f>
        <v>21</v>
      </c>
      <c r="I338" s="6">
        <f>VLOOKUP(E338,Product_List!$B$2:$D$61,3,FALSE)</f>
        <v>801.23</v>
      </c>
      <c r="J338" s="5">
        <f>IF(IFERROR(VALUE(SUBSTITUTE(SUBSTITUTE(TRIM('Sales_RAW(BEFORE)'!I348), "%", ""), ",", ".")), 0) &gt; 1, IFERROR(VALUE(SUBSTITUTE(SUBSTITUTE(TRIM('Sales_RAW(BEFORE)'!I348), "%", ""), ",", ".")), 0) / 100, IFERROR(VALUE(SUBSTITUTE(SUBSTITUTE(TRIM('Sales_RAW(BEFORE)'!I348), "%", ""), ",", ".")), 0))</f>
        <v>0</v>
      </c>
      <c r="K338" s="6">
        <f t="shared" si="25"/>
        <v>16825.830000000002</v>
      </c>
      <c r="L338" s="6" t="str" cm="1">
        <f t="array" ref="L338">_xlfn.LET(
  _xlpm.valuta, UPPER(TRIM('Sales_RAW(BEFORE)'!K348)),
  _xlfn.IFS(
    _xlpm.valuta = "", "",
    OR(_xlpm.valuta = "USD", _xlpm.valuta = "$"), "$",
    OR(_xlpm.valuta = "EUR", _xlpm.valuta = "€"), "€",
    TRUE, _xlpm.valuta
  )
)</f>
        <v>$</v>
      </c>
      <c r="M338" s="3" t="str">
        <f>"E" &amp; TEXT(VALUE(SUBSTITUTE(SUBSTITUTE(SUBSTITUTE(UPPER(TRIM('Sales_RAW(BEFORE)'!L348)), "EMP", ""), "E", ""), "-", "")),"000")</f>
        <v>E007</v>
      </c>
      <c r="N338" s="3" t="str">
        <f>_xlfn.XLOOKUP(M338,Employees!$D$2:$D$26,Employees!$A$2:$A$26)</f>
        <v>Emma Johnson</v>
      </c>
      <c r="O338" s="3" t="str">
        <f>_xlfn.XLOOKUP(N338,Employees!$A$2:$A$26,Employees!$C$2:$C$26,2)</f>
        <v>Wholesale</v>
      </c>
      <c r="P338" s="3" t="str">
        <f>PROPER('Sales_RAW(BEFORE)'!N348)</f>
        <v>North</v>
      </c>
      <c r="Q338" s="3" t="str">
        <f>VLOOKUP(N338,Employees!$A$2:$B$26,2,FALSE)</f>
        <v>Seattle</v>
      </c>
      <c r="R338" s="3" t="str">
        <f>PROPER('Sales_RAW(BEFORE)'!P348)</f>
        <v xml:space="preserve"> Globex Inc</v>
      </c>
      <c r="S338" s="3" t="str">
        <f>SUBSTITUTE(SUBSTITUTE('Sales_RAW(BEFORE)'!Q348,"EIN",""),":","")</f>
        <v xml:space="preserve"> 954858532</v>
      </c>
      <c r="T338" s="3" t="s">
        <v>1232</v>
      </c>
      <c r="U338" s="3" t="s">
        <v>5208</v>
      </c>
      <c r="V338" s="3" t="s">
        <v>5209</v>
      </c>
      <c r="W338" s="3" t="s">
        <v>5210</v>
      </c>
      <c r="X338" s="3" t="s">
        <v>173</v>
      </c>
      <c r="Y338" s="3" t="str">
        <f>PROPER('Sales_RAW(BEFORE)'!W348)</f>
        <v>Wire Transfer</v>
      </c>
      <c r="Z338" s="3" t="str">
        <f>PROPER('Sales_RAW(BEFORE)'!X348)</f>
        <v>Delivered</v>
      </c>
      <c r="AA338" s="3" t="str" cm="1">
        <f t="array" ref="AA338">_xlfn.LET(
  _xlpm.val, TRIM(LOWER('Sales_RAW(BEFORE)'!Y348)),
  _xlfn.IFS(
    OR(_xlpm.val="yes", _xlpm.val="paid"), "Paid",
    OR(_xlpm.val="no", _xlpm.val="unpaid"), "Unpaid",
    OR(_xlpm.val="partial", _xlpm.val="partial paid"), "Partial",
    _xlpm.val="", "",
    TRUE, 'Sales_RAW(BEFORE)'!AY348
  )
)</f>
        <v>Paid</v>
      </c>
      <c r="AB338" s="3" t="s">
        <v>5211</v>
      </c>
      <c r="AC338" s="3" t="str">
        <f>PROPER('Sales_RAW(BEFORE)'!AA348)</f>
        <v>Online</v>
      </c>
      <c r="AD338" s="3" t="str">
        <f>SUBSTITUTE(SUBSTITUTE(SUBSTITUTE(SUBSTITUTE('Sales_RAW(BEFORE)'!AB348,"st",""),"q",""),"Q",""),"uarter","")</f>
        <v xml:space="preserve">1 </v>
      </c>
      <c r="AE338" s="3" t="str">
        <f>TEXT(IFERROR(DATEVALUE('Sales_RAW(BEFORE)'!AC348 &amp; " 1"), IFERROR(DATE(2025, 'Sales_RAW(BEFORE)'!AC348, 1), 'Sales_RAW(BEFORE)'!AC348)), "mmmm")</f>
        <v>March</v>
      </c>
      <c r="AF338" s="3">
        <f>_xlfn.LET(
  _xlpm.raw, TRIM(SUBSTITUTE('Sales_RAW(BEFORE)'!AD348, "'", "")),
  _xlpm.num, IFERROR(VALUE(_xlpm.raw), 0),
  IF(_xlpm.num &lt; 100, 2000 + _xlpm.num, _xlpm.num)
)</f>
        <v>2025</v>
      </c>
      <c r="AG338" s="3" t="str">
        <f>PROPER('Sales_RAW(BEFORE)'!AE348)</f>
        <v>Net 30</v>
      </c>
      <c r="AH338" s="3" cm="1">
        <f t="array" ref="AH338">_xlfn.LET(
  _xlpm.val, LOWER(TRIM('Sales_RAW(BEFORE)'!AF348)),
  _xlfn.IFS(
    OR(_xlpm.val="", _xlpm.val="null", _xlpm.val="N/A", _xlpm.val="-", _xlpm.val="#N/A"), 0,
    ISNUMBER('Sales_RAW(BEFORE)'!AF348), 'Sales_RAW(BEFORE)'!AF348,
    TRUE, IFERROR(_xlfn.NUMBERVALUE(_xlpm.val), 0)
  )
)</f>
        <v>28</v>
      </c>
      <c r="AI338" s="5">
        <f>IF(IFERROR(VALUE(SUBSTITUTE(SUBSTITUTE(TRIM('Sales_RAW(BEFORE)'!AG348), "%", ""), ",", ".")), 0) &gt; 1, IFERROR(VALUE(SUBSTITUTE(SUBSTITUTE(TRIM('Sales_RAW(BEFORE)'!AG348), "%", ""), ",", ".")), 0) / 100, IFERROR(VALUE(SUBSTITUTE(SUBSTITUTE(TRIM('Sales_RAW(BEFORE)'!AG348), "%", ""), ",", ".")), 0))</f>
        <v>0.08</v>
      </c>
      <c r="AJ338" s="6">
        <f t="shared" si="26"/>
        <v>1346.0664000000002</v>
      </c>
      <c r="AK338" s="6">
        <f t="shared" si="27"/>
        <v>18171.896400000001</v>
      </c>
      <c r="AL338" s="6">
        <f>IFERROR(VALUE(SUBSTITUTE(SUBSTITUTE(SUBSTITUTE('Sales_RAW(BEFORE)'!AJ348,"$",""),"USD",""),",",".")),0)</f>
        <v>10.48</v>
      </c>
      <c r="AM338" s="3" t="str">
        <f>SUBSTITUTE(SUBSTITUTE(PROPER('Sales_RAW(BEFORE)'!AK348), "Fed Ex", "FedEx"),"Fedex","FedEx")</f>
        <v>Usps</v>
      </c>
      <c r="AN338" s="3" t="s">
        <v>5213</v>
      </c>
      <c r="AO338" s="3" t="str">
        <f>SUBSTITUTE('Sales_RAW(BEFORE)'!AM348,"kg","")</f>
        <v>3.35</v>
      </c>
      <c r="AP338" s="3" t="str">
        <f>_xlfn.LET(
  _xlpm.raw, UPPER(TRIM('Sales_RAW(BEFORE)'!AN348)),
  _xlpm.clean, RIGHT(_xlpm.raw, 1),
  IF(OR(_xlpm.raw="", _xlpm.raw="null"), "N/A", _xlpm.clean)
)</f>
        <v>A</v>
      </c>
      <c r="AQ338" s="3">
        <v>432</v>
      </c>
      <c r="AR338" s="3" cm="1">
        <f t="array" ref="AR338">_xlfn.LET(
  _xlpm.raw, LOWER(TRIM('Sales_RAW(BEFORE)'!AP348)),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338" s="3"/>
      <c r="AT338" s="3"/>
      <c r="AU338" s="3"/>
      <c r="AV338" s="8">
        <f>IF(IFERROR(VALUE(SUBSTITUTE(SUBSTITUTE(TRIM('Sales_RAW(BEFORE)'!AT348), "%", ""), ",", ".")), 0) &gt; 1, IFERROR(VALUE(SUBSTITUTE(SUBSTITUTE(TRIM('Sales_RAW(BEFORE)'!AT348), "%", ""), ",", ".")), 0) / 100, IFERROR(VALUE(SUBSTITUTE(SUBSTITUTE(TRIM('Sales_RAW(BEFORE)'!AT348), "%", ""), ",", ".")), 0))</f>
        <v>0.3</v>
      </c>
      <c r="AW338" s="6">
        <f>BA338*(_xlfn.XLOOKUP(N338,Employees!$A$2:$A$26,Employees!$E$2:$E$26,2))</f>
        <v>490.64120280000003</v>
      </c>
      <c r="AX338" s="3" t="str">
        <f>PROPER('Sales_RAW(BEFORE)'!AV348)</f>
        <v xml:space="preserve">   Daniel Johnson</v>
      </c>
      <c r="AY338" s="3" t="str">
        <f t="shared" si="28"/>
        <v xml:space="preserve">   Daniel Johnson</v>
      </c>
      <c r="AZ338" s="3"/>
      <c r="BA338" s="24">
        <f>AK338*(1-(_xlfn.XLOOKUP(G338, Exchange_Rates!$B$8:$F$8, Exchange_Rates!$B$9:$F$9, 0)+J338))</f>
        <v>16354.706760000001</v>
      </c>
      <c r="BB338" s="7" cm="1">
        <f t="array" ref="BB338">_xlfn.LET(
  _xlpm.raw_dt, SUBSTITUTE(TRIM(C338), ".", "/"),
  _xlpm.dt, IFERROR(DATEVALUE(_xlpm.raw_dt), C338),
  _xlpm.p_code, TRIM(E338),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46477</v>
      </c>
      <c r="BC338" s="25">
        <f t="shared" si="29"/>
        <v>4906.4120279999997</v>
      </c>
    </row>
    <row r="339" spans="1:55" ht="15.75" thickBot="1" x14ac:dyDescent="0.3">
      <c r="A339" s="3" t="s">
        <v>5216</v>
      </c>
      <c r="B339" s="10">
        <v>45896</v>
      </c>
      <c r="C339" s="4">
        <v>45907</v>
      </c>
      <c r="D339" s="3" t="str">
        <f>"P-" &amp; TEXT(VALUE(SUBSTITUTE(SUBSTITUTE(SUBSTITUTE(UPPER(TRIM('Sales_RAW(BEFORE)'!D349)), "P", ""), "-", ""), "_", "")),"000")</f>
        <v>P-021</v>
      </c>
      <c r="E339" s="3" t="str">
        <f>VLOOKUP(D339,Product_List!$A$2:$B$61,2,FALSE)</f>
        <v>Monitor Max 21</v>
      </c>
      <c r="F339" s="3" t="str">
        <f>_xlfn.XLOOKUP(E339,Product_List!$B$2:$B$61,Product_List!$E$2:$E$61,2)</f>
        <v>OfficeHub</v>
      </c>
      <c r="G339" s="3" t="str">
        <f>VLOOKUP(E339,Product_List!$B$2:$C$61,2,FALSE)</f>
        <v>Equipment</v>
      </c>
      <c r="H339" s="3" t="str">
        <f>SUBSTITUTE(SUBSTITUTE('Sales_RAW(BEFORE)'!G349,"kom",""),".","")</f>
        <v>8</v>
      </c>
      <c r="I339" s="6">
        <f>VLOOKUP(E339,Product_List!$B$2:$D$61,3,FALSE)</f>
        <v>1184.7</v>
      </c>
      <c r="J339" s="5">
        <f>IF(IFERROR(VALUE(SUBSTITUTE(SUBSTITUTE(TRIM('Sales_RAW(BEFORE)'!I349), "%", ""), ",", ".")), 0) &gt; 1, IFERROR(VALUE(SUBSTITUTE(SUBSTITUTE(TRIM('Sales_RAW(BEFORE)'!I349), "%", ""), ",", ".")), 0) / 100, IFERROR(VALUE(SUBSTITUTE(SUBSTITUTE(TRIM('Sales_RAW(BEFORE)'!I349), "%", ""), ",", ".")), 0))</f>
        <v>0</v>
      </c>
      <c r="K339" s="6">
        <f>(H339*I339)/(HLOOKUP(AE339,Exchange_Rates!$B$1:$M$2,2,FALSE))</f>
        <v>10279.392624728851</v>
      </c>
      <c r="L339" s="6" t="str" cm="1">
        <f t="array" ref="L339">_xlfn.LET(
  _xlpm.valuta, UPPER(TRIM('Sales_RAW(BEFORE)'!K349)),
  _xlfn.IFS(
    _xlpm.valuta = "", "",
    OR(_xlpm.valuta = "USD", _xlpm.valuta = "$"), "$",
    OR(_xlpm.valuta = "EUR", _xlpm.valuta = "€"), "€",
    TRUE, _xlpm.valuta
  )
)</f>
        <v>€</v>
      </c>
      <c r="M339" s="3" t="str">
        <f>"E" &amp; TEXT(VALUE(SUBSTITUTE(SUBSTITUTE(SUBSTITUTE(UPPER(TRIM('Sales_RAW(BEFORE)'!L349)), "EMP", ""), "E", ""), "-", "")),"000")</f>
        <v>E003</v>
      </c>
      <c r="N339" s="3" t="str">
        <f>_xlfn.XLOOKUP(M339,Employees!$D$2:$D$26,Employees!$A$2:$A$26)</f>
        <v>Laura Miller</v>
      </c>
      <c r="O339" s="3" t="str">
        <f>_xlfn.XLOOKUP(N339,Employees!$A$2:$A$26,Employees!$C$2:$C$26,2)</f>
        <v>Sales</v>
      </c>
      <c r="P339" s="3" t="str">
        <f>PROPER('Sales_RAW(BEFORE)'!N349)</f>
        <v>West</v>
      </c>
      <c r="Q339" s="3" t="str">
        <f>VLOOKUP(N339,Employees!$A$2:$B$26,2,FALSE)</f>
        <v>Miami</v>
      </c>
      <c r="R339" s="3" t="str">
        <f>PROPER('Sales_RAW(BEFORE)'!P349)</f>
        <v xml:space="preserve">Acme Ltd.   </v>
      </c>
      <c r="S339" s="3" t="str">
        <f>SUBSTITUTE(SUBSTITUTE('Sales_RAW(BEFORE)'!Q349,"EIN",""),":","")</f>
        <v>350082355</v>
      </c>
      <c r="T339" s="3" t="s">
        <v>307</v>
      </c>
      <c r="U339" s="3" t="s">
        <v>5222</v>
      </c>
      <c r="V339" s="3" t="s">
        <v>5223</v>
      </c>
      <c r="W339" s="3" t="s">
        <v>5224</v>
      </c>
      <c r="X339" s="3" t="s">
        <v>173</v>
      </c>
      <c r="Y339" s="3" t="str">
        <f>PROPER('Sales_RAW(BEFORE)'!W349)</f>
        <v>Paypal</v>
      </c>
      <c r="Z339" s="3" t="str">
        <f>PROPER('Sales_RAW(BEFORE)'!X349)</f>
        <v>Delivered</v>
      </c>
      <c r="AA339" s="3" t="str" cm="1">
        <f t="array" ref="AA339">_xlfn.LET(
  _xlpm.val, TRIM(LOWER('Sales_RAW(BEFORE)'!Y349)),
  _xlfn.IFS(
    OR(_xlpm.val="yes", _xlpm.val="paid"), "Paid",
    OR(_xlpm.val="no", _xlpm.val="unpaid"), "Unpaid",
    OR(_xlpm.val="partial", _xlpm.val="partial paid"), "Partial",
    _xlpm.val="", "",
    TRUE, 'Sales_RAW(BEFORE)'!AY349
  )
)</f>
        <v>Paid</v>
      </c>
      <c r="AB339" s="3" t="s">
        <v>5225</v>
      </c>
      <c r="AC339" s="3" t="str">
        <f>PROPER('Sales_RAW(BEFORE)'!AA349)</f>
        <v>Store</v>
      </c>
      <c r="AD339" s="3" t="str">
        <f>SUBSTITUTE(SUBSTITUTE(SUBSTITUTE(SUBSTITUTE('Sales_RAW(BEFORE)'!AB349,"st",""),"q",""),"Q",""),"uarter","")</f>
        <v>1</v>
      </c>
      <c r="AE339" s="3" t="str">
        <f>TEXT(IFERROR(DATEVALUE('Sales_RAW(BEFORE)'!AC349 &amp; " 1"), IFERROR(DATE(2025, 'Sales_RAW(BEFORE)'!AC349, 1), 'Sales_RAW(BEFORE)'!AC349)), "mmmm")</f>
        <v>August</v>
      </c>
      <c r="AF339" s="3">
        <f>_xlfn.LET(
  _xlpm.raw, TRIM(SUBSTITUTE('Sales_RAW(BEFORE)'!AD349, "'", "")),
  _xlpm.num, IFERROR(VALUE(_xlpm.raw), 0),
  IF(_xlpm.num &lt; 100, 2000 + _xlpm.num, _xlpm.num)
)</f>
        <v>2025</v>
      </c>
      <c r="AG339" s="3" t="str">
        <f>PROPER('Sales_RAW(BEFORE)'!AE349)</f>
        <v>Net 30</v>
      </c>
      <c r="AH339" s="3" cm="1">
        <f t="array" ref="AH339">_xlfn.LET(
  _xlpm.val, LOWER(TRIM('Sales_RAW(BEFORE)'!AF349)),
  _xlfn.IFS(
    OR(_xlpm.val="", _xlpm.val="null", _xlpm.val="N/A", _xlpm.val="-", _xlpm.val="#N/A"), 0,
    ISNUMBER('Sales_RAW(BEFORE)'!AF349), 'Sales_RAW(BEFORE)'!AF349,
    TRUE, IFERROR(_xlfn.NUMBERVALUE(_xlpm.val), 0)
  )
)</f>
        <v>51</v>
      </c>
      <c r="AI339" s="5">
        <f>IF(IFERROR(VALUE(SUBSTITUTE(SUBSTITUTE(TRIM('Sales_RAW(BEFORE)'!AG349), "%", ""), ",", ".")), 0) &gt; 1, IFERROR(VALUE(SUBSTITUTE(SUBSTITUTE(TRIM('Sales_RAW(BEFORE)'!AG349), "%", ""), ",", ".")), 0) / 100, IFERROR(VALUE(SUBSTITUTE(SUBSTITUTE(TRIM('Sales_RAW(BEFORE)'!AG349), "%", ""), ",", ".")), 0))</f>
        <v>0.08</v>
      </c>
      <c r="AJ339" s="6">
        <f t="shared" si="26"/>
        <v>822.35140997830808</v>
      </c>
      <c r="AK339" s="6">
        <f t="shared" si="27"/>
        <v>11101.744034707159</v>
      </c>
      <c r="AL339" s="6">
        <f>IFERROR(VALUE(SUBSTITUTE(SUBSTITUTE(SUBSTITUTE('Sales_RAW(BEFORE)'!AJ349,"$",""),"USD",""),",",".")),0)</f>
        <v>24</v>
      </c>
      <c r="AM339" s="3" t="str">
        <f>SUBSTITUTE(SUBSTITUTE(PROPER('Sales_RAW(BEFORE)'!AK349), "Fed Ex", "FedEx"),"Fedex","FedEx")</f>
        <v>Ups</v>
      </c>
      <c r="AN339" s="3" t="s">
        <v>5227</v>
      </c>
      <c r="AO339" s="3" t="str">
        <f>SUBSTITUTE('Sales_RAW(BEFORE)'!AM349,"kg","")</f>
        <v>22,58</v>
      </c>
      <c r="AP339" s="3" t="str">
        <f>_xlfn.LET(
  _xlpm.raw, UPPER(TRIM('Sales_RAW(BEFORE)'!AN349)),
  _xlpm.clean, RIGHT(_xlpm.raw, 1),
  IF(OR(_xlpm.raw="", _xlpm.raw="null"), "N/A", _xlpm.clean)
)</f>
        <v>B</v>
      </c>
      <c r="AQ339" s="3">
        <v>105</v>
      </c>
      <c r="AR339" s="3" cm="1">
        <f t="array" ref="AR339">_xlfn.LET(
  _xlpm.raw, LOWER(TRIM('Sales_RAW(BEFORE)'!AP349)),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339" s="3"/>
      <c r="AT339" s="3"/>
      <c r="AU339" s="3"/>
      <c r="AV339" s="8">
        <f>IF(IFERROR(VALUE(SUBSTITUTE(SUBSTITUTE(TRIM('Sales_RAW(BEFORE)'!AT349), "%", ""), ",", ".")), 0) &gt; 1, IFERROR(VALUE(SUBSTITUTE(SUBSTITUTE(TRIM('Sales_RAW(BEFORE)'!AT349), "%", ""), ",", ".")), 0) / 100, IFERROR(VALUE(SUBSTITUTE(SUBSTITUTE(TRIM('Sales_RAW(BEFORE)'!AT349), "%", ""), ",", ".")), 0))</f>
        <v>0</v>
      </c>
      <c r="AW339" s="6">
        <f>BA339*(_xlfn.XLOOKUP(N339,Employees!$A$2:$A$26,Employees!$E$2:$E$26,2))</f>
        <v>499.57848156182217</v>
      </c>
      <c r="AX339" s="3" t="str">
        <f>PROPER('Sales_RAW(BEFORE)'!AV349)</f>
        <v>Michael Taylor</v>
      </c>
      <c r="AY339" s="3" t="str">
        <f t="shared" si="28"/>
        <v>Michael Taylor</v>
      </c>
      <c r="AZ339" s="3"/>
      <c r="BA339" s="24">
        <f>AK339*(1-(_xlfn.XLOOKUP(G339, Exchange_Rates!$B$8:$F$8, Exchange_Rates!$B$9:$F$9, 0)+J339))</f>
        <v>9991.5696312364435</v>
      </c>
      <c r="BB339" s="7" cm="1">
        <f t="array" ref="BB339">_xlfn.LET(
  _xlpm.raw_dt, SUBSTITUTE(TRIM(C339), ".", "/"),
  _xlpm.dt, IFERROR(DATEVALUE(_xlpm.raw_dt), C339),
  _xlpm.p_code, TRIM(E339),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46637</v>
      </c>
      <c r="BC339" s="25">
        <f t="shared" ref="BC339:BC342" si="30">BA339*AV339</f>
        <v>0</v>
      </c>
    </row>
    <row r="340" spans="1:55" ht="15.75" thickBot="1" x14ac:dyDescent="0.3">
      <c r="A340" s="3" t="s">
        <v>5229</v>
      </c>
      <c r="B340" s="10">
        <v>46007</v>
      </c>
      <c r="C340" s="4">
        <v>46012</v>
      </c>
      <c r="D340" s="3" t="str">
        <f>"P-" &amp; TEXT(VALUE(SUBSTITUTE(SUBSTITUTE(SUBSTITUTE(UPPER(TRIM('Sales_RAW(BEFORE)'!D350)), "P", ""), "-", ""), "_", "")),"000")</f>
        <v>P-001</v>
      </c>
      <c r="E340" s="3" t="str">
        <f>VLOOKUP(D340,Product_List!$A$2:$B$61,2,FALSE)</f>
        <v>Desk X 1</v>
      </c>
      <c r="F340" s="3" t="str">
        <f>_xlfn.XLOOKUP(E340,Product_List!$B$2:$B$61,Product_List!$E$2:$E$61,2)</f>
        <v>Global Distrib</v>
      </c>
      <c r="G340" s="3" t="str">
        <f>VLOOKUP(E340,Product_List!$B$2:$C$61,2,FALSE)</f>
        <v>Software</v>
      </c>
      <c r="H340" s="3" t="str">
        <f>SUBSTITUTE(SUBSTITUTE('Sales_RAW(BEFORE)'!G350,"kom",""),".","")</f>
        <v>21</v>
      </c>
      <c r="I340" s="6">
        <f>VLOOKUP(E340,Product_List!$B$2:$D$61,3,FALSE)</f>
        <v>978.15</v>
      </c>
      <c r="J340" s="5">
        <f>IF(IFERROR(VALUE(SUBSTITUTE(SUBSTITUTE(TRIM('Sales_RAW(BEFORE)'!I350), "%", ""), ",", ".")), 0) &gt; 1, IFERROR(VALUE(SUBSTITUTE(SUBSTITUTE(TRIM('Sales_RAW(BEFORE)'!I350), "%", ""), ",", ".")), 0) / 100, IFERROR(VALUE(SUBSTITUTE(SUBSTITUTE(TRIM('Sales_RAW(BEFORE)'!I350), "%", ""), ",", ".")), 0))</f>
        <v>0.1</v>
      </c>
      <c r="K340" s="6">
        <f t="shared" si="25"/>
        <v>20541.149999999998</v>
      </c>
      <c r="L340" s="6" t="str" cm="1">
        <f t="array" ref="L340">_xlfn.LET(
  _xlpm.valuta, UPPER(TRIM('Sales_RAW(BEFORE)'!K350)),
  _xlfn.IFS(
    _xlpm.valuta = "", "",
    OR(_xlpm.valuta = "USD", _xlpm.valuta = "$"), "$",
    OR(_xlpm.valuta = "EUR", _xlpm.valuta = "€"), "€",
    TRUE, _xlpm.valuta
  )
)</f>
        <v>$</v>
      </c>
      <c r="M340" s="3" t="str">
        <f>"E" &amp; TEXT(VALUE(SUBSTITUTE(SUBSTITUTE(SUBSTITUTE(UPPER(TRIM('Sales_RAW(BEFORE)'!L350)), "EMP", ""), "E", ""), "-", "")),"000")</f>
        <v>E012</v>
      </c>
      <c r="N340" s="3" t="str">
        <f>_xlfn.XLOOKUP(M340,Employees!$D$2:$D$26,Employees!$A$2:$A$26)</f>
        <v>John Smith</v>
      </c>
      <c r="O340" s="3" t="str">
        <f>_xlfn.XLOOKUP(N340,Employees!$A$2:$A$26,Employees!$C$2:$C$26,2)</f>
        <v>Sales</v>
      </c>
      <c r="P340" s="3" t="str">
        <f>PROPER('Sales_RAW(BEFORE)'!N350)</f>
        <v>North</v>
      </c>
      <c r="Q340" s="3" t="str">
        <f>VLOOKUP(N340,Employees!$A$2:$B$26,2,FALSE)</f>
        <v>Miami</v>
      </c>
      <c r="R340" s="3" t="str">
        <f>PROPER('Sales_RAW(BEFORE)'!P350)</f>
        <v xml:space="preserve">Globex Inc.  </v>
      </c>
      <c r="S340" s="3" t="str">
        <f>SUBSTITUTE(SUBSTITUTE('Sales_RAW(BEFORE)'!Q350,"EIN",""),":","")</f>
        <v>711689846</v>
      </c>
      <c r="T340" s="3" t="s">
        <v>1395</v>
      </c>
      <c r="U340" s="3" t="s">
        <v>5233</v>
      </c>
      <c r="V340" s="3" t="s">
        <v>5234</v>
      </c>
      <c r="W340" s="3" t="s">
        <v>5235</v>
      </c>
      <c r="X340" s="3" t="s">
        <v>173</v>
      </c>
      <c r="Y340" s="3" t="str">
        <f>PROPER('Sales_RAW(BEFORE)'!W350)</f>
        <v>Credit Card</v>
      </c>
      <c r="Z340" s="3" t="str">
        <f>PROPER('Sales_RAW(BEFORE)'!X350)</f>
        <v>Cancelled</v>
      </c>
      <c r="AA340" s="3" t="str" cm="1">
        <f t="array" ref="AA340">_xlfn.LET(
  _xlpm.val, TRIM(LOWER('Sales_RAW(BEFORE)'!Y350)),
  _xlfn.IFS(
    OR(_xlpm.val="yes", _xlpm.val="paid"), "Paid",
    OR(_xlpm.val="no", _xlpm.val="unpaid"), "Unpaid",
    OR(_xlpm.val="partial", _xlpm.val="partial paid"), "Partial",
    _xlpm.val="", "",
    TRUE, 'Sales_RAW(BEFORE)'!AY350
  )
)</f>
        <v>Partial</v>
      </c>
      <c r="AB340" s="3" t="s">
        <v>5236</v>
      </c>
      <c r="AC340" s="3" t="str">
        <f>PROPER('Sales_RAW(BEFORE)'!AA350)</f>
        <v>Online</v>
      </c>
      <c r="AD340" s="3" t="str">
        <f>SUBSTITUTE(SUBSTITUTE(SUBSTITUTE(SUBSTITUTE('Sales_RAW(BEFORE)'!AB350,"st",""),"q",""),"Q",""),"uarter","")</f>
        <v>4</v>
      </c>
      <c r="AE340" s="3" t="str">
        <f>TEXT(IFERROR(DATEVALUE('Sales_RAW(BEFORE)'!AC350 &amp; " 1"), IFERROR(DATE(2025, 'Sales_RAW(BEFORE)'!AC350, 1), 'Sales_RAW(BEFORE)'!AC350)), "mmmm")</f>
        <v>December</v>
      </c>
      <c r="AF340" s="3">
        <f>_xlfn.LET(
  _xlpm.raw, TRIM(SUBSTITUTE('Sales_RAW(BEFORE)'!AD350, "'", "")),
  _xlpm.num, IFERROR(VALUE(_xlpm.raw), 0),
  IF(_xlpm.num &lt; 100, 2000 + _xlpm.num, _xlpm.num)
)</f>
        <v>2025</v>
      </c>
      <c r="AG340" s="3" t="str">
        <f>PROPER('Sales_RAW(BEFORE)'!AE350)</f>
        <v>Immediate</v>
      </c>
      <c r="AH340" s="3" cm="1">
        <f t="array" ref="AH340">_xlfn.LET(
  _xlpm.val, LOWER(TRIM('Sales_RAW(BEFORE)'!AF350)),
  _xlfn.IFS(
    OR(_xlpm.val="", _xlpm.val="null", _xlpm.val="N/A", _xlpm.val="-", _xlpm.val="#N/A"), 0,
    ISNUMBER('Sales_RAW(BEFORE)'!AF350), 'Sales_RAW(BEFORE)'!AF350,
    TRUE, IFERROR(_xlfn.NUMBERVALUE(_xlpm.val), 0)
  )
)</f>
        <v>0</v>
      </c>
      <c r="AI340" s="5">
        <f>IF(IFERROR(VALUE(SUBSTITUTE(SUBSTITUTE(TRIM('Sales_RAW(BEFORE)'!AG350), "%", ""), ",", ".")), 0) &gt; 1, IFERROR(VALUE(SUBSTITUTE(SUBSTITUTE(TRIM('Sales_RAW(BEFORE)'!AG350), "%", ""), ",", ".")), 0) / 100, IFERROR(VALUE(SUBSTITUTE(SUBSTITUTE(TRIM('Sales_RAW(BEFORE)'!AG350), "%", ""), ",", ".")), 0))</f>
        <v>0.08</v>
      </c>
      <c r="AJ340" s="6">
        <f t="shared" si="26"/>
        <v>1643.2919999999999</v>
      </c>
      <c r="AK340" s="6">
        <f t="shared" si="27"/>
        <v>22184.441999999999</v>
      </c>
      <c r="AL340" s="6">
        <f>IFERROR(VALUE(SUBSTITUTE(SUBSTITUTE(SUBSTITUTE('Sales_RAW(BEFORE)'!AJ350,"$",""),"USD",""),",",".")),0)</f>
        <v>41.29</v>
      </c>
      <c r="AM340" s="3" t="str">
        <f>SUBSTITUTE(SUBSTITUTE(PROPER('Sales_RAW(BEFORE)'!AK350), "Fed Ex", "FedEx"),"Fedex","FedEx")</f>
        <v>Usps</v>
      </c>
      <c r="AN340" s="3" t="s">
        <v>5238</v>
      </c>
      <c r="AO340" s="3" t="str">
        <f>SUBSTITUTE('Sales_RAW(BEFORE)'!AM350,"kg","")</f>
        <v xml:space="preserve">2.4 </v>
      </c>
      <c r="AP340" s="3" t="str">
        <f>_xlfn.LET(
  _xlpm.raw, UPPER(TRIM('Sales_RAW(BEFORE)'!AN350)),
  _xlpm.clean, RIGHT(_xlpm.raw, 1),
  IF(OR(_xlpm.raw="", _xlpm.raw="null"), "N/A", _xlpm.clean)
)</f>
        <v>A</v>
      </c>
      <c r="AQ340" s="3">
        <v>359</v>
      </c>
      <c r="AR340" s="3" cm="1">
        <f t="array" ref="AR340">_xlfn.LET(
  _xlpm.raw, LOWER(TRIM('Sales_RAW(BEFORE)'!AP350)),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4</v>
      </c>
      <c r="AS340" s="3"/>
      <c r="AT340" s="3"/>
      <c r="AU340" s="3"/>
      <c r="AV340" s="8">
        <f>IF(IFERROR(VALUE(SUBSTITUTE(SUBSTITUTE(TRIM('Sales_RAW(BEFORE)'!AT350), "%", ""), ",", ".")), 0) &gt; 1, IFERROR(VALUE(SUBSTITUTE(SUBSTITUTE(TRIM('Sales_RAW(BEFORE)'!AT350), "%", ""), ",", ".")), 0) / 100, IFERROR(VALUE(SUBSTITUTE(SUBSTITUTE(TRIM('Sales_RAW(BEFORE)'!AT350), "%", ""), ",", ".")), 0))</f>
        <v>0.3</v>
      </c>
      <c r="AW340" s="6">
        <f>BA340*(_xlfn.XLOOKUP(N340,Employees!$A$2:$A$26,Employees!$E$2:$E$26,2))</f>
        <v>332.76663000000002</v>
      </c>
      <c r="AX340" s="3" t="str">
        <f>PROPER('Sales_RAW(BEFORE)'!AV350)</f>
        <v xml:space="preserve">Emily Miller </v>
      </c>
      <c r="AY340" s="3" t="str">
        <f t="shared" si="28"/>
        <v xml:space="preserve">Emily Miller </v>
      </c>
      <c r="AZ340" s="3"/>
      <c r="BA340" s="24">
        <f>AK340*(1-(_xlfn.XLOOKUP(G340, Exchange_Rates!$B$8:$F$8, Exchange_Rates!$B$9:$F$9, 0)+J340))</f>
        <v>16638.3315</v>
      </c>
      <c r="BB340" s="7" cm="1">
        <f t="array" ref="BB340">_xlfn.LET(
  _xlpm.raw_dt, SUBSTITUTE(TRIM(C340), ".", "/"),
  _xlpm.dt, IFERROR(DATEVALUE(_xlpm.raw_dt), C340),
  _xlpm.p_code, TRIM(E340),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46742</v>
      </c>
      <c r="BC340" s="25">
        <f t="shared" si="30"/>
        <v>4991.4994500000003</v>
      </c>
    </row>
    <row r="341" spans="1:55" ht="15.75" thickBot="1" x14ac:dyDescent="0.3">
      <c r="A341" s="3" t="s">
        <v>5241</v>
      </c>
      <c r="B341" s="10">
        <f>DATE(2025,2,19)</f>
        <v>45707</v>
      </c>
      <c r="C341" s="4">
        <v>45713</v>
      </c>
      <c r="D341" s="3" t="str">
        <f>"P-" &amp; TEXT(VALUE(SUBSTITUTE(SUBSTITUTE(SUBSTITUTE(UPPER(TRIM('Sales_RAW(BEFORE)'!D351)), "P", ""), "-", ""), "_", "")),"000")</f>
        <v>P-031</v>
      </c>
      <c r="E341" s="3" t="str">
        <f>VLOOKUP(D341,Product_List!$A$2:$B$61,2,FALSE)</f>
        <v>Cable Basic 31</v>
      </c>
      <c r="F341" s="3" t="str">
        <f>_xlfn.XLOOKUP(E341,Product_List!$B$2:$B$61,Product_List!$E$2:$E$61,2)</f>
        <v>TechSupply Co</v>
      </c>
      <c r="G341" s="3" t="str">
        <f>VLOOKUP(E341,Product_List!$B$2:$C$61,2,FALSE)</f>
        <v>Office</v>
      </c>
      <c r="H341" s="3" t="str">
        <f>SUBSTITUTE(SUBSTITUTE('Sales_RAW(BEFORE)'!G351,"kom",""),".","")</f>
        <v>23</v>
      </c>
      <c r="I341" s="6">
        <f>VLOOKUP(E341,Product_List!$B$2:$D$61,3,FALSE)</f>
        <v>1229.82</v>
      </c>
      <c r="J341" s="5">
        <f>IF(IFERROR(VALUE(SUBSTITUTE(SUBSTITUTE(TRIM('Sales_RAW(BEFORE)'!I351), "%", ""), ",", ".")), 0) &gt; 1, IFERROR(VALUE(SUBSTITUTE(SUBSTITUTE(TRIM('Sales_RAW(BEFORE)'!I351), "%", ""), ",", ".")), 0) / 100, IFERROR(VALUE(SUBSTITUTE(SUBSTITUTE(TRIM('Sales_RAW(BEFORE)'!I351), "%", ""), ",", ".")), 0))</f>
        <v>0.1</v>
      </c>
      <c r="K341" s="6">
        <f>(H341*I341)/(HLOOKUP(AE341,Exchange_Rates!$B$1:$M$2,2,FALSE))</f>
        <v>30612.402597402594</v>
      </c>
      <c r="L341" s="6" t="str" cm="1">
        <f t="array" ref="L341">_xlfn.LET(
  _xlpm.valuta, UPPER(TRIM('Sales_RAW(BEFORE)'!K351)),
  _xlfn.IFS(
    _xlpm.valuta = "", "",
    OR(_xlpm.valuta = "USD", _xlpm.valuta = "$"), "$",
    OR(_xlpm.valuta = "EUR", _xlpm.valuta = "€"), "€",
    TRUE, _xlpm.valuta
  )
)</f>
        <v>€</v>
      </c>
      <c r="M341" s="3" t="str">
        <f>"E" &amp; TEXT(VALUE(SUBSTITUTE(SUBSTITUTE(SUBSTITUTE(UPPER(TRIM('Sales_RAW(BEFORE)'!L351)), "EMP", ""), "E", ""), "-", "")),"000")</f>
        <v>E016</v>
      </c>
      <c r="N341" s="3" t="str">
        <f>_xlfn.XLOOKUP(M341,Employees!$D$2:$D$26,Employees!$A$2:$A$26)</f>
        <v>Chris Anderson</v>
      </c>
      <c r="O341" s="3" t="str">
        <f>_xlfn.XLOOKUP(N341,Employees!$A$2:$A$26,Employees!$C$2:$C$26,2)</f>
        <v>Online</v>
      </c>
      <c r="P341" s="3" t="str">
        <f>PROPER('Sales_RAW(BEFORE)'!N351)</f>
        <v>East</v>
      </c>
      <c r="Q341" s="3" t="str">
        <f>VLOOKUP(N341,Employees!$A$2:$B$26,2,FALSE)</f>
        <v>Chicago</v>
      </c>
      <c r="R341" s="3" t="str">
        <f>PROPER('Sales_RAW(BEFORE)'!P351)</f>
        <v xml:space="preserve"> Initech Inc</v>
      </c>
      <c r="S341" s="3" t="str">
        <f>SUBSTITUTE(SUBSTITUTE('Sales_RAW(BEFORE)'!Q351,"EIN",""),":","")</f>
        <v>681781819</v>
      </c>
      <c r="T341" s="3" t="s">
        <v>201</v>
      </c>
      <c r="U341" s="3" t="s">
        <v>5248</v>
      </c>
      <c r="V341" s="3" t="s">
        <v>5249</v>
      </c>
      <c r="W341" s="3" t="s">
        <v>5250</v>
      </c>
      <c r="X341" s="3" t="s">
        <v>173</v>
      </c>
      <c r="Y341" s="3" t="str">
        <f>PROPER('Sales_RAW(BEFORE)'!W351)</f>
        <v>Credit Card</v>
      </c>
      <c r="Z341" s="3" t="str">
        <f>PROPER('Sales_RAW(BEFORE)'!X351)</f>
        <v>Cancelled</v>
      </c>
      <c r="AA341" s="3" t="str" cm="1">
        <f t="array" ref="AA341">_xlfn.LET(
  _xlpm.val, TRIM(LOWER('Sales_RAW(BEFORE)'!Y351)),
  _xlfn.IFS(
    OR(_xlpm.val="yes", _xlpm.val="paid"), "Paid",
    OR(_xlpm.val="no", _xlpm.val="unpaid"), "Unpaid",
    OR(_xlpm.val="partial", _xlpm.val="partial paid"), "Partial",
    _xlpm.val="", "",
    TRUE, 'Sales_RAW(BEFORE)'!AY351
  )
)</f>
        <v>Unpaid</v>
      </c>
      <c r="AB341" s="3" t="s">
        <v>5251</v>
      </c>
      <c r="AC341" s="3" t="str">
        <f>PROPER('Sales_RAW(BEFORE)'!AA351)</f>
        <v>Online</v>
      </c>
      <c r="AD341" s="3" t="str">
        <f>SUBSTITUTE(SUBSTITUTE(SUBSTITUTE(SUBSTITUTE('Sales_RAW(BEFORE)'!AB351,"st",""),"q",""),"Q",""),"uarter","")</f>
        <v>1</v>
      </c>
      <c r="AE341" s="3" t="str">
        <f>TEXT(IFERROR(DATEVALUE('Sales_RAW(BEFORE)'!AC351 &amp; " 1"), IFERROR(DATE(2025, 'Sales_RAW(BEFORE)'!AC351, 1), 'Sales_RAW(BEFORE)'!AC351)), "mmmm")</f>
        <v>February</v>
      </c>
      <c r="AF341" s="3">
        <f>_xlfn.LET(
  _xlpm.raw, TRIM(SUBSTITUTE('Sales_RAW(BEFORE)'!AD351, "'", "")),
  _xlpm.num, IFERROR(VALUE(_xlpm.raw), 0),
  IF(_xlpm.num &lt; 100, 2000 + _xlpm.num, _xlpm.num)
)</f>
        <v>2025</v>
      </c>
      <c r="AG341" s="3" t="str">
        <f>PROPER('Sales_RAW(BEFORE)'!AE351)</f>
        <v>Immediate</v>
      </c>
      <c r="AH341" s="3" cm="1">
        <f t="array" ref="AH341">_xlfn.LET(
  _xlpm.val, LOWER(TRIM('Sales_RAW(BEFORE)'!AF351)),
  _xlfn.IFS(
    OR(_xlpm.val="", _xlpm.val="null", _xlpm.val="N/A", _xlpm.val="-", _xlpm.val="#N/A"), 0,
    ISNUMBER('Sales_RAW(BEFORE)'!AF351), 'Sales_RAW(BEFORE)'!AF351,
    TRUE, IFERROR(_xlfn.NUMBERVALUE(_xlpm.val), 0)
  )
)</f>
        <v>71</v>
      </c>
      <c r="AI341" s="5">
        <f>IF(IFERROR(VALUE(SUBSTITUTE(SUBSTITUTE(TRIM('Sales_RAW(BEFORE)'!AG351), "%", ""), ",", ".")), 0) &gt; 1, IFERROR(VALUE(SUBSTITUTE(SUBSTITUTE(TRIM('Sales_RAW(BEFORE)'!AG351), "%", ""), ",", ".")), 0) / 100, IFERROR(VALUE(SUBSTITUTE(SUBSTITUTE(TRIM('Sales_RAW(BEFORE)'!AG351), "%", ""), ",", ".")), 0))</f>
        <v>0.08</v>
      </c>
      <c r="AJ341" s="6">
        <f t="shared" si="26"/>
        <v>2448.9922077922074</v>
      </c>
      <c r="AK341" s="6">
        <f t="shared" si="27"/>
        <v>33061.394805194803</v>
      </c>
      <c r="AL341" s="6">
        <f>IFERROR(VALUE(SUBSTITUTE(SUBSTITUTE(SUBSTITUTE('Sales_RAW(BEFORE)'!AJ351,"$",""),"USD",""),",",".")),0)</f>
        <v>10.88</v>
      </c>
      <c r="AM341" s="3" t="str">
        <f>SUBSTITUTE(SUBSTITUTE(PROPER('Sales_RAW(BEFORE)'!AK351), "Fed Ex", "FedEx"),"Fedex","FedEx")</f>
        <v>Ups</v>
      </c>
      <c r="AN341" s="3" t="s">
        <v>5253</v>
      </c>
      <c r="AO341" s="3" t="str">
        <f>SUBSTITUTE('Sales_RAW(BEFORE)'!AM351,"kg","")</f>
        <v xml:space="preserve">27.4 </v>
      </c>
      <c r="AP341" s="3" t="str">
        <f>_xlfn.LET(
  _xlpm.raw, UPPER(TRIM('Sales_RAW(BEFORE)'!AN351)),
  _xlpm.clean, RIGHT(_xlpm.raw, 1),
  IF(OR(_xlpm.raw="", _xlpm.raw="null"), "N/A", _xlpm.clean)
)</f>
        <v>A</v>
      </c>
      <c r="AQ341" s="3">
        <v>213</v>
      </c>
      <c r="AR341" s="3" cm="1">
        <f t="array" ref="AR341">_xlfn.LET(
  _xlpm.raw, LOWER(TRIM('Sales_RAW(BEFORE)'!AP351)),
  _xlfn.IFS(
    OR(_xlpm.raw="", _xlpm.raw="null"), "",
    _xlpm.raw="excellent", 5,
    _xlpm.raw="good", 4,
    _xlpm.raw="average", 3,
    _xlpm.raw="poor", 2,
    _xlpm.raw="terrible", 1,
    ISNUMBER(SEARCH("/", _xlpm.raw)), _xlfn.NUMBERVALUE(_xlfn.TEXTBEFORE(_xlpm.raw, "/")),
    TRUE, IFERROR(_xlfn.NUMBERVALUE(_xlpm.raw), "")
  )
)</f>
        <v>5</v>
      </c>
      <c r="AS341" s="3"/>
      <c r="AT341" s="3"/>
      <c r="AU341" s="3"/>
      <c r="AV341" s="8">
        <f>IF(IFERROR(VALUE(SUBSTITUTE(SUBSTITUTE(TRIM('Sales_RAW(BEFORE)'!AT351), "%", ""), ",", ".")), 0) &gt; 1, IFERROR(VALUE(SUBSTITUTE(SUBSTITUTE(TRIM('Sales_RAW(BEFORE)'!AT351), "%", ""), ",", ".")), 0) / 100, IFERROR(VALUE(SUBSTITUTE(SUBSTITUTE(TRIM('Sales_RAW(BEFORE)'!AT351), "%", ""), ",", ".")), 0))</f>
        <v>0.15</v>
      </c>
      <c r="AW341" s="6">
        <f>BA341*(_xlfn.XLOOKUP(N341,Employees!$A$2:$A$26,Employees!$E$2:$E$26,2))</f>
        <v>793.47347532467529</v>
      </c>
      <c r="AX341" s="3" t="str">
        <f>PROPER('Sales_RAW(BEFORE)'!AV351)</f>
        <v xml:space="preserve">Laura Johnson  </v>
      </c>
      <c r="AY341" s="3" t="str">
        <f t="shared" si="28"/>
        <v xml:space="preserve">Laura Johnson  </v>
      </c>
      <c r="AZ341" s="3"/>
      <c r="BA341" s="24">
        <f>AK341*(1-(_xlfn.XLOOKUP(G341, Exchange_Rates!$B$8:$F$8, Exchange_Rates!$B$9:$F$9, 0)+J341))</f>
        <v>26449.115844155844</v>
      </c>
      <c r="BB341" s="7" cm="1">
        <f t="array" ref="BB341">_xlfn.LET(
  _xlpm.raw_dt, SUBSTITUTE(TRIM(C341), ".", "/"),
  _xlpm.dt, IFERROR(DATEVALUE(_xlpm.raw_dt), C341),
  _xlpm.p_code, TRIM(E341),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46808</v>
      </c>
      <c r="BC341" s="25">
        <f t="shared" si="30"/>
        <v>3967.3673766233765</v>
      </c>
    </row>
    <row r="342" spans="1:55" ht="15.75" thickBot="1" x14ac:dyDescent="0.3">
      <c r="A342" s="3" t="s">
        <v>5257</v>
      </c>
      <c r="B342" s="10">
        <v>46079</v>
      </c>
      <c r="C342" s="4">
        <v>46090</v>
      </c>
      <c r="D342" s="3" t="str">
        <f>"P-" &amp; TEXT(VALUE(SUBSTITUTE(SUBSTITUTE(SUBSTITUTE(UPPER(TRIM('Sales_RAW(BEFORE)'!D352)), "P", ""), "-", ""), "_", "")),"000")</f>
        <v>P-019</v>
      </c>
      <c r="E342" s="3" t="str">
        <f>VLOOKUP(D342,Product_List!$A$2:$B$61,2,FALSE)</f>
        <v>Monitor Max 19</v>
      </c>
      <c r="F342" s="3" t="str">
        <f>_xlfn.XLOOKUP(E342,Product_List!$B$2:$B$61,Product_List!$E$2:$E$61,2)</f>
        <v>BestParts</v>
      </c>
      <c r="G342" s="3" t="str">
        <f>VLOOKUP(E342,Product_List!$B$2:$C$61,2,FALSE)</f>
        <v>Software</v>
      </c>
      <c r="H342" s="3" t="str">
        <f>SUBSTITUTE(SUBSTITUTE('Sales_RAW(BEFORE)'!G352,"kom",""),".","")</f>
        <v>11</v>
      </c>
      <c r="I342" s="6">
        <f>VLOOKUP(E342,Product_List!$B$2:$D$61,3,FALSE)</f>
        <v>251.62</v>
      </c>
      <c r="J342" s="5">
        <f>IF(IFERROR(VALUE(SUBSTITUTE(SUBSTITUTE(TRIM('Sales_RAW(BEFORE)'!I352), "%", ""), ",", ".")), 0) &gt; 1, IFERROR(VALUE(SUBSTITUTE(SUBSTITUTE(TRIM('Sales_RAW(BEFORE)'!I352), "%", ""), ",", ".")), 0) / 100, IFERROR(VALUE(SUBSTITUTE(SUBSTITUTE(TRIM('Sales_RAW(BEFORE)'!I352), "%", ""), ",", ".")), 0))</f>
        <v>0.1</v>
      </c>
      <c r="K342" s="6">
        <f t="shared" si="25"/>
        <v>2767.82</v>
      </c>
      <c r="L342" s="6" t="str" cm="1">
        <f t="array" ref="L342">_xlfn.LET(
  _xlpm.valuta, UPPER(TRIM('Sales_RAW(BEFORE)'!K352)),
  _xlfn.IFS(
    _xlpm.valuta = "", "",
    OR(_xlpm.valuta = "USD", _xlpm.valuta = "$"), "$",
    OR(_xlpm.valuta = "EUR", _xlpm.valuta = "€"), "€",
    TRUE, _xlpm.valuta
  )
)</f>
        <v>$</v>
      </c>
      <c r="M342" s="3" t="str">
        <f>"E" &amp; TEXT(VALUE(SUBSTITUTE(SUBSTITUTE(SUBSTITUTE(UPPER(TRIM('Sales_RAW(BEFORE)'!L352)), "EMP", ""), "E", ""), "-", "")),"000")</f>
        <v>E018</v>
      </c>
      <c r="N342" s="3" t="str">
        <f>_xlfn.XLOOKUP(M342,Employees!$D$2:$D$26,Employees!$A$2:$A$26)</f>
        <v>John Miller</v>
      </c>
      <c r="O342" s="3" t="str">
        <f>_xlfn.XLOOKUP(N342,Employees!$A$2:$A$26,Employees!$C$2:$C$26,2)</f>
        <v>Retail</v>
      </c>
      <c r="P342" s="3" t="str">
        <f>PROPER('Sales_RAW(BEFORE)'!N352)</f>
        <v>South</v>
      </c>
      <c r="Q342" s="3" t="str">
        <f>VLOOKUP(N342,Employees!$A$2:$B$26,2,FALSE)</f>
        <v>Houston</v>
      </c>
      <c r="R342" s="3" t="str">
        <f>PROPER('Sales_RAW(BEFORE)'!P352)</f>
        <v xml:space="preserve">  Vortex Inc  </v>
      </c>
      <c r="S342" s="3" t="str">
        <f>SUBSTITUTE(SUBSTITUTE('Sales_RAW(BEFORE)'!Q352,"EIN",""),":","")</f>
        <v>699116111</v>
      </c>
      <c r="T342" s="3" t="s">
        <v>1846</v>
      </c>
      <c r="U342" s="3" t="s">
        <v>5264</v>
      </c>
      <c r="V342" s="3" t="s">
        <v>5265</v>
      </c>
      <c r="W342" s="3" t="s">
        <v>163</v>
      </c>
      <c r="X342" s="3" t="s">
        <v>173</v>
      </c>
      <c r="Y342" s="3" t="str">
        <f>PROPER('Sales_RAW(BEFORE)'!W352)</f>
        <v>Credit Card</v>
      </c>
      <c r="Z342" s="3" t="str">
        <f>PROPER('Sales_RAW(BEFORE)'!X352)</f>
        <v>Processing</v>
      </c>
      <c r="AA342" s="3" t="str" cm="1">
        <f t="array" ref="AA342">_xlfn.LET(
  _xlpm.val, TRIM(LOWER('Sales_RAW(BEFORE)'!Y352)),
  _xlfn.IFS(
    OR(_xlpm.val="yes", _xlpm.val="paid"), "Paid",
    OR(_xlpm.val="no", _xlpm.val="unpaid"), "Unpaid",
    OR(_xlpm.val="partial", _xlpm.val="partial paid"), "Partial",
    _xlpm.val="", "",
    TRUE, 'Sales_RAW(BEFORE)'!AY352
  )
)</f>
        <v>Partial</v>
      </c>
      <c r="AB342" s="3" t="s">
        <v>5266</v>
      </c>
      <c r="AC342" s="3" t="str">
        <f>PROPER('Sales_RAW(BEFORE)'!AA352)</f>
        <v>Online</v>
      </c>
      <c r="AD342" s="3" t="str">
        <f>SUBSTITUTE(SUBSTITUTE(SUBSTITUTE(SUBSTITUTE('Sales_RAW(BEFORE)'!AB352,"st",""),"q",""),"Q",""),"uarter","")</f>
        <v>1</v>
      </c>
      <c r="AE342" s="3" t="str">
        <f>TEXT(IFERROR(DATEVALUE('Sales_RAW(BEFORE)'!AC352 &amp; " 1"), IFERROR(DATE(2025, 'Sales_RAW(BEFORE)'!AC352, 1), 'Sales_RAW(BEFORE)'!AC352)), "mmmm")</f>
        <v>February</v>
      </c>
      <c r="AF342" s="3">
        <f>_xlfn.LET(
  _xlpm.raw, TRIM(SUBSTITUTE('Sales_RAW(BEFORE)'!AD352, "'", "")),
  _xlpm.num, IFERROR(VALUE(_xlpm.raw), 0),
  IF(_xlpm.num &lt; 100, 2000 + _xlpm.num, _xlpm.num)
)</f>
        <v>2026</v>
      </c>
      <c r="AG342" s="3" t="str">
        <f>PROPER('Sales_RAW(BEFORE)'!AE352)</f>
        <v>Immediate</v>
      </c>
      <c r="AH342" s="3" cm="1">
        <f t="array" ref="AH342">_xlfn.LET(
  _xlpm.val, LOWER(TRIM('Sales_RAW(BEFORE)'!AF352)),
  _xlfn.IFS(
    OR(_xlpm.val="", _xlpm.val="null", _xlpm.val="N/A", _xlpm.val="-", _xlpm.val="#N/A"), 0,
    ISNUMBER('Sales_RAW(BEFORE)'!AF352), 'Sales_RAW(BEFORE)'!AF352,
    TRUE, IFERROR(_xlfn.NUMBERVALUE(_xlpm.val), 0)
  )
)</f>
        <v>43</v>
      </c>
      <c r="AI342" s="5">
        <f>IF(IFERROR(VALUE(SUBSTITUTE(SUBSTITUTE(TRIM('Sales_RAW(BEFORE)'!AG352), "%", ""), ",", ".")), 0) &gt; 1, IFERROR(VALUE(SUBSTITUTE(SUBSTITUTE(TRIM('Sales_RAW(BEFORE)'!AG352), "%", ""), ",", ".")), 0) / 100, IFERROR(VALUE(SUBSTITUTE(SUBSTITUTE(TRIM('Sales_RAW(BEFORE)'!AG352), "%", ""), ",", ".")), 0))</f>
        <v>0.08</v>
      </c>
      <c r="AJ342" s="6">
        <f t="shared" si="26"/>
        <v>221.42560000000003</v>
      </c>
      <c r="AK342" s="6">
        <f t="shared" si="27"/>
        <v>2989.2456000000002</v>
      </c>
      <c r="AL342" s="6">
        <f>IFERROR(VALUE(SUBSTITUTE(SUBSTITUTE(SUBSTITUTE('Sales_RAW(BEFORE)'!AJ352,"$",""),"USD",""),",",".")),0)</f>
        <v>40.36</v>
      </c>
      <c r="AM342" s="3" t="str">
        <f>SUBSTITUTE(SUBSTITUTE(PROPER('Sales_RAW(BEFORE)'!AK352), "Fed Ex", "FedEx"),"Fedex","FedEx")</f>
        <v>Usps</v>
      </c>
      <c r="AN342" s="3" t="s">
        <v>5268</v>
      </c>
      <c r="AO342" s="3" t="str">
        <f>SUBSTITUTE('Sales_RAW(BEFORE)'!AM352,"kg","")</f>
        <v>16.66</v>
      </c>
      <c r="AP342" s="3" t="str">
        <f>_xlfn.LET(
  _xlpm.raw, UPPER(TRIM('Sales_RAW(BEFORE)'!AN352)),
  _xlpm.clean, RIGHT(_xlpm.raw, 1),
  IF(OR(_xlpm.raw="", _xlpm.raw="null"), "N/A", _xlpm.clean)
)</f>
        <v>A</v>
      </c>
      <c r="AQ342" s="3">
        <v>74</v>
      </c>
      <c r="AR342" s="3"/>
      <c r="AS342" s="3"/>
      <c r="AT342" s="3"/>
      <c r="AU342" s="3"/>
      <c r="AV342" s="8">
        <f>IF(IFERROR(VALUE(SUBSTITUTE(SUBSTITUTE(TRIM('Sales_RAW(BEFORE)'!AT352), "%", ""), ",", ".")), 0) &gt; 1, IFERROR(VALUE(SUBSTITUTE(SUBSTITUTE(TRIM('Sales_RAW(BEFORE)'!AT352), "%", ""), ",", ".")), 0) / 100, IFERROR(VALUE(SUBSTITUTE(SUBSTITUTE(TRIM('Sales_RAW(BEFORE)'!AT352), "%", ""), ",", ".")), 0))</f>
        <v>0</v>
      </c>
      <c r="AW342" s="6">
        <f>BA342*(_xlfn.XLOOKUP(N342,Employees!$A$2:$A$26,Employees!$E$2:$E$26,2))</f>
        <v>44.838684000000001</v>
      </c>
      <c r="AX342" s="3" t="str">
        <f>PROPER('Sales_RAW(BEFORE)'!AV352)</f>
        <v>Ryan Williams</v>
      </c>
      <c r="AY342" s="3" t="str">
        <f t="shared" si="28"/>
        <v>Ryan Williams</v>
      </c>
      <c r="AZ342" s="3"/>
      <c r="BA342" s="24">
        <f>AK342*(1-(_xlfn.XLOOKUP(G342, Exchange_Rates!$B$8:$F$8, Exchange_Rates!$B$9:$F$9, 0)+J342))</f>
        <v>2241.9342000000001</v>
      </c>
      <c r="BB342" s="7" cm="1">
        <f t="array" ref="BB342">_xlfn.LET(
  _xlpm.raw_dt, SUBSTITUTE(TRIM(C342), ".", "/"),
  _xlpm.dt, IFERROR(DATEVALUE(_xlpm.raw_dt), C342),
  _xlpm.p_code, TRIM(E342),
  _xlpm.w_text, LOWER(_xlfn.XLOOKUP(_xlpm.p_code, Product_List!$B$2:$B$61, Product_List!$F$2:$F$61, "24")),
  _xlpm.m_count, _xlfn.IFS(
    ISNUMBER(SEARCH("36", _xlpm.w_text)), 36,
    ISNUMBER(SEARCH("3 yr", _xlpm.w_text)), 36,
    ISNUMBER(SEARCH("12", _xlpm.w_text)), 12,
    ISNUMBER(SEARCH("1 yr", _xlpm.w_text)), 12,
    TRUE, 24
  ),
  IFERROR(EDATE(_xlpm.dt, _xlpm.m_count), "Empty")
)</f>
        <v>46821</v>
      </c>
      <c r="BC342" s="25">
        <f t="shared" si="30"/>
        <v>0</v>
      </c>
    </row>
  </sheetData>
  <conditionalFormatting sqref="C5:C342">
    <cfRule type="cellIs" dxfId="26" priority="29" operator="equal">
      <formula>"null"</formula>
    </cfRule>
  </conditionalFormatting>
  <conditionalFormatting sqref="K5:K342">
    <cfRule type="cellIs" dxfId="25" priority="2" operator="equal">
      <formula>"€"</formula>
    </cfRule>
  </conditionalFormatting>
  <conditionalFormatting sqref="L5:L342">
    <cfRule type="cellIs" dxfId="24" priority="1" operator="equal">
      <formula>"€"</formula>
    </cfRule>
  </conditionalFormatting>
  <conditionalFormatting sqref="Z5:Z342">
    <cfRule type="cellIs" dxfId="23" priority="21" operator="equal">
      <formula>"Processing"</formula>
    </cfRule>
    <cfRule type="cellIs" dxfId="22" priority="22" operator="equal">
      <formula>"Pending"</formula>
    </cfRule>
    <cfRule type="cellIs" dxfId="21" priority="23" operator="equal">
      <formula>"Cancelled"</formula>
    </cfRule>
    <cfRule type="cellIs" dxfId="20" priority="24" operator="equal">
      <formula>"Delivered"</formula>
    </cfRule>
  </conditionalFormatting>
  <conditionalFormatting sqref="AA5:AA342">
    <cfRule type="cellIs" dxfId="19" priority="17" operator="equal">
      <formula>"Partial"</formula>
    </cfRule>
    <cfRule type="cellIs" dxfId="18" priority="18" operator="equal">
      <formula>"Unpaid"</formula>
    </cfRule>
    <cfRule type="cellIs" dxfId="17" priority="19" operator="equal">
      <formula>"Paid"</formula>
    </cfRule>
  </conditionalFormatting>
  <conditionalFormatting sqref="AS5:AS342">
    <cfRule type="cellIs" dxfId="16" priority="8" operator="equal">
      <formula>"complaint"</formula>
    </cfRule>
    <cfRule type="cellIs" dxfId="15" priority="9" operator="equal">
      <formula>"late delivery!!"</formula>
    </cfRule>
    <cfRule type="cellIs" dxfId="14" priority="10" operator="equal">
      <formula>"satisfied"</formula>
    </cfRule>
    <cfRule type="cellIs" dxfId="13" priority="11" operator="equal">
      <formula>"all good"</formula>
    </cfRule>
    <cfRule type="cellIs" dxfId="12" priority="12" operator="equal">
      <formula>"OK"</formula>
    </cfRule>
  </conditionalFormatting>
  <conditionalFormatting sqref="AT5:AT342">
    <cfRule type="cellIs" dxfId="11" priority="6" operator="equal">
      <formula>"no"</formula>
    </cfRule>
    <cfRule type="cellIs" dxfId="10" priority="7" operator="equal">
      <formula>"yes"</formula>
    </cfRule>
  </conditionalFormatting>
  <conditionalFormatting sqref="AU5:AU342">
    <cfRule type="cellIs" dxfId="9" priority="3" operator="equal">
      <formula>"doesn't fit"</formula>
    </cfRule>
    <cfRule type="cellIs" dxfId="8" priority="4" operator="equal">
      <formula>"damaged"</formula>
    </cfRule>
    <cfRule type="cellIs" dxfId="7" priority="5" operator="equal">
      <formula>"Wrong item"</formula>
    </cfRule>
  </conditionalFormatting>
  <conditionalFormatting sqref="AZ5:AZ342">
    <cfRule type="cellIs" dxfId="6" priority="13" operator="equal">
      <formula>"Check price"</formula>
    </cfRule>
    <cfRule type="cellIs" dxfId="5" priority="14" operator="equal">
      <formula>"Vip customer"</formula>
    </cfRule>
    <cfRule type="cellIs" dxfId="4" priority="15" operator="equal">
      <formula>"Urgent"</formula>
    </cfRule>
    <cfRule type="cellIs" dxfId="3" priority="16" operator="equal">
      <formula>"Duplicate"</formula>
    </cfRule>
  </conditionalFormatting>
  <conditionalFormatting sqref="C4:C342">
    <cfRule type="cellIs" dxfId="2" priority="1300" operator="equal">
      <formula>$C$166</formula>
    </cfRule>
    <cfRule type="cellIs" dxfId="1" priority="1301" operator="equal">
      <formula>"N/A"</formula>
    </cfRule>
    <cfRule type="cellIs" dxfId="0" priority="1302" operator="equal">
      <formula>"-"</formula>
    </cfRule>
  </conditionalFormatting>
  <conditionalFormatting sqref="AR5:AR341">
    <cfRule type="dataBar" priority="1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{1BD03E0C-B7BE-49D8-81E7-996CEB5E5EA9}</x14:id>
        </ext>
      </extLst>
    </cfRule>
  </conditionalFormatting>
  <dataValidations xWindow="1786" yWindow="530" count="7">
    <dataValidation allowBlank="1" showInputMessage="1" showErrorMessage="1" promptTitle="Meaning" prompt="If &quot;Empty&quot; is shown, it means that the delivery date has not been selected yet" sqref="BB15" xr:uid="{6BD0F32A-760D-4122-9769-427539AD7EB7}"/>
    <dataValidation allowBlank="1" showInputMessage="1" showErrorMessage="1" promptTitle="Meaning" prompt="If &quot;empty&quot; is shown, it means that the delivery date has not been selected yet" sqref="BB32 BB60 BB85 BB88 BB97 BB116 BB123 BB148 BB150 BB157 BB166 BB174 BB177 BB221 BB253 BB273 BB284" xr:uid="{E5FAB593-A6D2-4A21-9B67-C67794986AA1}"/>
    <dataValidation type="list" allowBlank="1" showInputMessage="1" showErrorMessage="1" sqref="AR7 AR20 AR67 AR95:AR96 AR99 AR101 AR106 AR114 AR118 AR123:AR124 AR128 AR133 AR136 AR143 AR156 AR180 AR183 AR188 AR196 AR203 AR209 AR212 AR221 AR231:AR232 AR243 AR248 AR251 AR253 AR255 AR258 AR260 AR263 AR301 AR314 AR342" xr:uid="{9C5CB0BD-6A04-453C-8BA6-57963FDE96BF}">
      <formula1>"1,1.5,2,2.5,3,3.5,4,4.5,5"</formula1>
    </dataValidation>
    <dataValidation type="list" allowBlank="1" showInputMessage="1" showErrorMessage="1" sqref="AS5:AS342" xr:uid="{0EA6317B-8432-41C2-A9FD-4F4E0530ED67}">
      <formula1>"OK, all good, late delivery!!, complaint, satisfied"</formula1>
    </dataValidation>
    <dataValidation type="list" allowBlank="1" showInputMessage="1" showErrorMessage="1" sqref="AT5:AT342" xr:uid="{4F8FF94D-3F96-4975-8B92-263C6C2AA127}">
      <formula1>"Yes,No"</formula1>
    </dataValidation>
    <dataValidation type="list" allowBlank="1" showInputMessage="1" showErrorMessage="1" sqref="AZ5:AZ342" xr:uid="{35B54638-D720-448B-9044-13939C093276}">
      <formula1>"Duplicate,Urgent,VIP customer,Check price"</formula1>
    </dataValidation>
    <dataValidation type="list" allowBlank="1" showInputMessage="1" showErrorMessage="1" sqref="AU5:AU342" xr:uid="{549A873E-E98C-44BE-8C75-3F0BFB19CFD6}">
      <formula1>"Wrong item,Damaged,Doesn't fit"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D03E0C-B7BE-49D8-81E7-996CEB5E5E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AR5:AR341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1199D-5D81-4EEB-8DE9-6CFC704B4E46}">
  <dimension ref="A1:Y6"/>
  <sheetViews>
    <sheetView zoomScale="85" zoomScaleNormal="85" workbookViewId="0">
      <selection activeCell="D17" sqref="D17"/>
    </sheetView>
  </sheetViews>
  <sheetFormatPr defaultRowHeight="15" x14ac:dyDescent="0.25"/>
  <cols>
    <col min="2" max="2" width="15.140625" bestFit="1" customWidth="1"/>
    <col min="3" max="3" width="13.85546875" bestFit="1" customWidth="1"/>
    <col min="4" max="4" width="14.7109375" bestFit="1" customWidth="1"/>
    <col min="5" max="5" width="11.5703125" bestFit="1" customWidth="1"/>
    <col min="6" max="6" width="15" bestFit="1" customWidth="1"/>
    <col min="7" max="7" width="11.42578125" bestFit="1" customWidth="1"/>
    <col min="8" max="8" width="11" bestFit="1" customWidth="1"/>
    <col min="9" max="9" width="15.5703125" bestFit="1" customWidth="1"/>
    <col min="10" max="10" width="12.28515625" bestFit="1" customWidth="1"/>
    <col min="11" max="11" width="15.28515625" bestFit="1" customWidth="1"/>
    <col min="12" max="12" width="14.7109375" bestFit="1" customWidth="1"/>
    <col min="13" max="13" width="17.85546875" bestFit="1" customWidth="1"/>
    <col min="14" max="14" width="16" bestFit="1" customWidth="1"/>
    <col min="15" max="15" width="13.7109375" bestFit="1" customWidth="1"/>
    <col min="16" max="16" width="12.7109375" bestFit="1" customWidth="1"/>
    <col min="17" max="17" width="12.85546875" bestFit="1" customWidth="1"/>
    <col min="18" max="18" width="13.42578125" bestFit="1" customWidth="1"/>
    <col min="19" max="19" width="16.28515625" bestFit="1" customWidth="1"/>
    <col min="20" max="20" width="12.140625" bestFit="1" customWidth="1"/>
    <col min="21" max="21" width="13.5703125" bestFit="1" customWidth="1"/>
    <col min="22" max="22" width="13.85546875" bestFit="1" customWidth="1"/>
    <col min="23" max="23" width="15.7109375" bestFit="1" customWidth="1"/>
    <col min="24" max="24" width="13.7109375" bestFit="1" customWidth="1"/>
    <col min="25" max="25" width="11.28515625" bestFit="1" customWidth="1"/>
    <col min="26" max="26" width="13.28515625" bestFit="1" customWidth="1"/>
    <col min="27" max="27" width="14.85546875" bestFit="1" customWidth="1"/>
    <col min="28" max="28" width="12.85546875" bestFit="1" customWidth="1"/>
    <col min="29" max="29" width="12" bestFit="1" customWidth="1"/>
  </cols>
  <sheetData>
    <row r="1" spans="1:25" x14ac:dyDescent="0.25">
      <c r="A1" s="16" t="str" cm="1">
        <f t="array" ref="A1:Y6">_xlfn.PIVOTBY('Sales_RAW(AFTER)'!O5:O342,'Sales_RAW(AFTER)'!N5:N342,'Sales_RAW(AFTER)'!AW5:AW342,_xleta.SUM,0,1,,1)</f>
        <v/>
      </c>
      <c r="B1" s="19" t="str">
        <v>Chris Anderson</v>
      </c>
      <c r="C1" s="19" t="str">
        <v>Chris Johnson</v>
      </c>
      <c r="D1" s="19" t="str">
        <v>Chris Williams</v>
      </c>
      <c r="E1" s="19" t="str">
        <v>Emily Davis</v>
      </c>
      <c r="F1" s="19" t="str">
        <v>Emma Johnson</v>
      </c>
      <c r="G1" s="19" t="str">
        <v>John Miller</v>
      </c>
      <c r="H1" s="19" t="str">
        <v>John Smith</v>
      </c>
      <c r="I1" s="16" t="str">
        <v>Laura Anderson</v>
      </c>
      <c r="J1" s="16" t="str">
        <v>Laura Miller</v>
      </c>
      <c r="K1" s="16" t="str">
        <v>Laura Williams</v>
      </c>
      <c r="L1" s="16" t="str">
        <v>Michael Taylor</v>
      </c>
      <c r="M1" s="16" t="str">
        <v>Michael Williams</v>
      </c>
      <c r="N1" s="16" t="str">
        <v>Olivia Anderson</v>
      </c>
      <c r="O1" s="16" t="str">
        <v>Olivia Wilson</v>
      </c>
      <c r="P1" s="16" t="str">
        <v>Robert Davis</v>
      </c>
      <c r="Q1" s="16" t="str">
        <v>Robert Smith</v>
      </c>
      <c r="R1" s="16" t="str">
        <v>Robert Taylor</v>
      </c>
      <c r="S1" s="16" t="str">
        <v>Robert Williams</v>
      </c>
      <c r="T1" s="16" t="str">
        <v>Sarah Jones</v>
      </c>
      <c r="U1" s="16" t="str">
        <v>Sarah Wilson</v>
      </c>
      <c r="V1" s="16" t="str">
        <v>Sophia Brown</v>
      </c>
      <c r="W1" s="16" t="str">
        <v>Sophia Johnson</v>
      </c>
      <c r="X1" s="16" t="str">
        <v>Sophia Taylor</v>
      </c>
      <c r="Y1" s="26" t="str">
        <v>Total</v>
      </c>
    </row>
    <row r="2" spans="1:25" x14ac:dyDescent="0.25">
      <c r="A2" s="20" t="str">
        <v>Online</v>
      </c>
      <c r="B2" s="23">
        <v>4346.7073279246761</v>
      </c>
      <c r="C2" s="23" t="str">
        <v/>
      </c>
      <c r="D2" s="23" t="str">
        <v/>
      </c>
      <c r="E2" s="23" t="str">
        <v/>
      </c>
      <c r="F2" s="23" t="str">
        <v/>
      </c>
      <c r="G2" s="23" t="str">
        <v/>
      </c>
      <c r="H2" s="23" t="str">
        <v/>
      </c>
      <c r="I2" s="23" t="str">
        <v/>
      </c>
      <c r="J2" s="23" t="str">
        <v/>
      </c>
      <c r="K2" s="23">
        <v>6276.0838777996332</v>
      </c>
      <c r="L2" s="23" t="str">
        <v/>
      </c>
      <c r="M2" s="23" t="str">
        <v/>
      </c>
      <c r="N2" s="23">
        <v>4987.8694658342565</v>
      </c>
      <c r="O2" s="23" t="str">
        <v/>
      </c>
      <c r="P2" s="23" t="str">
        <v/>
      </c>
      <c r="Q2" s="23" t="str">
        <v/>
      </c>
      <c r="R2" s="23" t="str">
        <v/>
      </c>
      <c r="S2" s="23" t="str">
        <v/>
      </c>
      <c r="T2" s="23" t="str">
        <v/>
      </c>
      <c r="U2" s="23">
        <v>12652.157684621745</v>
      </c>
      <c r="V2" s="23">
        <v>3129.0601590957276</v>
      </c>
      <c r="W2" s="23" t="str">
        <v/>
      </c>
      <c r="X2" s="23" t="str">
        <v/>
      </c>
      <c r="Y2" s="23">
        <v>31391.878515276036</v>
      </c>
    </row>
    <row r="3" spans="1:25" x14ac:dyDescent="0.25">
      <c r="A3" s="21" t="str">
        <v>Retail</v>
      </c>
      <c r="B3" s="23" t="str">
        <v/>
      </c>
      <c r="C3" s="23" t="str">
        <v/>
      </c>
      <c r="D3" s="23" t="str">
        <v/>
      </c>
      <c r="E3" s="23">
        <v>8969.9147064812041</v>
      </c>
      <c r="F3" s="23" t="str">
        <v/>
      </c>
      <c r="G3" s="23">
        <v>4458.8872568049264</v>
      </c>
      <c r="H3" s="23" t="str">
        <v/>
      </c>
      <c r="I3" s="23" t="str">
        <v/>
      </c>
      <c r="J3" s="23" t="str">
        <v/>
      </c>
      <c r="K3" s="23" t="str">
        <v/>
      </c>
      <c r="L3" s="23" t="str">
        <v/>
      </c>
      <c r="M3" s="23" t="str">
        <v/>
      </c>
      <c r="N3" s="23" t="str">
        <v/>
      </c>
      <c r="O3" s="23" t="str">
        <v/>
      </c>
      <c r="P3" s="23" t="str">
        <v/>
      </c>
      <c r="Q3" s="23">
        <v>1114.9731066862871</v>
      </c>
      <c r="R3" s="23">
        <v>6837.405352798889</v>
      </c>
      <c r="S3" s="23" t="str">
        <v/>
      </c>
      <c r="T3" s="23" t="str">
        <v/>
      </c>
      <c r="U3" s="23" t="str">
        <v/>
      </c>
      <c r="V3" s="23" t="str">
        <v/>
      </c>
      <c r="W3" s="23" t="str">
        <v/>
      </c>
      <c r="X3" s="23" t="str">
        <v/>
      </c>
      <c r="Y3" s="23">
        <v>21381.180422771307</v>
      </c>
    </row>
    <row r="4" spans="1:25" x14ac:dyDescent="0.25">
      <c r="A4" s="17" t="str">
        <v>Sales</v>
      </c>
      <c r="B4" s="23" t="str">
        <v/>
      </c>
      <c r="C4" s="23">
        <v>9844.5718174047106</v>
      </c>
      <c r="D4" s="23">
        <v>13515.094888562862</v>
      </c>
      <c r="E4" s="23" t="str">
        <v/>
      </c>
      <c r="F4" s="23" t="str">
        <v/>
      </c>
      <c r="G4" s="23" t="str">
        <v/>
      </c>
      <c r="H4" s="23">
        <v>4796.6891405287261</v>
      </c>
      <c r="I4" s="23">
        <v>3513.8716043376094</v>
      </c>
      <c r="J4" s="23">
        <v>6186.3911949900885</v>
      </c>
      <c r="K4" s="23" t="str">
        <v/>
      </c>
      <c r="L4" s="23" t="str">
        <v/>
      </c>
      <c r="M4" s="23" t="str">
        <v/>
      </c>
      <c r="N4" s="23" t="str">
        <v/>
      </c>
      <c r="O4" s="23" t="str">
        <v/>
      </c>
      <c r="P4" s="23" t="str">
        <v/>
      </c>
      <c r="Q4" s="23" t="str">
        <v/>
      </c>
      <c r="R4" s="23" t="str">
        <v/>
      </c>
      <c r="S4" s="23" t="str">
        <v/>
      </c>
      <c r="T4" s="23" t="str">
        <v/>
      </c>
      <c r="U4" s="23" t="str">
        <v/>
      </c>
      <c r="V4" s="23" t="str">
        <v/>
      </c>
      <c r="W4" s="23" t="str">
        <v/>
      </c>
      <c r="X4" s="23" t="str">
        <v/>
      </c>
      <c r="Y4" s="23">
        <v>37856.618645824012</v>
      </c>
    </row>
    <row r="5" spans="1:25" x14ac:dyDescent="0.25">
      <c r="A5" s="18" t="str">
        <v>Wholesale</v>
      </c>
      <c r="B5" s="23" t="str">
        <v/>
      </c>
      <c r="C5" s="23" t="str">
        <v/>
      </c>
      <c r="D5" s="23" t="str">
        <v/>
      </c>
      <c r="E5" s="23" t="str">
        <v/>
      </c>
      <c r="F5" s="23">
        <v>3689.3220174000003</v>
      </c>
      <c r="G5" s="23" t="str">
        <v/>
      </c>
      <c r="H5" s="23" t="str">
        <v/>
      </c>
      <c r="I5" s="23" t="str">
        <v/>
      </c>
      <c r="J5" s="23" t="str">
        <v/>
      </c>
      <c r="K5" s="23" t="str">
        <v/>
      </c>
      <c r="L5" s="23">
        <v>1180.6019352000001</v>
      </c>
      <c r="M5" s="23">
        <v>7027.1083169999993</v>
      </c>
      <c r="N5" s="23" t="str">
        <v/>
      </c>
      <c r="O5" s="23">
        <v>8450.5719567405395</v>
      </c>
      <c r="P5" s="23">
        <v>4990.6776221092287</v>
      </c>
      <c r="Q5" s="23" t="str">
        <v/>
      </c>
      <c r="R5" s="23" t="str">
        <v/>
      </c>
      <c r="S5" s="23">
        <v>2433.4644240000002</v>
      </c>
      <c r="T5" s="23">
        <v>4458.3634116000003</v>
      </c>
      <c r="U5" s="23" t="str">
        <v/>
      </c>
      <c r="V5" s="23" t="str">
        <v/>
      </c>
      <c r="W5" s="23">
        <v>8268.3620153387255</v>
      </c>
      <c r="X5" s="23">
        <v>5550.5032782411081</v>
      </c>
      <c r="Y5" s="23">
        <v>46048.974977629601</v>
      </c>
    </row>
    <row r="6" spans="1:25" x14ac:dyDescent="0.25">
      <c r="A6" s="22" t="str">
        <v>Total</v>
      </c>
      <c r="B6" s="23">
        <v>4346.7073279246761</v>
      </c>
      <c r="C6" s="23">
        <v>9844.5718174047106</v>
      </c>
      <c r="D6" s="23">
        <v>13515.094888562862</v>
      </c>
      <c r="E6" s="23">
        <v>8969.9147064812041</v>
      </c>
      <c r="F6" s="23">
        <v>3689.3220174000003</v>
      </c>
      <c r="G6" s="23">
        <v>4458.8872568049264</v>
      </c>
      <c r="H6" s="23">
        <v>4796.6891405287261</v>
      </c>
      <c r="I6" s="23">
        <v>3513.8716043376094</v>
      </c>
      <c r="J6" s="23">
        <v>6186.3911949900885</v>
      </c>
      <c r="K6" s="23">
        <v>6276.0838777996332</v>
      </c>
      <c r="L6" s="23">
        <v>1180.6019352000001</v>
      </c>
      <c r="M6" s="23">
        <v>7027.1083169999993</v>
      </c>
      <c r="N6" s="23">
        <v>4987.8694658342565</v>
      </c>
      <c r="O6" s="23">
        <v>8450.5719567405395</v>
      </c>
      <c r="P6" s="23">
        <v>4990.6776221092287</v>
      </c>
      <c r="Q6" s="23">
        <v>1114.9731066862871</v>
      </c>
      <c r="R6" s="23">
        <v>6837.405352798889</v>
      </c>
      <c r="S6" s="23">
        <v>2433.4644240000002</v>
      </c>
      <c r="T6" s="23">
        <v>4458.3634116000003</v>
      </c>
      <c r="U6" s="23">
        <v>12652.157684621745</v>
      </c>
      <c r="V6" s="23">
        <v>3129.0601590957276</v>
      </c>
      <c r="W6" s="23">
        <v>8268.3620153387255</v>
      </c>
      <c r="X6" s="23">
        <v>5550.5032782411081</v>
      </c>
      <c r="Y6" s="23">
        <v>136678.65256150102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workbookViewId="0">
      <selection activeCell="K21" sqref="K21"/>
    </sheetView>
  </sheetViews>
  <sheetFormatPr defaultRowHeight="15" x14ac:dyDescent="0.25"/>
  <cols>
    <col min="1" max="1" width="5.85546875" bestFit="1" customWidth="1"/>
    <col min="2" max="2" width="19.7109375" bestFit="1" customWidth="1"/>
    <col min="3" max="3" width="10.7109375" bestFit="1" customWidth="1"/>
    <col min="4" max="4" width="10.85546875" bestFit="1" customWidth="1"/>
    <col min="5" max="5" width="14" bestFit="1" customWidth="1"/>
    <col min="6" max="6" width="10.140625" bestFit="1" customWidth="1"/>
  </cols>
  <sheetData>
    <row r="1" spans="1:6" x14ac:dyDescent="0.25">
      <c r="A1" t="s">
        <v>5273</v>
      </c>
      <c r="B1" t="s">
        <v>5274</v>
      </c>
      <c r="C1" t="s">
        <v>5275</v>
      </c>
      <c r="D1" t="s">
        <v>5276</v>
      </c>
      <c r="E1" t="s">
        <v>5277</v>
      </c>
      <c r="F1" t="s">
        <v>5278</v>
      </c>
    </row>
    <row r="2" spans="1:6" x14ac:dyDescent="0.25">
      <c r="A2" t="s">
        <v>1996</v>
      </c>
      <c r="B2" t="s">
        <v>2562</v>
      </c>
      <c r="C2" t="s">
        <v>299</v>
      </c>
      <c r="D2">
        <v>978.15</v>
      </c>
      <c r="E2" t="s">
        <v>5288</v>
      </c>
      <c r="F2" t="s">
        <v>5283</v>
      </c>
    </row>
    <row r="3" spans="1:6" x14ac:dyDescent="0.25">
      <c r="A3" t="s">
        <v>3104</v>
      </c>
      <c r="B3" t="s">
        <v>5279</v>
      </c>
      <c r="C3" t="s">
        <v>327</v>
      </c>
      <c r="D3">
        <v>551.70000000000005</v>
      </c>
      <c r="E3" t="s">
        <v>5280</v>
      </c>
      <c r="F3" t="s">
        <v>5281</v>
      </c>
    </row>
    <row r="4" spans="1:6" x14ac:dyDescent="0.25">
      <c r="A4" t="s">
        <v>4782</v>
      </c>
      <c r="B4" t="s">
        <v>3845</v>
      </c>
      <c r="C4" t="s">
        <v>56</v>
      </c>
      <c r="D4">
        <v>61.06</v>
      </c>
      <c r="E4" t="s">
        <v>5284</v>
      </c>
      <c r="F4" t="s">
        <v>5281</v>
      </c>
    </row>
    <row r="5" spans="1:6" x14ac:dyDescent="0.25">
      <c r="A5" t="s">
        <v>1190</v>
      </c>
      <c r="B5" t="s">
        <v>2265</v>
      </c>
      <c r="C5" t="s">
        <v>327</v>
      </c>
      <c r="D5">
        <v>364.79</v>
      </c>
      <c r="E5" t="s">
        <v>5282</v>
      </c>
      <c r="F5" t="s">
        <v>5289</v>
      </c>
    </row>
    <row r="6" spans="1:6" x14ac:dyDescent="0.25">
      <c r="A6" t="s">
        <v>5290</v>
      </c>
      <c r="B6" t="s">
        <v>5291</v>
      </c>
      <c r="C6" t="s">
        <v>327</v>
      </c>
      <c r="D6">
        <v>1241.1400000000001</v>
      </c>
      <c r="E6" t="s">
        <v>5280</v>
      </c>
      <c r="F6" t="s">
        <v>5281</v>
      </c>
    </row>
    <row r="7" spans="1:6" x14ac:dyDescent="0.25">
      <c r="A7" t="s">
        <v>1244</v>
      </c>
      <c r="B7" t="s">
        <v>1545</v>
      </c>
      <c r="C7" t="s">
        <v>222</v>
      </c>
      <c r="D7">
        <v>1421.82</v>
      </c>
      <c r="E7" t="s">
        <v>5284</v>
      </c>
      <c r="F7" t="s">
        <v>5281</v>
      </c>
    </row>
    <row r="8" spans="1:6" x14ac:dyDescent="0.25">
      <c r="A8" t="s">
        <v>1825</v>
      </c>
      <c r="B8" t="s">
        <v>1826</v>
      </c>
      <c r="C8" t="s">
        <v>299</v>
      </c>
      <c r="D8">
        <v>79.14</v>
      </c>
      <c r="E8" t="s">
        <v>5282</v>
      </c>
      <c r="F8" t="s">
        <v>5283</v>
      </c>
    </row>
    <row r="9" spans="1:6" x14ac:dyDescent="0.25">
      <c r="A9" t="s">
        <v>3451</v>
      </c>
      <c r="B9" t="s">
        <v>4035</v>
      </c>
      <c r="C9" t="s">
        <v>222</v>
      </c>
      <c r="D9">
        <v>1288.4100000000001</v>
      </c>
      <c r="E9" t="s">
        <v>5282</v>
      </c>
      <c r="F9" t="s">
        <v>5285</v>
      </c>
    </row>
    <row r="10" spans="1:6" x14ac:dyDescent="0.25">
      <c r="A10" t="s">
        <v>368</v>
      </c>
      <c r="B10" t="s">
        <v>369</v>
      </c>
      <c r="C10" t="s">
        <v>56</v>
      </c>
      <c r="D10">
        <v>813.33</v>
      </c>
      <c r="E10" t="s">
        <v>5280</v>
      </c>
      <c r="F10" t="s">
        <v>5285</v>
      </c>
    </row>
    <row r="11" spans="1:6" x14ac:dyDescent="0.25">
      <c r="A11" t="s">
        <v>1005</v>
      </c>
      <c r="B11" t="s">
        <v>3828</v>
      </c>
      <c r="C11" t="s">
        <v>222</v>
      </c>
      <c r="D11">
        <v>1225.1099999999999</v>
      </c>
      <c r="E11" t="s">
        <v>5284</v>
      </c>
      <c r="F11" t="s">
        <v>5289</v>
      </c>
    </row>
    <row r="12" spans="1:6" x14ac:dyDescent="0.25">
      <c r="A12" t="s">
        <v>3153</v>
      </c>
      <c r="B12" t="s">
        <v>639</v>
      </c>
      <c r="C12" t="s">
        <v>222</v>
      </c>
      <c r="D12">
        <v>858.95</v>
      </c>
      <c r="E12" t="s">
        <v>5282</v>
      </c>
      <c r="F12" t="s">
        <v>5281</v>
      </c>
    </row>
    <row r="13" spans="1:6" x14ac:dyDescent="0.25">
      <c r="A13" t="s">
        <v>695</v>
      </c>
      <c r="B13" t="s">
        <v>1735</v>
      </c>
      <c r="C13" t="s">
        <v>327</v>
      </c>
      <c r="D13">
        <v>823.88</v>
      </c>
      <c r="E13" t="s">
        <v>5282</v>
      </c>
      <c r="F13" t="s">
        <v>5285</v>
      </c>
    </row>
    <row r="14" spans="1:6" x14ac:dyDescent="0.25">
      <c r="A14" t="s">
        <v>1135</v>
      </c>
      <c r="B14" t="s">
        <v>3697</v>
      </c>
      <c r="C14" t="s">
        <v>327</v>
      </c>
      <c r="D14">
        <v>930.42</v>
      </c>
      <c r="E14" t="s">
        <v>5282</v>
      </c>
      <c r="F14" t="s">
        <v>5285</v>
      </c>
    </row>
    <row r="15" spans="1:6" x14ac:dyDescent="0.25">
      <c r="A15" t="s">
        <v>478</v>
      </c>
      <c r="B15" t="s">
        <v>850</v>
      </c>
      <c r="C15" t="s">
        <v>299</v>
      </c>
      <c r="D15">
        <v>1166.96</v>
      </c>
      <c r="E15" t="s">
        <v>5282</v>
      </c>
      <c r="F15" t="s">
        <v>5285</v>
      </c>
    </row>
    <row r="16" spans="1:6" x14ac:dyDescent="0.25">
      <c r="A16" t="s">
        <v>2437</v>
      </c>
      <c r="B16" t="s">
        <v>1809</v>
      </c>
      <c r="C16" t="s">
        <v>299</v>
      </c>
      <c r="D16">
        <v>545.57000000000005</v>
      </c>
      <c r="E16" t="s">
        <v>5288</v>
      </c>
      <c r="F16" t="s">
        <v>5289</v>
      </c>
    </row>
    <row r="17" spans="1:6" x14ac:dyDescent="0.25">
      <c r="A17" t="s">
        <v>948</v>
      </c>
      <c r="B17" t="s">
        <v>949</v>
      </c>
      <c r="C17" t="s">
        <v>56</v>
      </c>
      <c r="D17">
        <v>127.37</v>
      </c>
      <c r="E17" t="s">
        <v>5284</v>
      </c>
      <c r="F17" t="s">
        <v>5281</v>
      </c>
    </row>
    <row r="18" spans="1:6" x14ac:dyDescent="0.25">
      <c r="A18" t="s">
        <v>676</v>
      </c>
      <c r="B18" t="s">
        <v>3558</v>
      </c>
      <c r="C18" t="s">
        <v>299</v>
      </c>
      <c r="D18">
        <v>1313.33</v>
      </c>
      <c r="E18" t="s">
        <v>5280</v>
      </c>
      <c r="F18" t="s">
        <v>5289</v>
      </c>
    </row>
    <row r="19" spans="1:6" x14ac:dyDescent="0.25">
      <c r="A19" t="s">
        <v>1425</v>
      </c>
      <c r="B19" t="s">
        <v>1426</v>
      </c>
      <c r="C19" t="s">
        <v>222</v>
      </c>
      <c r="D19">
        <v>1470.36</v>
      </c>
      <c r="E19" t="s">
        <v>5288</v>
      </c>
      <c r="F19" t="s">
        <v>5281</v>
      </c>
    </row>
    <row r="20" spans="1:6" x14ac:dyDescent="0.25">
      <c r="A20" t="s">
        <v>615</v>
      </c>
      <c r="B20" t="s">
        <v>3210</v>
      </c>
      <c r="C20" t="s">
        <v>299</v>
      </c>
      <c r="D20">
        <v>251.62</v>
      </c>
      <c r="E20" t="s">
        <v>5280</v>
      </c>
      <c r="F20" t="s">
        <v>5283</v>
      </c>
    </row>
    <row r="21" spans="1:6" x14ac:dyDescent="0.25">
      <c r="A21" t="s">
        <v>4884</v>
      </c>
      <c r="B21" t="s">
        <v>4531</v>
      </c>
      <c r="C21" t="s">
        <v>299</v>
      </c>
      <c r="D21">
        <v>635.44000000000005</v>
      </c>
      <c r="E21" t="s">
        <v>5280</v>
      </c>
      <c r="F21" t="s">
        <v>5283</v>
      </c>
    </row>
    <row r="22" spans="1:6" x14ac:dyDescent="0.25">
      <c r="A22" t="s">
        <v>3306</v>
      </c>
      <c r="B22" t="s">
        <v>811</v>
      </c>
      <c r="C22" t="s">
        <v>222</v>
      </c>
      <c r="D22">
        <v>1184.7</v>
      </c>
      <c r="E22" t="s">
        <v>5282</v>
      </c>
      <c r="F22" t="s">
        <v>5289</v>
      </c>
    </row>
    <row r="23" spans="1:6" x14ac:dyDescent="0.25">
      <c r="A23" t="s">
        <v>3584</v>
      </c>
      <c r="B23" t="s">
        <v>2487</v>
      </c>
      <c r="C23" t="s">
        <v>90</v>
      </c>
      <c r="D23">
        <v>893.58</v>
      </c>
      <c r="E23" t="s">
        <v>5280</v>
      </c>
      <c r="F23" t="s">
        <v>5281</v>
      </c>
    </row>
    <row r="24" spans="1:6" x14ac:dyDescent="0.25">
      <c r="A24" t="s">
        <v>4955</v>
      </c>
      <c r="B24" t="s">
        <v>5297</v>
      </c>
      <c r="C24" t="s">
        <v>327</v>
      </c>
      <c r="D24">
        <v>1260.75</v>
      </c>
      <c r="E24" t="s">
        <v>5280</v>
      </c>
      <c r="F24" t="s">
        <v>5289</v>
      </c>
    </row>
    <row r="25" spans="1:6" x14ac:dyDescent="0.25">
      <c r="A25" t="s">
        <v>1513</v>
      </c>
      <c r="B25" t="s">
        <v>2236</v>
      </c>
      <c r="C25" t="s">
        <v>327</v>
      </c>
      <c r="D25">
        <v>95.7</v>
      </c>
      <c r="E25" t="s">
        <v>5284</v>
      </c>
      <c r="F25" t="s">
        <v>5289</v>
      </c>
    </row>
    <row r="26" spans="1:6" x14ac:dyDescent="0.25">
      <c r="A26" t="s">
        <v>2298</v>
      </c>
      <c r="B26" t="s">
        <v>2299</v>
      </c>
      <c r="C26" t="s">
        <v>299</v>
      </c>
      <c r="D26">
        <v>430.47</v>
      </c>
      <c r="E26" t="s">
        <v>5284</v>
      </c>
      <c r="F26" t="s">
        <v>5281</v>
      </c>
    </row>
    <row r="27" spans="1:6" x14ac:dyDescent="0.25">
      <c r="A27" t="s">
        <v>5293</v>
      </c>
      <c r="B27" t="s">
        <v>1023</v>
      </c>
      <c r="C27" t="s">
        <v>327</v>
      </c>
      <c r="D27">
        <v>1411.27</v>
      </c>
      <c r="E27" t="s">
        <v>5284</v>
      </c>
      <c r="F27" t="s">
        <v>5289</v>
      </c>
    </row>
    <row r="28" spans="1:6" x14ac:dyDescent="0.25">
      <c r="A28" t="s">
        <v>2353</v>
      </c>
      <c r="B28" t="s">
        <v>2354</v>
      </c>
      <c r="C28" t="s">
        <v>222</v>
      </c>
      <c r="D28">
        <v>180.06</v>
      </c>
      <c r="E28" t="s">
        <v>5288</v>
      </c>
      <c r="F28" t="s">
        <v>5283</v>
      </c>
    </row>
    <row r="29" spans="1:6" x14ac:dyDescent="0.25">
      <c r="A29" t="s">
        <v>3290</v>
      </c>
      <c r="B29" t="s">
        <v>2385</v>
      </c>
      <c r="C29" t="s">
        <v>90</v>
      </c>
      <c r="D29">
        <v>198.36</v>
      </c>
      <c r="E29" t="s">
        <v>5280</v>
      </c>
      <c r="F29" t="s">
        <v>5285</v>
      </c>
    </row>
    <row r="30" spans="1:6" x14ac:dyDescent="0.25">
      <c r="A30" t="s">
        <v>1339</v>
      </c>
      <c r="B30" t="s">
        <v>3571</v>
      </c>
      <c r="C30" t="s">
        <v>299</v>
      </c>
      <c r="D30">
        <v>1375.64</v>
      </c>
      <c r="E30" t="s">
        <v>5282</v>
      </c>
      <c r="F30" t="s">
        <v>5283</v>
      </c>
    </row>
    <row r="31" spans="1:6" x14ac:dyDescent="0.25">
      <c r="A31" t="s">
        <v>5306</v>
      </c>
      <c r="B31" t="s">
        <v>3320</v>
      </c>
      <c r="C31" t="s">
        <v>56</v>
      </c>
      <c r="D31">
        <v>676.54</v>
      </c>
      <c r="E31" t="s">
        <v>5280</v>
      </c>
      <c r="F31" t="s">
        <v>5283</v>
      </c>
    </row>
    <row r="32" spans="1:6" x14ac:dyDescent="0.25">
      <c r="A32" t="s">
        <v>5302</v>
      </c>
      <c r="B32" t="s">
        <v>5303</v>
      </c>
      <c r="C32" t="s">
        <v>56</v>
      </c>
      <c r="D32">
        <v>1229.82</v>
      </c>
      <c r="E32" t="s">
        <v>5284</v>
      </c>
      <c r="F32" t="s">
        <v>5285</v>
      </c>
    </row>
    <row r="33" spans="1:6" x14ac:dyDescent="0.25">
      <c r="A33" t="s">
        <v>126</v>
      </c>
      <c r="B33" t="s">
        <v>127</v>
      </c>
      <c r="C33" t="s">
        <v>299</v>
      </c>
      <c r="D33">
        <v>1479.77</v>
      </c>
      <c r="E33" t="s">
        <v>5282</v>
      </c>
      <c r="F33" t="s">
        <v>5285</v>
      </c>
    </row>
    <row r="34" spans="1:6" x14ac:dyDescent="0.25">
      <c r="A34" t="s">
        <v>5292</v>
      </c>
      <c r="B34" t="s">
        <v>55</v>
      </c>
      <c r="C34" t="s">
        <v>56</v>
      </c>
      <c r="D34">
        <v>129.06</v>
      </c>
      <c r="E34" t="s">
        <v>5288</v>
      </c>
      <c r="F34" t="s">
        <v>5289</v>
      </c>
    </row>
    <row r="35" spans="1:6" x14ac:dyDescent="0.25">
      <c r="A35" t="s">
        <v>2152</v>
      </c>
      <c r="B35" t="s">
        <v>1209</v>
      </c>
      <c r="C35" t="s">
        <v>56</v>
      </c>
      <c r="D35">
        <v>23.03</v>
      </c>
      <c r="E35" t="s">
        <v>5288</v>
      </c>
      <c r="F35" t="s">
        <v>5283</v>
      </c>
    </row>
    <row r="36" spans="1:6" x14ac:dyDescent="0.25">
      <c r="A36" t="s">
        <v>2962</v>
      </c>
      <c r="B36" t="s">
        <v>5299</v>
      </c>
      <c r="C36" t="s">
        <v>90</v>
      </c>
      <c r="D36">
        <v>426.49</v>
      </c>
      <c r="E36" t="s">
        <v>5280</v>
      </c>
      <c r="F36" t="s">
        <v>5283</v>
      </c>
    </row>
    <row r="37" spans="1:6" x14ac:dyDescent="0.25">
      <c r="A37" t="s">
        <v>5294</v>
      </c>
      <c r="B37" t="s">
        <v>5295</v>
      </c>
      <c r="C37" t="s">
        <v>222</v>
      </c>
      <c r="D37">
        <v>557.03</v>
      </c>
      <c r="E37" t="s">
        <v>5280</v>
      </c>
      <c r="F37" t="s">
        <v>5289</v>
      </c>
    </row>
    <row r="38" spans="1:6" x14ac:dyDescent="0.25">
      <c r="A38" t="s">
        <v>5286</v>
      </c>
      <c r="B38" t="s">
        <v>5287</v>
      </c>
      <c r="C38" t="s">
        <v>56</v>
      </c>
      <c r="D38">
        <v>1037.29</v>
      </c>
      <c r="E38" t="s">
        <v>5282</v>
      </c>
      <c r="F38" t="s">
        <v>5285</v>
      </c>
    </row>
    <row r="39" spans="1:6" x14ac:dyDescent="0.25">
      <c r="A39" t="s">
        <v>1263</v>
      </c>
      <c r="B39" t="s">
        <v>1372</v>
      </c>
      <c r="C39" t="s">
        <v>327</v>
      </c>
      <c r="D39">
        <v>687.68</v>
      </c>
      <c r="E39" t="s">
        <v>5284</v>
      </c>
      <c r="F39" t="s">
        <v>5283</v>
      </c>
    </row>
    <row r="40" spans="1:6" x14ac:dyDescent="0.25">
      <c r="A40" t="s">
        <v>1647</v>
      </c>
      <c r="B40" t="s">
        <v>1648</v>
      </c>
      <c r="C40" t="s">
        <v>299</v>
      </c>
      <c r="D40">
        <v>601.47</v>
      </c>
      <c r="E40" t="s">
        <v>5284</v>
      </c>
      <c r="F40" t="s">
        <v>5281</v>
      </c>
    </row>
    <row r="41" spans="1:6" x14ac:dyDescent="0.25">
      <c r="A41" t="s">
        <v>298</v>
      </c>
      <c r="B41" t="s">
        <v>2899</v>
      </c>
      <c r="C41" t="s">
        <v>299</v>
      </c>
      <c r="D41">
        <v>98.06</v>
      </c>
      <c r="E41" t="s">
        <v>5284</v>
      </c>
      <c r="F41" t="s">
        <v>5283</v>
      </c>
    </row>
    <row r="42" spans="1:6" x14ac:dyDescent="0.25">
      <c r="A42" t="s">
        <v>2471</v>
      </c>
      <c r="B42" t="s">
        <v>3504</v>
      </c>
      <c r="C42" t="s">
        <v>299</v>
      </c>
      <c r="D42">
        <v>247.64</v>
      </c>
      <c r="E42" t="s">
        <v>5284</v>
      </c>
      <c r="F42" t="s">
        <v>5283</v>
      </c>
    </row>
    <row r="43" spans="1:6" x14ac:dyDescent="0.25">
      <c r="A43" t="s">
        <v>2709</v>
      </c>
      <c r="B43" t="s">
        <v>1355</v>
      </c>
      <c r="C43" t="s">
        <v>327</v>
      </c>
      <c r="D43">
        <v>158.06</v>
      </c>
      <c r="E43" t="s">
        <v>5284</v>
      </c>
      <c r="F43" t="s">
        <v>5285</v>
      </c>
    </row>
    <row r="44" spans="1:6" x14ac:dyDescent="0.25">
      <c r="A44" t="s">
        <v>4295</v>
      </c>
      <c r="B44" t="s">
        <v>3121</v>
      </c>
      <c r="C44" t="s">
        <v>222</v>
      </c>
      <c r="D44">
        <v>156.69</v>
      </c>
      <c r="E44" t="s">
        <v>5288</v>
      </c>
      <c r="F44" t="s">
        <v>5281</v>
      </c>
    </row>
    <row r="45" spans="1:6" x14ac:dyDescent="0.25">
      <c r="A45" t="s">
        <v>2454</v>
      </c>
      <c r="B45" t="s">
        <v>5298</v>
      </c>
      <c r="C45" t="s">
        <v>327</v>
      </c>
      <c r="D45">
        <v>110.12</v>
      </c>
      <c r="E45" t="s">
        <v>5284</v>
      </c>
      <c r="F45" t="s">
        <v>5285</v>
      </c>
    </row>
    <row r="46" spans="1:6" x14ac:dyDescent="0.25">
      <c r="A46" t="s">
        <v>1117</v>
      </c>
      <c r="B46" t="s">
        <v>1118</v>
      </c>
      <c r="C46" t="s">
        <v>299</v>
      </c>
      <c r="D46">
        <v>227.08</v>
      </c>
      <c r="E46" t="s">
        <v>5284</v>
      </c>
      <c r="F46" t="s">
        <v>5285</v>
      </c>
    </row>
    <row r="47" spans="1:6" x14ac:dyDescent="0.25">
      <c r="A47" t="s">
        <v>5296</v>
      </c>
      <c r="B47" t="s">
        <v>457</v>
      </c>
      <c r="C47" t="s">
        <v>222</v>
      </c>
      <c r="D47">
        <v>549.41999999999996</v>
      </c>
      <c r="E47" t="s">
        <v>5288</v>
      </c>
      <c r="F47" t="s">
        <v>5285</v>
      </c>
    </row>
    <row r="48" spans="1:6" x14ac:dyDescent="0.25">
      <c r="A48" t="s">
        <v>5300</v>
      </c>
      <c r="B48" t="s">
        <v>5301</v>
      </c>
      <c r="C48" t="s">
        <v>299</v>
      </c>
      <c r="D48">
        <v>1489.69</v>
      </c>
      <c r="E48" t="s">
        <v>5284</v>
      </c>
      <c r="F48" t="s">
        <v>5285</v>
      </c>
    </row>
    <row r="49" spans="1:6" x14ac:dyDescent="0.25">
      <c r="A49" t="s">
        <v>5307</v>
      </c>
      <c r="B49" t="s">
        <v>5308</v>
      </c>
      <c r="C49" t="s">
        <v>299</v>
      </c>
      <c r="D49">
        <v>471.22</v>
      </c>
      <c r="E49" t="s">
        <v>5280</v>
      </c>
      <c r="F49" t="s">
        <v>5281</v>
      </c>
    </row>
    <row r="50" spans="1:6" x14ac:dyDescent="0.25">
      <c r="A50" t="s">
        <v>5304</v>
      </c>
      <c r="B50" t="s">
        <v>5305</v>
      </c>
      <c r="C50" t="s">
        <v>90</v>
      </c>
      <c r="D50">
        <v>1111.83</v>
      </c>
      <c r="E50" t="s">
        <v>5288</v>
      </c>
      <c r="F50" t="s">
        <v>5289</v>
      </c>
    </row>
    <row r="51" spans="1:6" x14ac:dyDescent="0.25">
      <c r="A51" t="s">
        <v>1701</v>
      </c>
      <c r="B51" t="s">
        <v>2185</v>
      </c>
      <c r="C51" t="s">
        <v>222</v>
      </c>
      <c r="D51">
        <v>39.53</v>
      </c>
      <c r="E51" t="s">
        <v>5280</v>
      </c>
      <c r="F51" t="s">
        <v>5281</v>
      </c>
    </row>
    <row r="52" spans="1:6" x14ac:dyDescent="0.25">
      <c r="A52" t="s">
        <v>969</v>
      </c>
      <c r="B52" t="s">
        <v>738</v>
      </c>
      <c r="C52" t="s">
        <v>56</v>
      </c>
      <c r="D52">
        <v>1036.6500000000001</v>
      </c>
      <c r="E52" t="s">
        <v>5284</v>
      </c>
      <c r="F52" t="s">
        <v>5289</v>
      </c>
    </row>
    <row r="53" spans="1:6" x14ac:dyDescent="0.25">
      <c r="A53" t="s">
        <v>89</v>
      </c>
      <c r="B53" t="s">
        <v>988</v>
      </c>
      <c r="C53" t="s">
        <v>90</v>
      </c>
      <c r="D53">
        <v>1467.86</v>
      </c>
      <c r="E53" t="s">
        <v>5284</v>
      </c>
      <c r="F53" t="s">
        <v>5285</v>
      </c>
    </row>
    <row r="54" spans="1:6" x14ac:dyDescent="0.25">
      <c r="A54" t="s">
        <v>1578</v>
      </c>
      <c r="B54" t="s">
        <v>1579</v>
      </c>
      <c r="C54" t="s">
        <v>222</v>
      </c>
      <c r="D54">
        <v>553.22</v>
      </c>
      <c r="E54" t="s">
        <v>5288</v>
      </c>
      <c r="F54" t="s">
        <v>5283</v>
      </c>
    </row>
    <row r="55" spans="1:6" x14ac:dyDescent="0.25">
      <c r="A55" t="s">
        <v>1154</v>
      </c>
      <c r="B55" t="s">
        <v>1155</v>
      </c>
      <c r="C55" t="s">
        <v>56</v>
      </c>
      <c r="D55">
        <v>801.23</v>
      </c>
      <c r="E55" t="s">
        <v>5282</v>
      </c>
      <c r="F55" t="s">
        <v>5289</v>
      </c>
    </row>
    <row r="56" spans="1:6" x14ac:dyDescent="0.25">
      <c r="A56" t="s">
        <v>3024</v>
      </c>
      <c r="B56" t="s">
        <v>595</v>
      </c>
      <c r="C56" t="s">
        <v>56</v>
      </c>
      <c r="D56">
        <v>921.78</v>
      </c>
      <c r="E56" t="s">
        <v>5280</v>
      </c>
      <c r="F56" t="s">
        <v>5283</v>
      </c>
    </row>
    <row r="57" spans="1:6" x14ac:dyDescent="0.25">
      <c r="A57" t="s">
        <v>4133</v>
      </c>
      <c r="B57" t="s">
        <v>4134</v>
      </c>
      <c r="C57" t="s">
        <v>299</v>
      </c>
      <c r="D57">
        <v>1111.1099999999999</v>
      </c>
      <c r="E57" t="s">
        <v>5282</v>
      </c>
      <c r="F57" t="s">
        <v>5285</v>
      </c>
    </row>
    <row r="58" spans="1:6" x14ac:dyDescent="0.25">
      <c r="A58" t="s">
        <v>390</v>
      </c>
      <c r="B58" t="s">
        <v>2945</v>
      </c>
      <c r="C58" t="s">
        <v>222</v>
      </c>
      <c r="D58">
        <v>741.71</v>
      </c>
      <c r="E58" t="s">
        <v>5280</v>
      </c>
      <c r="F58" t="s">
        <v>5285</v>
      </c>
    </row>
    <row r="59" spans="1:6" x14ac:dyDescent="0.25">
      <c r="A59" t="s">
        <v>346</v>
      </c>
      <c r="B59" t="s">
        <v>1445</v>
      </c>
      <c r="C59" t="s">
        <v>90</v>
      </c>
      <c r="D59">
        <v>711</v>
      </c>
      <c r="E59" t="s">
        <v>5288</v>
      </c>
      <c r="F59" t="s">
        <v>5281</v>
      </c>
    </row>
    <row r="60" spans="1:6" x14ac:dyDescent="0.25">
      <c r="A60" t="s">
        <v>1789</v>
      </c>
      <c r="B60" t="s">
        <v>794</v>
      </c>
      <c r="C60" t="s">
        <v>90</v>
      </c>
      <c r="D60">
        <v>673.61</v>
      </c>
      <c r="E60" t="s">
        <v>5282</v>
      </c>
      <c r="F60" t="s">
        <v>5289</v>
      </c>
    </row>
    <row r="61" spans="1:6" x14ac:dyDescent="0.25">
      <c r="A61" t="s">
        <v>1079</v>
      </c>
      <c r="B61" t="s">
        <v>4466</v>
      </c>
      <c r="C61" t="s">
        <v>327</v>
      </c>
      <c r="D61">
        <v>334.59</v>
      </c>
      <c r="E61" t="s">
        <v>5288</v>
      </c>
      <c r="F61" t="s">
        <v>5285</v>
      </c>
    </row>
  </sheetData>
  <sortState xmlns:xlrd2="http://schemas.microsoft.com/office/spreadsheetml/2017/richdata2" ref="A2:F61">
    <sortCondition ref="A2:A6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workbookViewId="0">
      <selection activeCell="D2" sqref="D2"/>
    </sheetView>
  </sheetViews>
  <sheetFormatPr defaultRowHeight="15" x14ac:dyDescent="0.25"/>
  <cols>
    <col min="1" max="1" width="16.28515625" bestFit="1" customWidth="1"/>
    <col min="2" max="2" width="11.42578125" bestFit="1" customWidth="1"/>
    <col min="3" max="3" width="11.7109375" bestFit="1" customWidth="1"/>
    <col min="4" max="4" width="12.140625" bestFit="1" customWidth="1"/>
    <col min="5" max="5" width="14" bestFit="1" customWidth="1"/>
  </cols>
  <sheetData>
    <row r="1" spans="1:5" x14ac:dyDescent="0.25">
      <c r="A1" t="s">
        <v>5309</v>
      </c>
      <c r="B1" t="s">
        <v>15</v>
      </c>
      <c r="C1" t="s">
        <v>5310</v>
      </c>
      <c r="D1" t="s">
        <v>12</v>
      </c>
      <c r="E1" t="s">
        <v>5311</v>
      </c>
    </row>
    <row r="2" spans="1:5" x14ac:dyDescent="0.25">
      <c r="A2" t="s">
        <v>742</v>
      </c>
      <c r="B2" t="s">
        <v>1122</v>
      </c>
      <c r="C2" t="s">
        <v>75</v>
      </c>
      <c r="D2" t="s">
        <v>350</v>
      </c>
      <c r="E2">
        <v>0.03</v>
      </c>
    </row>
    <row r="3" spans="1:5" x14ac:dyDescent="0.25">
      <c r="A3" t="s">
        <v>742</v>
      </c>
      <c r="B3" t="s">
        <v>621</v>
      </c>
      <c r="C3" t="s">
        <v>5312</v>
      </c>
      <c r="D3" t="s">
        <v>1581</v>
      </c>
      <c r="E3">
        <v>0.05</v>
      </c>
    </row>
    <row r="4" spans="1:5" x14ac:dyDescent="0.25">
      <c r="A4" t="s">
        <v>1002</v>
      </c>
      <c r="B4" t="s">
        <v>304</v>
      </c>
      <c r="C4" t="s">
        <v>5312</v>
      </c>
      <c r="D4" t="s">
        <v>1194</v>
      </c>
      <c r="E4">
        <v>0.05</v>
      </c>
    </row>
    <row r="5" spans="1:5" x14ac:dyDescent="0.25">
      <c r="A5" t="s">
        <v>1499</v>
      </c>
      <c r="B5" t="s">
        <v>226</v>
      </c>
      <c r="C5" t="s">
        <v>5313</v>
      </c>
      <c r="D5" t="s">
        <v>1548</v>
      </c>
      <c r="E5">
        <v>0.05</v>
      </c>
    </row>
    <row r="6" spans="1:5" x14ac:dyDescent="0.25">
      <c r="A6" t="s">
        <v>827</v>
      </c>
      <c r="B6" t="s">
        <v>226</v>
      </c>
      <c r="C6" t="s">
        <v>75</v>
      </c>
      <c r="D6" t="s">
        <v>2697</v>
      </c>
      <c r="E6">
        <v>0.03</v>
      </c>
    </row>
    <row r="7" spans="1:5" x14ac:dyDescent="0.25">
      <c r="A7" t="s">
        <v>1687</v>
      </c>
      <c r="B7" t="s">
        <v>226</v>
      </c>
      <c r="C7" t="s">
        <v>5314</v>
      </c>
      <c r="D7" t="s">
        <v>1686</v>
      </c>
      <c r="E7">
        <v>0.05</v>
      </c>
    </row>
    <row r="8" spans="1:5" x14ac:dyDescent="0.25">
      <c r="A8" t="s">
        <v>2270</v>
      </c>
      <c r="B8" t="s">
        <v>954</v>
      </c>
      <c r="C8" t="s">
        <v>5313</v>
      </c>
      <c r="D8" t="s">
        <v>2269</v>
      </c>
      <c r="E8">
        <v>0.03</v>
      </c>
    </row>
    <row r="9" spans="1:5" x14ac:dyDescent="0.25">
      <c r="A9" t="s">
        <v>681</v>
      </c>
      <c r="B9" t="s">
        <v>836</v>
      </c>
      <c r="C9" t="s">
        <v>5313</v>
      </c>
      <c r="D9" t="s">
        <v>5315</v>
      </c>
      <c r="E9">
        <v>0.05</v>
      </c>
    </row>
    <row r="10" spans="1:5" x14ac:dyDescent="0.25">
      <c r="A10" t="s">
        <v>884</v>
      </c>
      <c r="B10" t="s">
        <v>304</v>
      </c>
      <c r="C10" t="s">
        <v>5313</v>
      </c>
      <c r="D10" t="s">
        <v>1120</v>
      </c>
      <c r="E10">
        <v>0.03</v>
      </c>
    </row>
    <row r="11" spans="1:5" x14ac:dyDescent="0.25">
      <c r="A11" t="s">
        <v>1100</v>
      </c>
      <c r="B11" t="s">
        <v>226</v>
      </c>
      <c r="C11" t="s">
        <v>75</v>
      </c>
      <c r="D11" t="s">
        <v>1099</v>
      </c>
      <c r="E11">
        <v>0.03</v>
      </c>
    </row>
    <row r="12" spans="1:5" x14ac:dyDescent="0.25">
      <c r="A12" t="s">
        <v>3653</v>
      </c>
      <c r="B12" t="s">
        <v>621</v>
      </c>
      <c r="C12" t="s">
        <v>5313</v>
      </c>
      <c r="D12" t="s">
        <v>1357</v>
      </c>
      <c r="E12">
        <v>0.02</v>
      </c>
    </row>
    <row r="13" spans="1:5" x14ac:dyDescent="0.25">
      <c r="A13" t="s">
        <v>3193</v>
      </c>
      <c r="B13" t="s">
        <v>304</v>
      </c>
      <c r="C13" t="s">
        <v>5312</v>
      </c>
      <c r="D13" t="s">
        <v>815</v>
      </c>
      <c r="E13">
        <v>0.02</v>
      </c>
    </row>
    <row r="14" spans="1:5" x14ac:dyDescent="0.25">
      <c r="A14" t="s">
        <v>303</v>
      </c>
      <c r="B14" t="s">
        <v>226</v>
      </c>
      <c r="C14" t="s">
        <v>5313</v>
      </c>
      <c r="D14" t="s">
        <v>439</v>
      </c>
      <c r="E14">
        <v>0.05</v>
      </c>
    </row>
    <row r="15" spans="1:5" x14ac:dyDescent="0.25">
      <c r="A15" t="s">
        <v>2398</v>
      </c>
      <c r="B15" t="s">
        <v>836</v>
      </c>
      <c r="C15" t="s">
        <v>75</v>
      </c>
      <c r="D15" t="s">
        <v>4181</v>
      </c>
      <c r="E15">
        <v>0.03</v>
      </c>
    </row>
    <row r="16" spans="1:5" x14ac:dyDescent="0.25">
      <c r="A16" t="s">
        <v>663</v>
      </c>
      <c r="B16" t="s">
        <v>621</v>
      </c>
      <c r="C16" t="s">
        <v>5313</v>
      </c>
      <c r="D16" t="s">
        <v>254</v>
      </c>
      <c r="E16">
        <v>0.03</v>
      </c>
    </row>
    <row r="17" spans="1:5" x14ac:dyDescent="0.25">
      <c r="A17" t="s">
        <v>2239</v>
      </c>
      <c r="B17" t="s">
        <v>461</v>
      </c>
      <c r="C17" t="s">
        <v>75</v>
      </c>
      <c r="D17" t="s">
        <v>953</v>
      </c>
      <c r="E17">
        <v>0.03</v>
      </c>
    </row>
    <row r="18" spans="1:5" x14ac:dyDescent="0.25">
      <c r="A18" t="s">
        <v>4942</v>
      </c>
      <c r="B18" t="s">
        <v>304</v>
      </c>
      <c r="C18" t="s">
        <v>5313</v>
      </c>
      <c r="D18" t="s">
        <v>2029</v>
      </c>
      <c r="E18">
        <v>0.03</v>
      </c>
    </row>
    <row r="19" spans="1:5" x14ac:dyDescent="0.25">
      <c r="A19" t="s">
        <v>719</v>
      </c>
      <c r="B19" t="s">
        <v>226</v>
      </c>
      <c r="C19" t="s">
        <v>5314</v>
      </c>
      <c r="D19" t="s">
        <v>718</v>
      </c>
      <c r="E19">
        <v>0.02</v>
      </c>
    </row>
    <row r="20" spans="1:5" x14ac:dyDescent="0.25">
      <c r="A20" t="s">
        <v>513</v>
      </c>
      <c r="B20" t="s">
        <v>1122</v>
      </c>
      <c r="C20" t="s">
        <v>5313</v>
      </c>
      <c r="D20" t="s">
        <v>3011</v>
      </c>
      <c r="E20">
        <v>0.03</v>
      </c>
    </row>
    <row r="21" spans="1:5" x14ac:dyDescent="0.25">
      <c r="A21" t="s">
        <v>2760</v>
      </c>
      <c r="B21" t="s">
        <v>836</v>
      </c>
      <c r="C21" t="s">
        <v>5314</v>
      </c>
      <c r="D21" t="s">
        <v>1290</v>
      </c>
      <c r="E21">
        <v>0.03</v>
      </c>
    </row>
    <row r="22" spans="1:5" x14ac:dyDescent="0.25">
      <c r="A22" t="s">
        <v>1785</v>
      </c>
      <c r="B22" t="s">
        <v>621</v>
      </c>
      <c r="C22" t="s">
        <v>5312</v>
      </c>
      <c r="D22" t="s">
        <v>699</v>
      </c>
      <c r="E22">
        <v>0.03</v>
      </c>
    </row>
    <row r="23" spans="1:5" x14ac:dyDescent="0.25">
      <c r="A23" t="s">
        <v>1785</v>
      </c>
      <c r="B23" t="s">
        <v>1122</v>
      </c>
      <c r="C23" t="s">
        <v>5313</v>
      </c>
      <c r="D23" t="s">
        <v>3076</v>
      </c>
      <c r="E23">
        <v>0.03</v>
      </c>
    </row>
    <row r="24" spans="1:5" x14ac:dyDescent="0.25">
      <c r="A24" t="s">
        <v>374</v>
      </c>
      <c r="B24" t="s">
        <v>954</v>
      </c>
      <c r="C24" t="s">
        <v>5312</v>
      </c>
      <c r="D24" t="s">
        <v>1480</v>
      </c>
      <c r="E24">
        <v>0.02</v>
      </c>
    </row>
    <row r="25" spans="1:5" x14ac:dyDescent="0.25">
      <c r="A25" t="s">
        <v>1669</v>
      </c>
      <c r="B25" t="s">
        <v>461</v>
      </c>
      <c r="C25" t="s">
        <v>5314</v>
      </c>
      <c r="D25" t="s">
        <v>1668</v>
      </c>
      <c r="E25">
        <v>0.02</v>
      </c>
    </row>
    <row r="26" spans="1:5" x14ac:dyDescent="0.25">
      <c r="A26" t="s">
        <v>1872</v>
      </c>
      <c r="B26" t="s">
        <v>621</v>
      </c>
      <c r="C26" t="s">
        <v>5312</v>
      </c>
      <c r="D26" t="s">
        <v>2982</v>
      </c>
      <c r="E26">
        <v>0.05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>
      <selection activeCell="M12" sqref="M12"/>
    </sheetView>
  </sheetViews>
  <sheetFormatPr defaultRowHeight="15" x14ac:dyDescent="0.25"/>
  <cols>
    <col min="1" max="1" width="8.85546875" bestFit="1" customWidth="1"/>
    <col min="2" max="2" width="10.5703125" bestFit="1" customWidth="1"/>
    <col min="3" max="3" width="8.85546875" bestFit="1" customWidth="1"/>
    <col min="4" max="4" width="9.28515625" bestFit="1" customWidth="1"/>
    <col min="5" max="5" width="9" bestFit="1" customWidth="1"/>
    <col min="6" max="6" width="10.7109375" bestFit="1" customWidth="1"/>
    <col min="7" max="7" width="7" bestFit="1" customWidth="1"/>
    <col min="8" max="9" width="8" bestFit="1" customWidth="1"/>
    <col min="10" max="10" width="10.85546875" bestFit="1" customWidth="1"/>
    <col min="11" max="11" width="8.140625" bestFit="1" customWidth="1"/>
    <col min="12" max="12" width="10.42578125" bestFit="1" customWidth="1"/>
    <col min="13" max="13" width="10.140625" bestFit="1" customWidth="1"/>
  </cols>
  <sheetData>
    <row r="1" spans="1:13" x14ac:dyDescent="0.25">
      <c r="A1" t="s">
        <v>11</v>
      </c>
      <c r="B1" t="s">
        <v>180</v>
      </c>
      <c r="C1" t="s">
        <v>357</v>
      </c>
      <c r="D1" t="s">
        <v>589</v>
      </c>
      <c r="E1" t="s">
        <v>145</v>
      </c>
      <c r="F1" t="s">
        <v>569</v>
      </c>
      <c r="G1" t="s">
        <v>209</v>
      </c>
      <c r="H1" t="s">
        <v>313</v>
      </c>
      <c r="I1" t="s">
        <v>728</v>
      </c>
      <c r="J1" t="s">
        <v>447</v>
      </c>
      <c r="K1" t="s">
        <v>5336</v>
      </c>
      <c r="L1" t="s">
        <v>2175</v>
      </c>
      <c r="M1" t="s">
        <v>3282</v>
      </c>
    </row>
    <row r="2" spans="1:13" x14ac:dyDescent="0.25">
      <c r="A2" t="s">
        <v>330</v>
      </c>
      <c r="B2">
        <v>0.92500000000000004</v>
      </c>
      <c r="C2">
        <v>0.92400000000000004</v>
      </c>
      <c r="D2">
        <v>0.93</v>
      </c>
      <c r="E2">
        <v>0.92900000000000005</v>
      </c>
      <c r="F2">
        <v>0.92400000000000004</v>
      </c>
      <c r="G2">
        <v>0.92600000000000005</v>
      </c>
      <c r="H2">
        <v>0.93400000000000005</v>
      </c>
      <c r="I2">
        <v>0.92200000000000004</v>
      </c>
      <c r="J2">
        <v>0.92600000000000005</v>
      </c>
      <c r="K2">
        <v>0.91800000000000004</v>
      </c>
      <c r="L2">
        <v>0.91</v>
      </c>
      <c r="M2">
        <v>0.91200000000000003</v>
      </c>
    </row>
    <row r="3" spans="1:13" x14ac:dyDescent="0.25">
      <c r="A3" t="s">
        <v>5316</v>
      </c>
      <c r="B3">
        <v>0.77700000000000002</v>
      </c>
      <c r="C3">
        <v>0.80500000000000005</v>
      </c>
      <c r="D3">
        <v>0.79900000000000004</v>
      </c>
      <c r="E3">
        <v>0.78900000000000003</v>
      </c>
      <c r="F3">
        <v>0.8</v>
      </c>
      <c r="G3">
        <v>0.80500000000000005</v>
      </c>
      <c r="H3">
        <v>0.77400000000000002</v>
      </c>
      <c r="I3">
        <v>0.79700000000000004</v>
      </c>
      <c r="J3">
        <v>0.78700000000000003</v>
      </c>
      <c r="K3">
        <v>0.78900000000000003</v>
      </c>
      <c r="L3">
        <v>0.77800000000000002</v>
      </c>
      <c r="M3">
        <v>0.78200000000000003</v>
      </c>
    </row>
    <row r="4" spans="1:13" x14ac:dyDescent="0.25">
      <c r="A4" t="s">
        <v>5317</v>
      </c>
      <c r="B4">
        <v>1.3720000000000001</v>
      </c>
      <c r="C4">
        <v>1.3759999999999999</v>
      </c>
      <c r="D4">
        <v>1.3360000000000001</v>
      </c>
      <c r="E4">
        <v>1.3580000000000001</v>
      </c>
      <c r="F4">
        <v>1.3580000000000001</v>
      </c>
      <c r="G4">
        <v>1.345</v>
      </c>
      <c r="H4">
        <v>1.333</v>
      </c>
      <c r="I4">
        <v>1.371</v>
      </c>
      <c r="J4">
        <v>1.3620000000000001</v>
      </c>
      <c r="K4">
        <v>1.38</v>
      </c>
      <c r="L4">
        <v>1.34</v>
      </c>
      <c r="M4">
        <v>1.3680000000000001</v>
      </c>
    </row>
    <row r="5" spans="1:13" x14ac:dyDescent="0.25">
      <c r="A5" t="s">
        <v>5318</v>
      </c>
      <c r="B5">
        <v>149.173</v>
      </c>
      <c r="C5">
        <v>147.679</v>
      </c>
      <c r="D5">
        <v>148.91800000000001</v>
      </c>
      <c r="E5">
        <v>148.16399999999999</v>
      </c>
      <c r="F5">
        <v>147.80099999999999</v>
      </c>
      <c r="G5">
        <v>147.96</v>
      </c>
      <c r="H5">
        <v>151.44399999999999</v>
      </c>
      <c r="I5">
        <v>146.58199999999999</v>
      </c>
      <c r="J5">
        <v>147.96600000000001</v>
      </c>
      <c r="K5">
        <v>147.131</v>
      </c>
      <c r="L5">
        <v>151.35</v>
      </c>
      <c r="M5">
        <v>151.94499999999999</v>
      </c>
    </row>
    <row r="8" spans="1:13" x14ac:dyDescent="0.25">
      <c r="A8" t="s">
        <v>5275</v>
      </c>
      <c r="B8" t="s">
        <v>327</v>
      </c>
      <c r="C8" t="s">
        <v>56</v>
      </c>
      <c r="D8" t="s">
        <v>90</v>
      </c>
      <c r="E8" t="s">
        <v>299</v>
      </c>
      <c r="F8" t="s">
        <v>222</v>
      </c>
    </row>
    <row r="9" spans="1:13" x14ac:dyDescent="0.25">
      <c r="A9" t="s">
        <v>5319</v>
      </c>
      <c r="B9">
        <v>0.1</v>
      </c>
      <c r="C9">
        <v>0.1</v>
      </c>
      <c r="D9">
        <v>0.1</v>
      </c>
      <c r="E9">
        <v>0.15</v>
      </c>
      <c r="F9">
        <v>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83B30212AFBA4FA76288D67210E8CE" ma:contentTypeVersion="5" ma:contentTypeDescription="Create a new document." ma:contentTypeScope="" ma:versionID="77c01c09bfa169ee888c0edd5458f039">
  <xsd:schema xmlns:xsd="http://www.w3.org/2001/XMLSchema" xmlns:xs="http://www.w3.org/2001/XMLSchema" xmlns:p="http://schemas.microsoft.com/office/2006/metadata/properties" xmlns:ns3="5797edb8-c9a8-44b5-a4de-8872b152de5b" targetNamespace="http://schemas.microsoft.com/office/2006/metadata/properties" ma:root="true" ma:fieldsID="68cb0ed287f9d47374d224399d80f9d9" ns3:_="">
    <xsd:import namespace="5797edb8-c9a8-44b5-a4de-8872b152de5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97edb8-c9a8-44b5-a4de-8872b152de5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97edb8-c9a8-44b5-a4de-8872b152de5b" xsi:nil="true"/>
  </documentManagement>
</p:properties>
</file>

<file path=customXml/itemProps1.xml><?xml version="1.0" encoding="utf-8"?>
<ds:datastoreItem xmlns:ds="http://schemas.openxmlformats.org/officeDocument/2006/customXml" ds:itemID="{626B6C90-7F76-44DD-BE84-A8F7BF0E52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97edb8-c9a8-44b5-a4de-8872b152de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1D55B8-CA9C-4426-B694-767905C4A8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103BBB-8192-4D1D-8480-87DCBBF9923B}">
  <ds:schemaRefs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5797edb8-c9a8-44b5-a4de-8872b152de5b"/>
    <ds:schemaRef ds:uri="http://www.w3.org/XML/1998/namespace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Sales_RAW(BEFORE)</vt:lpstr>
      <vt:lpstr>PivotChartRepCommission</vt:lpstr>
      <vt:lpstr>PivotChartDepartmentProfit</vt:lpstr>
      <vt:lpstr>PivotChartTrend</vt:lpstr>
      <vt:lpstr>Sales_RAW(AFTER)</vt:lpstr>
      <vt:lpstr>Pivotby</vt:lpstr>
      <vt:lpstr>Product_List</vt:lpstr>
      <vt:lpstr>Employees</vt:lpstr>
      <vt:lpstr>Exchange_Rates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Bogdan Krstevski | 2024/0842</cp:lastModifiedBy>
  <dcterms:created xsi:type="dcterms:W3CDTF">2026-10-19T04:41:26Z</dcterms:created>
  <dcterms:modified xsi:type="dcterms:W3CDTF">2026-10-23T11:57:06Z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0x010100A383B30212AFBA4FA76288D67210E8CE</vt:lpwstr>
  </property>
</Properties>
</file>